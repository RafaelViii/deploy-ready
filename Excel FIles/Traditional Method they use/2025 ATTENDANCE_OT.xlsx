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16-31" sheetId="1" r:id="rId5"/>
    <sheet state="visible" name="JAN 16-31" sheetId="2" r:id="rId6"/>
    <sheet state="visible" name="DEC 1-15" sheetId="3" r:id="rId7"/>
    <sheet state="visible" name="DEC 16-31" sheetId="4" r:id="rId8"/>
    <sheet state="visible" name="JAN 1-15" sheetId="5" r:id="rId9"/>
    <sheet state="visible" name="NOV 30" sheetId="6" r:id="rId10"/>
    <sheet state="visible" name="OCT 16-31" sheetId="7" r:id="rId11"/>
    <sheet state="visible" name="NOV 1-15" sheetId="8" r:id="rId12"/>
    <sheet state="visible" name="OCTOBER 1-15" sheetId="9" r:id="rId13"/>
    <sheet state="visible" name="SEPT 16-30" sheetId="10" r:id="rId14"/>
    <sheet state="visible" name="SEPT 1-15" sheetId="11" r:id="rId15"/>
    <sheet state="visible" name="AUG 1-15" sheetId="12" r:id="rId16"/>
    <sheet state="visible" name="AUG 15-30" sheetId="13" r:id="rId17"/>
  </sheets>
  <definedNames/>
  <calcPr/>
</workbook>
</file>

<file path=xl/sharedStrings.xml><?xml version="1.0" encoding="utf-8"?>
<sst xmlns="http://schemas.openxmlformats.org/spreadsheetml/2006/main" count="3769" uniqueCount="248">
  <si>
    <t>Dept.</t>
  </si>
  <si>
    <t>LRCI</t>
  </si>
  <si>
    <t>Name</t>
  </si>
  <si>
    <t>Dian Santiago</t>
  </si>
  <si>
    <t>Date</t>
  </si>
  <si>
    <t>2025-07-16~2025-07-31</t>
  </si>
  <si>
    <t>User ID</t>
  </si>
  <si>
    <t>Time Card</t>
  </si>
  <si>
    <t>DURATION</t>
  </si>
  <si>
    <t>REQUIRED TIME</t>
  </si>
  <si>
    <t>TOTAL OT</t>
  </si>
  <si>
    <t>Date/
 Weekday</t>
  </si>
  <si>
    <t>Before Noon</t>
  </si>
  <si>
    <t>After Noon</t>
  </si>
  <si>
    <t>Overtime</t>
  </si>
  <si>
    <t>In</t>
  </si>
  <si>
    <t>Out</t>
  </si>
  <si>
    <t>16 We</t>
  </si>
  <si>
    <t>17 Th</t>
  </si>
  <si>
    <t>18 Fr</t>
  </si>
  <si>
    <t>19 Sa</t>
  </si>
  <si>
    <t>20 Su</t>
  </si>
  <si>
    <t>21 Mo</t>
  </si>
  <si>
    <t>22 Tu</t>
  </si>
  <si>
    <t>23 We</t>
  </si>
  <si>
    <t>24 Th</t>
  </si>
  <si>
    <t>25 Fr</t>
  </si>
  <si>
    <t>26 Sa</t>
  </si>
  <si>
    <t>27 Su</t>
  </si>
  <si>
    <t>28 Mo</t>
  </si>
  <si>
    <t>29 Tu</t>
  </si>
  <si>
    <t>30 We</t>
  </si>
  <si>
    <t>31 Th</t>
  </si>
  <si>
    <t>Alexander Dolencio</t>
  </si>
  <si>
    <t>Lara Mae Petilo</t>
  </si>
  <si>
    <t>Judy Ann Galope</t>
  </si>
  <si>
    <t>Carol B. Diola</t>
  </si>
  <si>
    <t>Angelo Binondo</t>
  </si>
  <si>
    <t>Hannah Ortoyo</t>
  </si>
  <si>
    <t>Bernadeth Lagdamen</t>
  </si>
  <si>
    <t>Leah Sam</t>
  </si>
  <si>
    <t>John Jerc Reyes</t>
  </si>
  <si>
    <t>2026-01-15~2026-01-31</t>
  </si>
  <si>
    <t>15 Th</t>
  </si>
  <si>
    <t>16 Fr</t>
  </si>
  <si>
    <t>17 Sa</t>
  </si>
  <si>
    <t>18 Su</t>
  </si>
  <si>
    <t>19 Mo</t>
  </si>
  <si>
    <t>20 Tu</t>
  </si>
  <si>
    <t>21 We</t>
  </si>
  <si>
    <t>22 Th</t>
  </si>
  <si>
    <t>23 Fr</t>
  </si>
  <si>
    <t>24 Sa</t>
  </si>
  <si>
    <t>25 Su</t>
  </si>
  <si>
    <t>26 Mo</t>
  </si>
  <si>
    <t>27 Tu</t>
  </si>
  <si>
    <t>28 We</t>
  </si>
  <si>
    <t>29 Th</t>
  </si>
  <si>
    <t>30 Fr</t>
  </si>
  <si>
    <t>31 Sa</t>
  </si>
  <si>
    <t>CAROL B. DIOLA</t>
  </si>
  <si>
    <t xml:space="preserve">  </t>
  </si>
  <si>
    <t>ANGELO BINONDO</t>
  </si>
  <si>
    <t>BERNADETH LAGDAMEN</t>
  </si>
  <si>
    <t>2025-12-30~2026-01-15</t>
  </si>
  <si>
    <t>30 Tu</t>
  </si>
  <si>
    <t>31 We</t>
  </si>
  <si>
    <t>01 Th</t>
  </si>
  <si>
    <t>02 Fr</t>
  </si>
  <si>
    <t>03 Sa</t>
  </si>
  <si>
    <t>04 Su</t>
  </si>
  <si>
    <t>05 Mo</t>
  </si>
  <si>
    <t>06 Tu</t>
  </si>
  <si>
    <t>07 We</t>
  </si>
  <si>
    <t>08 Th</t>
  </si>
  <si>
    <t>09 Fr</t>
  </si>
  <si>
    <t>10 Sa</t>
  </si>
  <si>
    <t>11 Su</t>
  </si>
  <si>
    <t>12 Mo</t>
  </si>
  <si>
    <t>13 Tu</t>
  </si>
  <si>
    <t>14 We</t>
  </si>
  <si>
    <t>MICHAEL CALLANGAN</t>
  </si>
  <si>
    <t>2025-11-30~2025-12-15</t>
  </si>
  <si>
    <t>30 Su</t>
  </si>
  <si>
    <t>01 Mo</t>
  </si>
  <si>
    <t>02 Tu</t>
  </si>
  <si>
    <t>03 We</t>
  </si>
  <si>
    <t>OFF</t>
  </si>
  <si>
    <t>04 Th</t>
  </si>
  <si>
    <t>05 Fr</t>
  </si>
  <si>
    <t>06 Sa</t>
  </si>
  <si>
    <t>07 Su</t>
  </si>
  <si>
    <t>08 Mo</t>
  </si>
  <si>
    <t>09 Tu</t>
  </si>
  <si>
    <t>10 We</t>
  </si>
  <si>
    <t>11 Th</t>
  </si>
  <si>
    <t>12 Fr</t>
  </si>
  <si>
    <t>13 Sa</t>
  </si>
  <si>
    <t>14 Su</t>
  </si>
  <si>
    <t>15 Mo</t>
  </si>
  <si>
    <t>LATES</t>
  </si>
  <si>
    <t>Michael Callangan</t>
  </si>
  <si>
    <t>2025-12-15~2025-12-30</t>
  </si>
  <si>
    <t>16 Tu</t>
  </si>
  <si>
    <t>17 We</t>
  </si>
  <si>
    <t>18 Th</t>
  </si>
  <si>
    <t>19 Fr</t>
  </si>
  <si>
    <t>20 Sa</t>
  </si>
  <si>
    <t>21 Su</t>
  </si>
  <si>
    <t>22 Mo</t>
  </si>
  <si>
    <t>23 Tu</t>
  </si>
  <si>
    <t>24 We</t>
  </si>
  <si>
    <t>25 Th</t>
  </si>
  <si>
    <t>26 Fr</t>
  </si>
  <si>
    <t>27 Sa</t>
  </si>
  <si>
    <t>28 Su</t>
  </si>
  <si>
    <t>29 Mo</t>
  </si>
  <si>
    <t>HANNAH ORTOYO</t>
  </si>
  <si>
    <t>NAME OF EMPLOYEE: DIAN SANTIAGO</t>
  </si>
  <si>
    <t>MONTH OF NOVEMBER</t>
  </si>
  <si>
    <t>DATE</t>
  </si>
  <si>
    <t>DAY</t>
  </si>
  <si>
    <t>TIME IN</t>
  </si>
  <si>
    <t>TIME OUT</t>
  </si>
  <si>
    <t>REQ. TIME</t>
  </si>
  <si>
    <t>OT</t>
  </si>
  <si>
    <t>SATURDAY</t>
  </si>
  <si>
    <t>9:00</t>
  </si>
  <si>
    <t>MONDAY</t>
  </si>
  <si>
    <t xml:space="preserve">TUESDAY </t>
  </si>
  <si>
    <t>WEDNESDAY</t>
  </si>
  <si>
    <t>THURSDAY</t>
  </si>
  <si>
    <t>FRIDAY</t>
  </si>
  <si>
    <t>NAME OF EMPLOYEE: ALEX DOLENCIO</t>
  </si>
  <si>
    <t>8:30</t>
  </si>
  <si>
    <t>SUNDAY</t>
  </si>
  <si>
    <t>NAME OF EMPLOYEE: CAROL DIOLA</t>
  </si>
  <si>
    <t>NAME OF EMPLOYEE: ANGELO BINONDO</t>
  </si>
  <si>
    <t>NAME OF EMPLOYEE: HANNAH ORTOYO</t>
  </si>
  <si>
    <t>NAME OF EMPLOYEE: LEAH SAM</t>
  </si>
  <si>
    <t>ABSENT</t>
  </si>
  <si>
    <t>NAME OF EMPLOYEE: JOHN JERC REYES</t>
  </si>
  <si>
    <t>NAME OF EMPLOYEE: MIKE CALLANGAN</t>
  </si>
  <si>
    <t>2025-10-14~2025-10-30</t>
  </si>
  <si>
    <t>Absence
 (Day)</t>
  </si>
  <si>
    <t>Leave
 (Day)</t>
  </si>
  <si>
    <t>Late</t>
  </si>
  <si>
    <t>(Times)</t>
  </si>
  <si>
    <t>14 Tu</t>
  </si>
  <si>
    <t>15 We</t>
  </si>
  <si>
    <t>16 Th</t>
  </si>
  <si>
    <t>17 Fr</t>
  </si>
  <si>
    <t>18 Sa</t>
  </si>
  <si>
    <t>19 Su</t>
  </si>
  <si>
    <t>20 Mo</t>
  </si>
  <si>
    <t>21 Tu</t>
  </si>
  <si>
    <t>22 We</t>
  </si>
  <si>
    <t>23 Th</t>
  </si>
  <si>
    <t>24 Fr</t>
  </si>
  <si>
    <t>25 Sa</t>
  </si>
  <si>
    <t>26 Su</t>
  </si>
  <si>
    <t>27 Mo</t>
  </si>
  <si>
    <t>28 Tu</t>
  </si>
  <si>
    <t>29 We</t>
  </si>
  <si>
    <t>30 Th</t>
  </si>
  <si>
    <t>Trip
 (Day)</t>
  </si>
  <si>
    <t>(Minute)</t>
  </si>
  <si>
    <t>2025-10-31~2025-11-14</t>
  </si>
  <si>
    <t>Work
 (Day)</t>
  </si>
  <si>
    <t>Overtime(hrs.)</t>
  </si>
  <si>
    <t>Early</t>
  </si>
  <si>
    <t>Normal</t>
  </si>
  <si>
    <t>Special</t>
  </si>
  <si>
    <t>31 Fr</t>
  </si>
  <si>
    <t>01 Sa</t>
  </si>
  <si>
    <t>02 Su</t>
  </si>
  <si>
    <t>03 Mo</t>
  </si>
  <si>
    <t>04 Tu</t>
  </si>
  <si>
    <t>05 We</t>
  </si>
  <si>
    <t>06 Th</t>
  </si>
  <si>
    <t>07 Fr</t>
  </si>
  <si>
    <t>08 Sa</t>
  </si>
  <si>
    <t>09 Su</t>
  </si>
  <si>
    <t>10 Mo</t>
  </si>
  <si>
    <t>11 Tu</t>
  </si>
  <si>
    <t>12 We</t>
  </si>
  <si>
    <t>13 Th</t>
  </si>
  <si>
    <t>14 Fr</t>
  </si>
  <si>
    <t>2025-09-30~2025-10-14</t>
  </si>
  <si>
    <t>01 We</t>
  </si>
  <si>
    <t>02 Th</t>
  </si>
  <si>
    <t>03 Fr</t>
  </si>
  <si>
    <t>04 Sa</t>
  </si>
  <si>
    <t>05 Su</t>
  </si>
  <si>
    <t>06 Mo</t>
  </si>
  <si>
    <t>07 Tu</t>
  </si>
  <si>
    <t>08 We</t>
  </si>
  <si>
    <t>09 Th</t>
  </si>
  <si>
    <t>10 Fr</t>
  </si>
  <si>
    <t>11 Sa</t>
  </si>
  <si>
    <t>12 Su</t>
  </si>
  <si>
    <t>13 Mo</t>
  </si>
  <si>
    <t>2025-09-13~2025-09-30</t>
  </si>
  <si>
    <t>UT</t>
  </si>
  <si>
    <t>TOTAL</t>
  </si>
  <si>
    <t>DIAN SANTIAGO</t>
  </si>
  <si>
    <t>2025-08-30~2025-09-13</t>
  </si>
  <si>
    <t>30 Sa</t>
  </si>
  <si>
    <t>31 Su</t>
  </si>
  <si>
    <t>LARA MAE PETILO</t>
  </si>
  <si>
    <t>CAROL DIOLA</t>
  </si>
  <si>
    <t>LEAH SAM</t>
  </si>
  <si>
    <t>JOHN JERC REYES</t>
  </si>
  <si>
    <t>2025-08-01~2025-08-14</t>
  </si>
  <si>
    <t>01 Fr</t>
  </si>
  <si>
    <t>02 Sa</t>
  </si>
  <si>
    <t>03 Su</t>
  </si>
  <si>
    <t>04 Mo</t>
  </si>
  <si>
    <t>05 Tu</t>
  </si>
  <si>
    <t>06 We</t>
  </si>
  <si>
    <t>07 Th</t>
  </si>
  <si>
    <t>08 Fr</t>
  </si>
  <si>
    <t>09 Sa</t>
  </si>
  <si>
    <t>10 Su</t>
  </si>
  <si>
    <t>11 Mo</t>
  </si>
  <si>
    <t>12 Tu</t>
  </si>
  <si>
    <t>13 We</t>
  </si>
  <si>
    <t>14 Th</t>
  </si>
  <si>
    <t>RDOT</t>
  </si>
  <si>
    <t>REG OT</t>
  </si>
  <si>
    <t>31 TH</t>
  </si>
  <si>
    <t>2025-08-15~2025-08-30</t>
  </si>
  <si>
    <t>15 Fr</t>
  </si>
  <si>
    <t>16 Sa</t>
  </si>
  <si>
    <t>17 Su</t>
  </si>
  <si>
    <t>18 Mo</t>
  </si>
  <si>
    <t>19 Tu</t>
  </si>
  <si>
    <t>20 We</t>
  </si>
  <si>
    <t>21 Th</t>
  </si>
  <si>
    <t>22 Fr</t>
  </si>
  <si>
    <t>23 Sa</t>
  </si>
  <si>
    <t>24 Su</t>
  </si>
  <si>
    <t>25 Mo</t>
  </si>
  <si>
    <t>26 Tu</t>
  </si>
  <si>
    <t>27 We</t>
  </si>
  <si>
    <t>28 Th</t>
  </si>
  <si>
    <t>29 Fr</t>
  </si>
  <si>
    <t>VL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</si>
</sst>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 am/pm"/>
  </numFmts>
  <fonts count="18">
    <font>
      <sz val="10.0"/>
      <color rgb="FF000000"/>
      <name val="Arial"/>
      <scheme val="minor"/>
    </font>
    <font>
      <sz val="8.0"/>
      <color rgb="FF0000FF"/>
      <name val="Calibri"/>
    </font>
    <font>
      <sz val="9.0"/>
      <color rgb="FF0000FF"/>
      <name val="Calibri"/>
    </font>
    <font/>
    <font>
      <b/>
      <sz val="9.0"/>
      <color rgb="FF0000FF"/>
      <name val="Calibri"/>
    </font>
    <font>
      <b/>
      <sz val="8.0"/>
      <color theme="1"/>
      <name val="Arial"/>
      <scheme val="minor"/>
    </font>
    <font>
      <b/>
      <sz val="9.0"/>
      <color theme="1"/>
      <name val="Arial"/>
      <scheme val="minor"/>
    </font>
    <font>
      <b/>
      <sz val="11.0"/>
      <color rgb="FF0000FF"/>
      <name val="Calibri"/>
    </font>
    <font>
      <b/>
      <sz val="6.0"/>
      <color theme="1"/>
      <name val="Arial"/>
      <scheme val="minor"/>
    </font>
    <font>
      <sz val="9.0"/>
      <color rgb="FF000000"/>
      <name val="Calibri"/>
    </font>
    <font>
      <sz val="9.0"/>
      <color rgb="FFFF0000"/>
      <name val="Calibri"/>
    </font>
    <font>
      <b/>
      <sz val="9.0"/>
      <color rgb="FFFF0000"/>
      <name val="Calibri"/>
    </font>
    <font>
      <sz val="9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sz val="7.0"/>
      <color rgb="FF0000FF"/>
      <name val="Calibri"/>
    </font>
    <font>
      <b/>
      <sz val="7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18">
    <border/>
    <border>
      <left style="thin">
        <color rgb="FF0000FD"/>
      </left>
      <right style="thin">
        <color rgb="FF0000FD"/>
      </right>
      <top style="thin">
        <color rgb="FF0000FD"/>
      </top>
      <bottom style="thin">
        <color rgb="FF0000FD"/>
      </bottom>
    </border>
    <border>
      <top style="thin">
        <color rgb="FF0000FD"/>
      </top>
      <bottom style="thin">
        <color rgb="FF0000FD"/>
      </bottom>
    </border>
    <border>
      <right style="thin">
        <color rgb="FF0000FD"/>
      </right>
      <top style="thin">
        <color rgb="FF0000FD"/>
      </top>
      <bottom style="thin">
        <color rgb="FF0000FD"/>
      </bottom>
    </border>
    <border>
      <left style="thin">
        <color rgb="FF0000FD"/>
      </left>
      <top style="thin">
        <color rgb="FF0000FD"/>
      </top>
      <bottom style="thin">
        <color rgb="FF0000FD"/>
      </bottom>
    </border>
    <border>
      <left style="thin">
        <color rgb="FF0000FD"/>
      </left>
      <right style="thin">
        <color rgb="FF0000FD"/>
      </right>
      <top style="thin">
        <color rgb="FF0000FD"/>
      </top>
    </border>
    <border>
      <left style="thin">
        <color rgb="FF0000FD"/>
      </left>
      <right style="thin">
        <color rgb="FF0000FD"/>
      </right>
      <bottom style="thin">
        <color rgb="FF0000FD"/>
      </bottom>
    </border>
    <border>
      <left style="thin">
        <color rgb="FF0000FD"/>
      </left>
      <top style="thin">
        <color rgb="FF0000FD"/>
      </top>
    </border>
    <border>
      <right style="thin">
        <color rgb="FF0000FD"/>
      </right>
      <top style="thin">
        <color rgb="FF0000FD"/>
      </top>
    </border>
    <border>
      <top style="thin">
        <color rgb="FF0000FD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FD"/>
      </bottom>
    </border>
    <border>
      <right style="thin">
        <color rgb="FF0000FD"/>
      </right>
      <bottom style="thin">
        <color rgb="FF0000FD"/>
      </bottom>
    </border>
    <border>
      <left style="thick">
        <color rgb="FF000000"/>
      </left>
    </border>
    <border>
      <left style="thin">
        <color rgb="FF0000FD"/>
      </left>
    </border>
    <border>
      <left style="thin">
        <color rgb="FF0000FD"/>
      </left>
      <bottom style="thin">
        <color rgb="FF0000FD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readingOrder="0" shrinkToFit="0" wrapText="0"/>
    </xf>
    <xf borderId="0" fillId="0" fontId="5" numFmtId="46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6" numFmtId="46" xfId="0" applyAlignment="1" applyFont="1" applyNumberFormat="1">
      <alignment horizontal="center"/>
    </xf>
    <xf borderId="2" fillId="0" fontId="2" numFmtId="0" xfId="0" applyAlignment="1" applyBorder="1" applyFont="1">
      <alignment horizontal="left" readingOrder="0" shrinkToFit="0" wrapText="0"/>
    </xf>
    <xf borderId="4" fillId="0" fontId="2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wrapText="0"/>
    </xf>
    <xf borderId="0" fillId="0" fontId="5" numFmtId="46" xfId="0" applyAlignment="1" applyFont="1" applyNumberFormat="1">
      <alignment horizontal="center" readingOrder="0"/>
    </xf>
    <xf borderId="0" fillId="0" fontId="8" numFmtId="164" xfId="0" applyAlignment="1" applyFont="1" applyNumberFormat="1">
      <alignment horizontal="center" readingOrder="0"/>
    </xf>
    <xf borderId="0" fillId="0" fontId="6" numFmtId="46" xfId="0" applyAlignment="1" applyFont="1" applyNumberForma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3" numFmtId="0" xfId="0" applyBorder="1" applyFont="1"/>
    <xf borderId="2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 shrinkToFit="0" wrapText="0"/>
    </xf>
    <xf borderId="2" fillId="0" fontId="9" numFmtId="0" xfId="0" applyAlignment="1" applyBorder="1" applyFont="1">
      <alignment horizontal="center" shrinkToFit="0" wrapText="0"/>
    </xf>
    <xf borderId="2" fillId="0" fontId="9" numFmtId="20" xfId="0" applyAlignment="1" applyBorder="1" applyFont="1" applyNumberFormat="1">
      <alignment horizontal="center" readingOrder="0" shrinkToFit="0" wrapText="0"/>
    </xf>
    <xf borderId="0" fillId="0" fontId="5" numFmtId="164" xfId="0" applyAlignment="1" applyFont="1" applyNumberFormat="1">
      <alignment horizontal="center" readingOrder="0"/>
    </xf>
    <xf borderId="1" fillId="0" fontId="10" numFmtId="0" xfId="0" applyAlignment="1" applyBorder="1" applyFont="1">
      <alignment horizontal="left" readingOrder="0" shrinkToFit="0" wrapText="0"/>
    </xf>
    <xf borderId="4" fillId="0" fontId="2" numFmtId="0" xfId="0" applyAlignment="1" applyBorder="1" applyFont="1">
      <alignment horizontal="center" shrinkToFit="0" wrapText="0"/>
    </xf>
    <xf borderId="2" fillId="2" fontId="9" numFmtId="0" xfId="0" applyAlignment="1" applyBorder="1" applyFill="1" applyFont="1">
      <alignment horizontal="center" shrinkToFit="0" wrapText="0"/>
    </xf>
    <xf borderId="2" fillId="2" fontId="11" numFmtId="0" xfId="0" applyAlignment="1" applyBorder="1" applyFont="1">
      <alignment horizontal="right" shrinkToFit="0" wrapText="0"/>
    </xf>
    <xf borderId="2" fillId="2" fontId="12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left" shrinkToFit="0" wrapText="0"/>
    </xf>
    <xf borderId="0" fillId="0" fontId="5" numFmtId="0" xfId="0" applyAlignment="1" applyFont="1">
      <alignment horizontal="center" readingOrder="0"/>
    </xf>
    <xf borderId="2" fillId="3" fontId="9" numFmtId="20" xfId="0" applyAlignment="1" applyBorder="1" applyFill="1" applyFont="1" applyNumberFormat="1">
      <alignment horizontal="center" readingOrder="0" shrinkToFit="0" wrapText="0"/>
    </xf>
    <xf borderId="2" fillId="3" fontId="9" numFmtId="0" xfId="0" applyAlignment="1" applyBorder="1" applyFont="1">
      <alignment horizontal="center" shrinkToFit="0" wrapText="0"/>
    </xf>
    <xf borderId="0" fillId="3" fontId="5" numFmtId="46" xfId="0" applyAlignment="1" applyFont="1" applyNumberFormat="1">
      <alignment horizontal="center"/>
    </xf>
    <xf borderId="0" fillId="3" fontId="5" numFmtId="164" xfId="0" applyAlignment="1" applyFont="1" applyNumberFormat="1">
      <alignment horizontal="center" readingOrder="0"/>
    </xf>
    <xf borderId="4" fillId="0" fontId="2" numFmtId="20" xfId="0" applyAlignment="1" applyBorder="1" applyFont="1" applyNumberFormat="1">
      <alignment horizontal="center" readingOrder="0" shrinkToFit="0" wrapText="0"/>
    </xf>
    <xf borderId="2" fillId="2" fontId="9" numFmtId="20" xfId="0" applyAlignment="1" applyBorder="1" applyFont="1" applyNumberFormat="1">
      <alignment horizontal="center" readingOrder="0" shrinkToFit="0" wrapText="0"/>
    </xf>
    <xf borderId="0" fillId="4" fontId="5" numFmtId="46" xfId="0" applyAlignment="1" applyFill="1" applyFont="1" applyNumberFormat="1">
      <alignment horizontal="center"/>
    </xf>
    <xf borderId="0" fillId="5" fontId="5" numFmtId="46" xfId="0" applyAlignment="1" applyFill="1" applyFont="1" applyNumberFormat="1">
      <alignment horizontal="center"/>
    </xf>
    <xf borderId="4" fillId="0" fontId="2" numFmtId="0" xfId="0" applyAlignment="1" applyBorder="1" applyFont="1">
      <alignment horizontal="left" readingOrder="0" shrinkToFit="0" wrapText="0"/>
    </xf>
    <xf borderId="7" fillId="0" fontId="9" numFmtId="20" xfId="0" applyAlignment="1" applyBorder="1" applyFont="1" applyNumberFormat="1">
      <alignment horizontal="center" readingOrder="0" shrinkToFit="0" wrapText="0"/>
    </xf>
    <xf borderId="8" fillId="0" fontId="3" numFmtId="0" xfId="0" applyBorder="1" applyFont="1"/>
    <xf borderId="9" fillId="0" fontId="9" numFmtId="20" xfId="0" applyAlignment="1" applyBorder="1" applyFont="1" applyNumberFormat="1">
      <alignment horizontal="center" readingOrder="0" shrinkToFit="0" wrapText="0"/>
    </xf>
    <xf borderId="9" fillId="0" fontId="3" numFmtId="0" xfId="0" applyBorder="1" applyFont="1"/>
    <xf borderId="10" fillId="0" fontId="9" numFmtId="20" xfId="0" applyAlignment="1" applyBorder="1" applyFont="1" applyNumberFormat="1">
      <alignment horizontal="center" readingOrder="0" shrinkToFit="0" wrapText="0"/>
    </xf>
    <xf borderId="11" fillId="0" fontId="3" numFmtId="0" xfId="0" applyBorder="1" applyFont="1"/>
    <xf borderId="12" fillId="0" fontId="3" numFmtId="0" xfId="0" applyBorder="1" applyFont="1"/>
    <xf borderId="13" fillId="0" fontId="9" numFmtId="20" xfId="0" applyAlignment="1" applyBorder="1" applyFont="1" applyNumberFormat="1">
      <alignment horizontal="center" readingOrder="0" shrinkToFit="0" wrapText="0"/>
    </xf>
    <xf borderId="14" fillId="0" fontId="3" numFmtId="0" xfId="0" applyBorder="1" applyFont="1"/>
    <xf borderId="13" fillId="0" fontId="3" numFmtId="0" xfId="0" applyBorder="1" applyFont="1"/>
    <xf borderId="0" fillId="0" fontId="13" numFmtId="0" xfId="0" applyAlignment="1" applyFont="1">
      <alignment readingOrder="0"/>
    </xf>
    <xf borderId="0" fillId="0" fontId="13" numFmtId="4" xfId="0" applyAlignment="1" applyFont="1" applyNumberFormat="1">
      <alignment readingOrder="0"/>
    </xf>
    <xf borderId="0" fillId="0" fontId="13" numFmtId="0" xfId="0" applyFont="1"/>
    <xf borderId="0" fillId="0" fontId="13" numFmtId="4" xfId="0" applyFont="1" applyNumberFormat="1"/>
    <xf borderId="0" fillId="0" fontId="14" numFmtId="0" xfId="0" applyFont="1"/>
    <xf borderId="4" fillId="0" fontId="9" numFmtId="20" xfId="0" applyAlignment="1" applyBorder="1" applyFont="1" applyNumberFormat="1">
      <alignment horizontal="center" readingOrder="0" shrinkToFit="0" wrapText="0"/>
    </xf>
    <xf borderId="3" fillId="0" fontId="9" numFmtId="20" xfId="0" applyAlignment="1" applyBorder="1" applyFont="1" applyNumberFormat="1">
      <alignment horizontal="center" readingOrder="0" shrinkToFit="0" wrapText="0"/>
    </xf>
    <xf borderId="2" fillId="0" fontId="9" numFmtId="0" xfId="0" applyAlignment="1" applyBorder="1" applyFont="1">
      <alignment horizontal="center" readingOrder="0" shrinkToFit="0" wrapText="0"/>
    </xf>
    <xf borderId="0" fillId="0" fontId="15" numFmtId="0" xfId="0" applyAlignment="1" applyFont="1">
      <alignment horizontal="center" readingOrder="0"/>
    </xf>
    <xf borderId="0" fillId="0" fontId="13" numFmtId="164" xfId="0" applyAlignment="1" applyFont="1" applyNumberFormat="1">
      <alignment horizontal="center"/>
    </xf>
    <xf borderId="0" fillId="0" fontId="13" numFmtId="164" xfId="0" applyAlignment="1" applyFont="1" applyNumberFormat="1">
      <alignment horizontal="center" readingOrder="0"/>
    </xf>
    <xf borderId="15" fillId="0" fontId="13" numFmtId="46" xfId="0" applyAlignment="1" applyBorder="1" applyFont="1" applyNumberFormat="1">
      <alignment horizontal="center"/>
    </xf>
    <xf borderId="0" fillId="0" fontId="13" numFmtId="49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center" readingOrder="0"/>
    </xf>
    <xf borderId="15" fillId="0" fontId="13" numFmtId="46" xfId="0" applyAlignment="1" applyBorder="1" applyFont="1" applyNumberFormat="1">
      <alignment horizontal="center" readingOrder="0"/>
    </xf>
    <xf borderId="0" fillId="0" fontId="13" numFmtId="49" xfId="0" applyAlignment="1" applyFont="1" applyNumberFormat="1">
      <alignment horizontal="center" readingOrder="0"/>
    </xf>
    <xf borderId="0" fillId="0" fontId="13" numFmtId="46" xfId="0" applyAlignment="1" applyFont="1" applyNumberFormat="1">
      <alignment horizontal="center"/>
    </xf>
    <xf borderId="0" fillId="0" fontId="14" numFmtId="46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13" numFmtId="164" xfId="0" applyFont="1" applyNumberFormat="1"/>
    <xf borderId="0" fillId="0" fontId="13" numFmtId="46" xfId="0" applyFont="1" applyNumberFormat="1"/>
    <xf borderId="5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17" fillId="0" fontId="3" numFmtId="0" xfId="0" applyBorder="1" applyFont="1"/>
    <xf borderId="1" fillId="0" fontId="2" numFmtId="0" xfId="0" applyAlignment="1" applyBorder="1" applyFont="1">
      <alignment horizontal="center" readingOrder="0" shrinkToFit="0" vertical="bottom" wrapText="0"/>
    </xf>
    <xf borderId="13" fillId="0" fontId="2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 shrinkToFit="0" wrapText="0"/>
    </xf>
    <xf borderId="0" fillId="0" fontId="13" numFmtId="164" xfId="0" applyAlignment="1" applyFont="1" applyNumberFormat="1">
      <alignment readingOrder="0"/>
    </xf>
    <xf borderId="1" fillId="0" fontId="2" numFmtId="0" xfId="0" applyAlignment="1" applyBorder="1" applyFont="1">
      <alignment horizontal="center" shrinkToFit="0" wrapText="0"/>
    </xf>
    <xf borderId="7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2" fillId="0" fontId="9" numFmtId="164" xfId="0" applyAlignment="1" applyBorder="1" applyFont="1" applyNumberFormat="1">
      <alignment horizontal="center" readingOrder="0" shrinkToFit="0" wrapText="0"/>
    </xf>
    <xf borderId="2" fillId="0" fontId="9" numFmtId="164" xfId="0" applyAlignment="1" applyBorder="1" applyFont="1" applyNumberFormat="1">
      <alignment horizontal="center" shrinkToFit="0" wrapText="0"/>
    </xf>
    <xf borderId="0" fillId="0" fontId="14" numFmtId="46" xfId="0" applyFont="1" applyNumberFormat="1"/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center" readingOrder="0" shrinkToFit="0" vertical="bottom" wrapText="0"/>
    </xf>
    <xf borderId="0" fillId="0" fontId="13" numFmtId="46" xfId="0" applyAlignment="1" applyFont="1" applyNumberFormat="1">
      <alignment readingOrder="0"/>
    </xf>
    <xf borderId="2" fillId="0" fontId="9" numFmtId="20" xfId="0" applyAlignment="1" applyBorder="1" applyFont="1" applyNumberFormat="1">
      <alignment horizontal="center" shrinkToFit="0" wrapText="0"/>
    </xf>
    <xf borderId="0" fillId="0" fontId="13" numFmtId="20" xfId="0" applyAlignment="1" applyFont="1" applyNumberFormat="1">
      <alignment readingOrder="0"/>
    </xf>
    <xf borderId="0" fillId="0" fontId="14" numFmtId="46" xfId="0" applyAlignment="1" applyFont="1" applyNumberFormat="1">
      <alignment horizontal="center" readingOrder="0"/>
    </xf>
    <xf borderId="0" fillId="0" fontId="14" numFmtId="164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14" numFmtId="49" xfId="0" applyAlignment="1" applyFont="1" applyNumberFormat="1">
      <alignment horizontal="center" readingOrder="0"/>
    </xf>
    <xf borderId="0" fillId="0" fontId="13" numFmtId="46" xfId="0" applyAlignment="1" applyFont="1" applyNumberFormat="1">
      <alignment horizontal="center" readingOrder="0"/>
    </xf>
    <xf borderId="3" fillId="2" fontId="9" numFmtId="0" xfId="0" applyAlignment="1" applyBorder="1" applyFont="1">
      <alignment horizontal="center" shrinkToFit="0" wrapText="0"/>
    </xf>
    <xf borderId="4" fillId="0" fontId="16" numFmtId="0" xfId="0" applyAlignment="1" applyBorder="1" applyFont="1">
      <alignment horizontal="center" readingOrder="0" shrinkToFit="0" wrapText="0"/>
    </xf>
    <xf borderId="2" fillId="2" fontId="12" numFmtId="20" xfId="0" applyAlignment="1" applyBorder="1" applyFont="1" applyNumberFormat="1">
      <alignment horizontal="center" readingOrder="0" shrinkToFit="0" wrapText="0"/>
    </xf>
    <xf borderId="0" fillId="0" fontId="13" numFmtId="20" xfId="0" applyAlignment="1" applyFont="1" applyNumberFormat="1">
      <alignment horizontal="center" readingOrder="0"/>
    </xf>
    <xf borderId="0" fillId="0" fontId="14" numFmtId="0" xfId="0" applyAlignment="1" applyFont="1">
      <alignment readingOrder="0"/>
    </xf>
    <xf borderId="0" fillId="0" fontId="14" numFmtId="4" xfId="0" applyFont="1" applyNumberFormat="1"/>
    <xf borderId="0" fillId="0" fontId="17" numFmtId="164" xfId="0" applyAlignment="1" applyFont="1" applyNumberFormat="1">
      <alignment horizontal="center" readingOrder="0"/>
    </xf>
    <xf borderId="4" fillId="0" fontId="2" numFmtId="0" xfId="0" applyAlignment="1" applyBorder="1" applyFont="1">
      <alignment horizontal="center" shrinkToFit="0" wrapText="0"/>
    </xf>
    <xf borderId="2" fillId="2" fontId="9" numFmtId="0" xfId="0" applyAlignment="1" applyBorder="1" applyFont="1">
      <alignment horizontal="center" shrinkToFit="0" wrapText="0"/>
    </xf>
    <xf borderId="2" fillId="2" fontId="11" numFmtId="0" xfId="0" applyAlignment="1" applyBorder="1" applyFont="1">
      <alignment horizontal="right" shrinkToFit="0" wrapText="0"/>
    </xf>
    <xf borderId="2" fillId="2" fontId="12" numFmtId="0" xfId="0" applyAlignment="1" applyBorder="1" applyFont="1">
      <alignment horizontal="center" shrinkToFit="0" wrapText="0"/>
    </xf>
    <xf borderId="2" fillId="0" fontId="9" numFmtId="0" xfId="0" applyAlignment="1" applyBorder="1" applyFont="1">
      <alignment horizontal="center" shrinkToFit="0" wrapText="0"/>
    </xf>
    <xf borderId="0" fillId="0" fontId="6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4.88"/>
    <col customWidth="1" min="3" max="3" width="4.13"/>
    <col customWidth="1" min="4" max="4" width="4.5"/>
    <col customWidth="1" min="5" max="5" width="2.75"/>
    <col customWidth="1" min="6" max="6" width="2.0"/>
    <col customWidth="1" min="7" max="7" width="7.75"/>
    <col customWidth="1" min="8" max="8" width="0.38"/>
    <col customWidth="1" min="9" max="9" width="5.0"/>
    <col customWidth="1" min="10" max="10" width="5.13"/>
    <col customWidth="1" min="11" max="11" width="6.75"/>
    <col customWidth="1" min="12" max="12" width="0.38"/>
    <col customWidth="1" min="13" max="13" width="4.5"/>
    <col customWidth="1" min="14" max="14" width="2.25"/>
    <col customWidth="1" min="15" max="15" width="9.5"/>
    <col customWidth="1" min="16" max="16" width="9.38"/>
    <col customWidth="1" min="17" max="17" width="8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1" t="s">
        <v>2</v>
      </c>
      <c r="J1" s="5" t="s">
        <v>3</v>
      </c>
      <c r="K1" s="3"/>
      <c r="L1" s="3"/>
      <c r="M1" s="3"/>
      <c r="N1" s="4"/>
      <c r="O1" s="6"/>
      <c r="P1" s="7"/>
      <c r="Q1" s="8"/>
    </row>
    <row r="2">
      <c r="A2" s="1" t="s">
        <v>4</v>
      </c>
      <c r="B2" s="9" t="s">
        <v>5</v>
      </c>
      <c r="C2" s="3"/>
      <c r="D2" s="3"/>
      <c r="E2" s="3"/>
      <c r="F2" s="3"/>
      <c r="G2" s="3"/>
      <c r="H2" s="4"/>
      <c r="I2" s="1" t="s">
        <v>6</v>
      </c>
      <c r="J2" s="10">
        <v>2.0</v>
      </c>
      <c r="K2" s="3"/>
      <c r="L2" s="3"/>
      <c r="M2" s="3"/>
      <c r="N2" s="4"/>
      <c r="O2" s="6"/>
      <c r="P2" s="7"/>
      <c r="Q2" s="8"/>
    </row>
    <row r="3">
      <c r="A3" s="11" t="s">
        <v>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12" t="s">
        <v>8</v>
      </c>
      <c r="P3" s="13" t="s">
        <v>9</v>
      </c>
      <c r="Q3" s="14" t="s">
        <v>10</v>
      </c>
    </row>
    <row r="4">
      <c r="A4" s="15" t="s">
        <v>11</v>
      </c>
      <c r="B4" s="2" t="s">
        <v>12</v>
      </c>
      <c r="C4" s="3"/>
      <c r="D4" s="3"/>
      <c r="E4" s="3"/>
      <c r="F4" s="4"/>
      <c r="G4" s="2" t="s">
        <v>13</v>
      </c>
      <c r="H4" s="3"/>
      <c r="I4" s="3"/>
      <c r="J4" s="3"/>
      <c r="K4" s="10" t="s">
        <v>14</v>
      </c>
      <c r="L4" s="3"/>
      <c r="M4" s="3"/>
      <c r="N4" s="4"/>
      <c r="O4" s="6"/>
      <c r="P4" s="7"/>
      <c r="Q4" s="8"/>
    </row>
    <row r="5">
      <c r="A5" s="16"/>
      <c r="B5" s="17" t="s">
        <v>15</v>
      </c>
      <c r="C5" s="4"/>
      <c r="D5" s="17" t="s">
        <v>16</v>
      </c>
      <c r="E5" s="3"/>
      <c r="F5" s="4"/>
      <c r="G5" s="17" t="s">
        <v>15</v>
      </c>
      <c r="H5" s="4"/>
      <c r="I5" s="17" t="s">
        <v>16</v>
      </c>
      <c r="J5" s="4"/>
      <c r="K5" s="17" t="s">
        <v>15</v>
      </c>
      <c r="L5" s="4"/>
      <c r="M5" s="17" t="s">
        <v>16</v>
      </c>
      <c r="N5" s="4"/>
      <c r="O5" s="6"/>
      <c r="P5" s="7"/>
      <c r="Q5" s="8"/>
    </row>
    <row r="6">
      <c r="A6" s="18" t="s">
        <v>17</v>
      </c>
      <c r="B6" s="19"/>
      <c r="C6" s="4"/>
      <c r="D6" s="20">
        <v>0.5048611111111111</v>
      </c>
      <c r="E6" s="3"/>
      <c r="F6" s="4"/>
      <c r="G6" s="19"/>
      <c r="H6" s="4"/>
      <c r="I6" s="19"/>
      <c r="J6" s="4"/>
      <c r="K6" s="19"/>
      <c r="L6" s="4"/>
      <c r="M6" s="20">
        <v>0.8409722222222222</v>
      </c>
      <c r="N6" s="4"/>
      <c r="O6" s="6">
        <f t="shared" ref="O6:O7" si="1">M6-D6</f>
        <v>0.3361111111</v>
      </c>
      <c r="P6" s="21">
        <v>0.375</v>
      </c>
      <c r="Q6" s="8">
        <f t="shared" ref="Q6:Q8" si="2">O6-P6</f>
        <v>-0.03888888889</v>
      </c>
    </row>
    <row r="7">
      <c r="A7" s="18" t="s">
        <v>18</v>
      </c>
      <c r="B7" s="19"/>
      <c r="C7" s="4"/>
      <c r="D7" s="20">
        <v>0.44583333333333336</v>
      </c>
      <c r="E7" s="3"/>
      <c r="F7" s="4"/>
      <c r="G7" s="19"/>
      <c r="H7" s="4"/>
      <c r="I7" s="19"/>
      <c r="J7" s="4"/>
      <c r="K7" s="19"/>
      <c r="L7" s="4"/>
      <c r="M7" s="20">
        <v>0.8638888888888889</v>
      </c>
      <c r="N7" s="4"/>
      <c r="O7" s="6">
        <f t="shared" si="1"/>
        <v>0.4180555556</v>
      </c>
      <c r="P7" s="21">
        <v>0.375</v>
      </c>
      <c r="Q7" s="8">
        <f t="shared" si="2"/>
        <v>0.04305555556</v>
      </c>
    </row>
    <row r="8">
      <c r="A8" s="18" t="s">
        <v>19</v>
      </c>
      <c r="B8" s="20">
        <v>0.38472222222222224</v>
      </c>
      <c r="C8" s="4"/>
      <c r="D8" s="19"/>
      <c r="E8" s="3"/>
      <c r="F8" s="4"/>
      <c r="G8" s="19"/>
      <c r="H8" s="4"/>
      <c r="I8" s="20">
        <v>0.7701388888888889</v>
      </c>
      <c r="J8" s="4"/>
      <c r="K8" s="19"/>
      <c r="L8" s="4"/>
      <c r="M8" s="19"/>
      <c r="N8" s="4"/>
      <c r="O8" s="6">
        <f>I8-B8</f>
        <v>0.3854166667</v>
      </c>
      <c r="P8" s="21">
        <v>0.375</v>
      </c>
      <c r="Q8" s="8">
        <f t="shared" si="2"/>
        <v>0.01041666667</v>
      </c>
    </row>
    <row r="9">
      <c r="A9" s="22" t="s">
        <v>20</v>
      </c>
      <c r="B9" s="19"/>
      <c r="C9" s="4"/>
      <c r="D9" s="19"/>
      <c r="E9" s="3"/>
      <c r="F9" s="4"/>
      <c r="G9" s="19"/>
      <c r="H9" s="4"/>
      <c r="I9" s="19"/>
      <c r="J9" s="4"/>
      <c r="K9" s="19"/>
      <c r="L9" s="4"/>
      <c r="M9" s="19"/>
      <c r="N9" s="4"/>
      <c r="O9" s="6"/>
      <c r="P9" s="21"/>
      <c r="Q9" s="8"/>
    </row>
    <row r="10">
      <c r="A10" s="22" t="s">
        <v>21</v>
      </c>
      <c r="B10" s="19"/>
      <c r="C10" s="4"/>
      <c r="D10" s="19"/>
      <c r="E10" s="3"/>
      <c r="F10" s="4"/>
      <c r="G10" s="19"/>
      <c r="H10" s="4"/>
      <c r="I10" s="19"/>
      <c r="J10" s="4"/>
      <c r="K10" s="19"/>
      <c r="L10" s="4"/>
      <c r="M10" s="19"/>
      <c r="N10" s="4"/>
      <c r="O10" s="6"/>
      <c r="P10" s="21"/>
      <c r="Q10" s="8"/>
    </row>
    <row r="11">
      <c r="A11" s="18" t="s">
        <v>22</v>
      </c>
      <c r="B11" s="23"/>
      <c r="C11" s="4"/>
      <c r="D11" s="24"/>
      <c r="E11" s="3"/>
      <c r="F11" s="3"/>
      <c r="G11" s="25"/>
      <c r="H11" s="3"/>
      <c r="I11" s="26"/>
      <c r="J11" s="3"/>
      <c r="K11" s="24"/>
      <c r="L11" s="3"/>
      <c r="M11" s="24"/>
      <c r="N11" s="4"/>
      <c r="O11" s="6"/>
      <c r="P11" s="21"/>
      <c r="Q11" s="8"/>
    </row>
    <row r="12">
      <c r="A12" s="18" t="s">
        <v>23</v>
      </c>
      <c r="B12" s="19"/>
      <c r="C12" s="4"/>
      <c r="D12" s="20">
        <v>0.4791666666666667</v>
      </c>
      <c r="E12" s="3"/>
      <c r="F12" s="4"/>
      <c r="G12" s="19"/>
      <c r="H12" s="4"/>
      <c r="I12" s="19"/>
      <c r="J12" s="4"/>
      <c r="K12" s="19"/>
      <c r="L12" s="4"/>
      <c r="M12" s="20">
        <v>0.8645833333333334</v>
      </c>
      <c r="N12" s="4"/>
      <c r="O12" s="6">
        <f t="shared" ref="O12:O13" si="3">M12-D12</f>
        <v>0.3854166667</v>
      </c>
      <c r="P12" s="21">
        <v>0.375</v>
      </c>
      <c r="Q12" s="8">
        <f t="shared" ref="Q12:Q16" si="4">O12-P12</f>
        <v>0.01041666667</v>
      </c>
    </row>
    <row r="13">
      <c r="A13" s="18" t="s">
        <v>24</v>
      </c>
      <c r="B13" s="19"/>
      <c r="C13" s="4"/>
      <c r="D13" s="20">
        <v>0.4756944444444444</v>
      </c>
      <c r="E13" s="3"/>
      <c r="F13" s="4"/>
      <c r="G13" s="19"/>
      <c r="H13" s="4"/>
      <c r="I13" s="19"/>
      <c r="J13" s="4"/>
      <c r="K13" s="19"/>
      <c r="L13" s="4"/>
      <c r="M13" s="20">
        <v>0.8465277777777778</v>
      </c>
      <c r="N13" s="4"/>
      <c r="O13" s="6">
        <f t="shared" si="3"/>
        <v>0.3708333333</v>
      </c>
      <c r="P13" s="21">
        <v>0.375</v>
      </c>
      <c r="Q13" s="8">
        <f t="shared" si="4"/>
        <v>-0.004166666667</v>
      </c>
    </row>
    <row r="14">
      <c r="A14" s="18" t="s">
        <v>25</v>
      </c>
      <c r="B14" s="19"/>
      <c r="C14" s="4"/>
      <c r="D14" s="20">
        <v>0.41875</v>
      </c>
      <c r="E14" s="3"/>
      <c r="F14" s="4"/>
      <c r="G14" s="19"/>
      <c r="H14" s="4"/>
      <c r="I14" s="19"/>
      <c r="J14" s="4"/>
      <c r="K14" s="20">
        <v>0.8131944444444444</v>
      </c>
      <c r="L14" s="4"/>
      <c r="M14" s="19"/>
      <c r="N14" s="4"/>
      <c r="O14" s="6">
        <f>K14-D14</f>
        <v>0.3944444444</v>
      </c>
      <c r="P14" s="21">
        <v>0.375</v>
      </c>
      <c r="Q14" s="8">
        <f t="shared" si="4"/>
        <v>0.01944444444</v>
      </c>
    </row>
    <row r="15">
      <c r="A15" s="18" t="s">
        <v>26</v>
      </c>
      <c r="B15" s="20">
        <v>0.39791666666666664</v>
      </c>
      <c r="C15" s="4"/>
      <c r="D15" s="19"/>
      <c r="E15" s="3"/>
      <c r="F15" s="4"/>
      <c r="G15" s="19"/>
      <c r="H15" s="4"/>
      <c r="I15" s="19"/>
      <c r="J15" s="4"/>
      <c r="K15" s="20">
        <v>0.8270833333333333</v>
      </c>
      <c r="L15" s="4"/>
      <c r="M15" s="19"/>
      <c r="N15" s="4"/>
      <c r="O15" s="6">
        <f>K15-B15</f>
        <v>0.4291666667</v>
      </c>
      <c r="P15" s="21">
        <v>0.375</v>
      </c>
      <c r="Q15" s="8">
        <f t="shared" si="4"/>
        <v>0.05416666667</v>
      </c>
    </row>
    <row r="16">
      <c r="A16" s="22" t="s">
        <v>27</v>
      </c>
      <c r="B16" s="20">
        <v>0.46319444444444446</v>
      </c>
      <c r="C16" s="4"/>
      <c r="D16" s="20">
        <v>0.8638888888888889</v>
      </c>
      <c r="E16" s="3"/>
      <c r="F16" s="4"/>
      <c r="G16" s="19"/>
      <c r="H16" s="4"/>
      <c r="I16" s="19"/>
      <c r="J16" s="4"/>
      <c r="K16" s="19"/>
      <c r="L16" s="4"/>
      <c r="M16" s="19"/>
      <c r="N16" s="4"/>
      <c r="O16" s="6">
        <f>D16-B16</f>
        <v>0.4006944444</v>
      </c>
      <c r="P16" s="21">
        <v>0.375</v>
      </c>
      <c r="Q16" s="8">
        <f t="shared" si="4"/>
        <v>0.02569444444</v>
      </c>
    </row>
    <row r="17">
      <c r="A17" s="22" t="s">
        <v>28</v>
      </c>
      <c r="B17" s="19"/>
      <c r="C17" s="4"/>
      <c r="D17" s="19"/>
      <c r="E17" s="3"/>
      <c r="F17" s="4"/>
      <c r="G17" s="19"/>
      <c r="H17" s="4"/>
      <c r="I17" s="19"/>
      <c r="J17" s="4"/>
      <c r="K17" s="19"/>
      <c r="L17" s="4"/>
      <c r="M17" s="19"/>
      <c r="N17" s="4"/>
      <c r="O17" s="6"/>
      <c r="P17" s="21"/>
      <c r="Q17" s="8"/>
    </row>
    <row r="18">
      <c r="A18" s="18" t="s">
        <v>29</v>
      </c>
      <c r="B18" s="20">
        <v>0.34930555555555554</v>
      </c>
      <c r="C18" s="4"/>
      <c r="D18" s="19"/>
      <c r="E18" s="3"/>
      <c r="F18" s="4"/>
      <c r="G18" s="19"/>
      <c r="H18" s="4"/>
      <c r="I18" s="19"/>
      <c r="J18" s="4"/>
      <c r="K18" s="19"/>
      <c r="L18" s="4"/>
      <c r="M18" s="20">
        <v>0.8840277777777777</v>
      </c>
      <c r="N18" s="4"/>
      <c r="O18" s="6">
        <f t="shared" ref="O18:O19" si="5">M18-B18</f>
        <v>0.5347222222</v>
      </c>
      <c r="P18" s="21">
        <v>0.375</v>
      </c>
      <c r="Q18" s="8">
        <f t="shared" ref="Q18:Q20" si="6">O18-P18</f>
        <v>0.1597222222</v>
      </c>
    </row>
    <row r="19">
      <c r="A19" s="18" t="s">
        <v>30</v>
      </c>
      <c r="B19" s="20">
        <v>0.29305555555555557</v>
      </c>
      <c r="C19" s="4"/>
      <c r="D19" s="19"/>
      <c r="E19" s="3"/>
      <c r="F19" s="4"/>
      <c r="G19" s="19"/>
      <c r="H19" s="4"/>
      <c r="I19" s="19"/>
      <c r="J19" s="4"/>
      <c r="K19" s="19"/>
      <c r="L19" s="4"/>
      <c r="M19" s="20">
        <v>0.8555555555555555</v>
      </c>
      <c r="N19" s="4"/>
      <c r="O19" s="6">
        <f t="shared" si="5"/>
        <v>0.5625</v>
      </c>
      <c r="P19" s="21">
        <v>0.375</v>
      </c>
      <c r="Q19" s="8">
        <f t="shared" si="6"/>
        <v>0.1875</v>
      </c>
    </row>
    <row r="20">
      <c r="A20" s="18" t="s">
        <v>31</v>
      </c>
      <c r="B20" s="19"/>
      <c r="C20" s="4"/>
      <c r="D20" s="20">
        <v>0.4722222222222222</v>
      </c>
      <c r="E20" s="3"/>
      <c r="F20" s="4"/>
      <c r="G20" s="19"/>
      <c r="H20" s="4"/>
      <c r="I20" s="19"/>
      <c r="J20" s="4"/>
      <c r="K20" s="19"/>
      <c r="L20" s="4"/>
      <c r="M20" s="20">
        <v>0.9</v>
      </c>
      <c r="N20" s="4"/>
      <c r="O20" s="6">
        <f>M20-D20</f>
        <v>0.4277777778</v>
      </c>
      <c r="P20" s="21">
        <v>0.375</v>
      </c>
      <c r="Q20" s="8">
        <f t="shared" si="6"/>
        <v>0.05277777778</v>
      </c>
    </row>
    <row r="21">
      <c r="A21" s="18" t="s">
        <v>32</v>
      </c>
      <c r="B21" s="20">
        <v>0.3159722222222222</v>
      </c>
      <c r="C21" s="4"/>
      <c r="D21" s="19"/>
      <c r="E21" s="3"/>
      <c r="F21" s="4"/>
      <c r="G21" s="19"/>
      <c r="H21" s="4"/>
      <c r="I21" s="19"/>
      <c r="J21" s="4"/>
      <c r="K21" s="19"/>
      <c r="L21" s="4"/>
      <c r="M21" s="19"/>
      <c r="N21" s="4"/>
      <c r="O21" s="6"/>
      <c r="P21" s="21"/>
      <c r="Q21" s="8"/>
    </row>
    <row r="22">
      <c r="A22" s="27"/>
      <c r="B22" s="19"/>
      <c r="C22" s="4"/>
      <c r="D22" s="19"/>
      <c r="E22" s="3"/>
      <c r="F22" s="4"/>
      <c r="G22" s="19"/>
      <c r="H22" s="4"/>
      <c r="I22" s="19"/>
      <c r="J22" s="4"/>
      <c r="K22" s="19"/>
      <c r="L22" s="4"/>
      <c r="M22" s="19"/>
      <c r="N22" s="4"/>
      <c r="O22" s="28" t="s">
        <v>10</v>
      </c>
      <c r="P22" s="7"/>
      <c r="Q22" s="8">
        <f>Q7+Q8+Q12+Q14+Q15+Q16+Q18+Q19+Q20</f>
        <v>0.5631944444</v>
      </c>
    </row>
    <row r="23">
      <c r="O23" s="6"/>
      <c r="P23" s="7"/>
      <c r="Q23" s="8"/>
    </row>
    <row r="24">
      <c r="A24" s="1" t="s">
        <v>0</v>
      </c>
      <c r="B24" s="2" t="s">
        <v>1</v>
      </c>
      <c r="C24" s="3"/>
      <c r="D24" s="3"/>
      <c r="E24" s="3"/>
      <c r="F24" s="3"/>
      <c r="G24" s="3"/>
      <c r="H24" s="4"/>
      <c r="I24" s="1" t="s">
        <v>2</v>
      </c>
      <c r="J24" s="10" t="s">
        <v>33</v>
      </c>
      <c r="K24" s="3"/>
      <c r="L24" s="3"/>
      <c r="M24" s="3"/>
      <c r="N24" s="4"/>
      <c r="O24" s="6"/>
      <c r="P24" s="7"/>
      <c r="Q24" s="8"/>
    </row>
    <row r="25">
      <c r="A25" s="1" t="s">
        <v>4</v>
      </c>
      <c r="B25" s="9" t="s">
        <v>5</v>
      </c>
      <c r="C25" s="3"/>
      <c r="D25" s="3"/>
      <c r="E25" s="3"/>
      <c r="F25" s="3"/>
      <c r="G25" s="3"/>
      <c r="H25" s="4"/>
      <c r="I25" s="1" t="s">
        <v>6</v>
      </c>
      <c r="J25" s="10">
        <v>6.0</v>
      </c>
      <c r="K25" s="3"/>
      <c r="L25" s="3"/>
      <c r="M25" s="3"/>
      <c r="N25" s="4"/>
      <c r="O25" s="6"/>
      <c r="P25" s="7"/>
      <c r="Q25" s="8"/>
    </row>
    <row r="26">
      <c r="A26" s="11" t="s">
        <v>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  <c r="O26" s="6"/>
      <c r="P26" s="7"/>
      <c r="Q26" s="8"/>
    </row>
    <row r="27">
      <c r="A27" s="15" t="s">
        <v>11</v>
      </c>
      <c r="B27" s="2" t="s">
        <v>12</v>
      </c>
      <c r="C27" s="3"/>
      <c r="D27" s="3"/>
      <c r="E27" s="3"/>
      <c r="F27" s="4"/>
      <c r="G27" s="2" t="s">
        <v>13</v>
      </c>
      <c r="H27" s="3"/>
      <c r="I27" s="3"/>
      <c r="J27" s="3"/>
      <c r="K27" s="10" t="s">
        <v>14</v>
      </c>
      <c r="L27" s="3"/>
      <c r="M27" s="3"/>
      <c r="N27" s="4"/>
      <c r="O27" s="12" t="s">
        <v>8</v>
      </c>
      <c r="P27" s="13" t="s">
        <v>9</v>
      </c>
      <c r="Q27" s="14" t="s">
        <v>10</v>
      </c>
    </row>
    <row r="28">
      <c r="A28" s="16"/>
      <c r="B28" s="17" t="s">
        <v>15</v>
      </c>
      <c r="C28" s="4"/>
      <c r="D28" s="17" t="s">
        <v>16</v>
      </c>
      <c r="E28" s="3"/>
      <c r="F28" s="4"/>
      <c r="G28" s="17" t="s">
        <v>15</v>
      </c>
      <c r="H28" s="4"/>
      <c r="I28" s="17" t="s">
        <v>16</v>
      </c>
      <c r="J28" s="4"/>
      <c r="K28" s="17" t="s">
        <v>15</v>
      </c>
      <c r="L28" s="4"/>
      <c r="M28" s="17" t="s">
        <v>16</v>
      </c>
      <c r="N28" s="4"/>
      <c r="O28" s="6"/>
      <c r="P28" s="7"/>
      <c r="Q28" s="8"/>
    </row>
    <row r="29">
      <c r="A29" s="18" t="s">
        <v>17</v>
      </c>
      <c r="B29" s="20">
        <v>0.21458333333333332</v>
      </c>
      <c r="C29" s="4"/>
      <c r="D29" s="19"/>
      <c r="E29" s="3"/>
      <c r="F29" s="4"/>
      <c r="G29" s="19"/>
      <c r="H29" s="4"/>
      <c r="I29" s="19"/>
      <c r="J29" s="4"/>
      <c r="K29" s="19"/>
      <c r="L29" s="4"/>
      <c r="M29" s="20">
        <v>0.8958333333333334</v>
      </c>
      <c r="N29" s="4"/>
      <c r="O29" s="6">
        <f t="shared" ref="O29:O31" si="7">M29-B29</f>
        <v>0.68125</v>
      </c>
      <c r="P29" s="21">
        <v>0.3541666666666667</v>
      </c>
      <c r="Q29" s="8">
        <f t="shared" ref="Q29:Q44" si="8">O29-P29</f>
        <v>0.3270833333</v>
      </c>
    </row>
    <row r="30">
      <c r="A30" s="18" t="s">
        <v>18</v>
      </c>
      <c r="B30" s="20">
        <v>0.21666666666666667</v>
      </c>
      <c r="C30" s="4"/>
      <c r="D30" s="19"/>
      <c r="E30" s="3"/>
      <c r="F30" s="4"/>
      <c r="G30" s="19"/>
      <c r="H30" s="4"/>
      <c r="I30" s="19"/>
      <c r="J30" s="4"/>
      <c r="K30" s="19"/>
      <c r="L30" s="4"/>
      <c r="M30" s="20">
        <v>0.875</v>
      </c>
      <c r="N30" s="4"/>
      <c r="O30" s="6">
        <f t="shared" si="7"/>
        <v>0.6583333333</v>
      </c>
      <c r="P30" s="21">
        <v>0.3541666666666667</v>
      </c>
      <c r="Q30" s="8">
        <f t="shared" si="8"/>
        <v>0.3041666667</v>
      </c>
    </row>
    <row r="31">
      <c r="A31" s="18" t="s">
        <v>19</v>
      </c>
      <c r="B31" s="20">
        <v>0.21875</v>
      </c>
      <c r="C31" s="4"/>
      <c r="D31" s="19"/>
      <c r="E31" s="3"/>
      <c r="F31" s="4"/>
      <c r="G31" s="19"/>
      <c r="H31" s="4"/>
      <c r="I31" s="19"/>
      <c r="J31" s="4"/>
      <c r="K31" s="19"/>
      <c r="L31" s="4"/>
      <c r="M31" s="20">
        <v>0.9034722222222222</v>
      </c>
      <c r="N31" s="4"/>
      <c r="O31" s="6">
        <f t="shared" si="7"/>
        <v>0.6847222222</v>
      </c>
      <c r="P31" s="21">
        <v>0.3541666666666667</v>
      </c>
      <c r="Q31" s="8">
        <f t="shared" si="8"/>
        <v>0.3305555556</v>
      </c>
    </row>
    <row r="32">
      <c r="A32" s="22" t="s">
        <v>20</v>
      </c>
      <c r="B32" s="29">
        <v>0.22430555555555556</v>
      </c>
      <c r="C32" s="4"/>
      <c r="D32" s="29">
        <v>0.8430555555555556</v>
      </c>
      <c r="E32" s="3"/>
      <c r="F32" s="4"/>
      <c r="G32" s="30"/>
      <c r="H32" s="4"/>
      <c r="I32" s="30"/>
      <c r="J32" s="4"/>
      <c r="K32" s="30"/>
      <c r="L32" s="4"/>
      <c r="M32" s="30"/>
      <c r="N32" s="4"/>
      <c r="O32" s="31">
        <f>D32-B32</f>
        <v>0.61875</v>
      </c>
      <c r="P32" s="32">
        <v>0.3541666666666667</v>
      </c>
      <c r="Q32" s="8">
        <f t="shared" si="8"/>
        <v>0.2645833333</v>
      </c>
    </row>
    <row r="33">
      <c r="A33" s="22" t="s">
        <v>21</v>
      </c>
      <c r="B33" s="19"/>
      <c r="C33" s="4"/>
      <c r="D33" s="19"/>
      <c r="E33" s="3"/>
      <c r="F33" s="4"/>
      <c r="G33" s="19"/>
      <c r="H33" s="4"/>
      <c r="I33" s="19"/>
      <c r="J33" s="4"/>
      <c r="K33" s="19"/>
      <c r="L33" s="4"/>
      <c r="M33" s="19"/>
      <c r="N33" s="4"/>
      <c r="O33" s="6"/>
      <c r="P33" s="7"/>
      <c r="Q33" s="8">
        <f t="shared" si="8"/>
        <v>0</v>
      </c>
    </row>
    <row r="34">
      <c r="A34" s="18" t="s">
        <v>22</v>
      </c>
      <c r="B34" s="20">
        <v>0.21875</v>
      </c>
      <c r="C34" s="4"/>
      <c r="D34" s="19"/>
      <c r="E34" s="3"/>
      <c r="F34" s="4"/>
      <c r="G34" s="19"/>
      <c r="H34" s="4"/>
      <c r="I34" s="19"/>
      <c r="J34" s="4"/>
      <c r="K34" s="19"/>
      <c r="L34" s="4"/>
      <c r="M34" s="20">
        <v>0.8638888888888889</v>
      </c>
      <c r="N34" s="4"/>
      <c r="O34" s="6">
        <f>M34-B34</f>
        <v>0.6451388889</v>
      </c>
      <c r="P34" s="21">
        <v>0.3541666666666667</v>
      </c>
      <c r="Q34" s="8">
        <f t="shared" si="8"/>
        <v>0.2909722222</v>
      </c>
    </row>
    <row r="35">
      <c r="A35" s="18" t="s">
        <v>23</v>
      </c>
      <c r="B35" s="20">
        <v>0.20833333333333334</v>
      </c>
      <c r="C35" s="4"/>
      <c r="D35" s="19"/>
      <c r="E35" s="3"/>
      <c r="F35" s="4"/>
      <c r="G35" s="19"/>
      <c r="H35" s="4"/>
      <c r="I35" s="19"/>
      <c r="J35" s="4"/>
      <c r="K35" s="20">
        <v>0.8090277777777778</v>
      </c>
      <c r="L35" s="4"/>
      <c r="M35" s="19"/>
      <c r="N35" s="4"/>
      <c r="O35" s="6">
        <f>K35-B35</f>
        <v>0.6006944444</v>
      </c>
      <c r="P35" s="21">
        <v>0.3541666666666667</v>
      </c>
      <c r="Q35" s="8">
        <f t="shared" si="8"/>
        <v>0.2465277778</v>
      </c>
    </row>
    <row r="36">
      <c r="A36" s="18" t="s">
        <v>24</v>
      </c>
      <c r="B36" s="20">
        <v>0.21805555555555556</v>
      </c>
      <c r="C36" s="4"/>
      <c r="D36" s="19"/>
      <c r="E36" s="3"/>
      <c r="F36" s="4"/>
      <c r="G36" s="19"/>
      <c r="H36" s="4"/>
      <c r="I36" s="19"/>
      <c r="J36" s="4"/>
      <c r="K36" s="19"/>
      <c r="L36" s="4"/>
      <c r="M36" s="20">
        <v>0.8666666666666667</v>
      </c>
      <c r="N36" s="4"/>
      <c r="O36" s="6">
        <f>M36-B36</f>
        <v>0.6486111111</v>
      </c>
      <c r="P36" s="21">
        <v>0.3541666666666667</v>
      </c>
      <c r="Q36" s="8">
        <f t="shared" si="8"/>
        <v>0.2944444444</v>
      </c>
    </row>
    <row r="37">
      <c r="A37" s="18" t="s">
        <v>25</v>
      </c>
      <c r="B37" s="20">
        <v>0.22013888888888888</v>
      </c>
      <c r="C37" s="4"/>
      <c r="D37" s="19"/>
      <c r="E37" s="3"/>
      <c r="F37" s="4"/>
      <c r="G37" s="19"/>
      <c r="H37" s="4"/>
      <c r="I37" s="20">
        <v>0.7270833333333333</v>
      </c>
      <c r="J37" s="4"/>
      <c r="K37" s="19"/>
      <c r="L37" s="4"/>
      <c r="M37" s="19"/>
      <c r="N37" s="4"/>
      <c r="O37" s="6">
        <f>I37-B37</f>
        <v>0.5069444444</v>
      </c>
      <c r="P37" s="21">
        <v>0.3541666666666667</v>
      </c>
      <c r="Q37" s="8">
        <f t="shared" si="8"/>
        <v>0.1527777778</v>
      </c>
    </row>
    <row r="38">
      <c r="A38" s="18" t="s">
        <v>26</v>
      </c>
      <c r="B38" s="20">
        <v>0.2222222222222222</v>
      </c>
      <c r="C38" s="4"/>
      <c r="D38" s="19"/>
      <c r="E38" s="3"/>
      <c r="F38" s="4"/>
      <c r="G38" s="19"/>
      <c r="H38" s="4"/>
      <c r="I38" s="19"/>
      <c r="J38" s="4"/>
      <c r="K38" s="19"/>
      <c r="L38" s="4"/>
      <c r="M38" s="20">
        <v>0.8875</v>
      </c>
      <c r="N38" s="4"/>
      <c r="O38" s="6">
        <f>M38-B38</f>
        <v>0.6652777778</v>
      </c>
      <c r="P38" s="21">
        <v>0.3541666666666667</v>
      </c>
      <c r="Q38" s="8">
        <f t="shared" si="8"/>
        <v>0.3111111111</v>
      </c>
    </row>
    <row r="39">
      <c r="A39" s="22" t="s">
        <v>27</v>
      </c>
      <c r="B39" s="29">
        <v>0.20833333333333334</v>
      </c>
      <c r="C39" s="4"/>
      <c r="D39" s="29">
        <v>0.7083333333333334</v>
      </c>
      <c r="E39" s="3"/>
      <c r="F39" s="4"/>
      <c r="G39" s="30"/>
      <c r="H39" s="4"/>
      <c r="I39" s="30"/>
      <c r="J39" s="4"/>
      <c r="K39" s="30"/>
      <c r="L39" s="4"/>
      <c r="M39" s="30"/>
      <c r="N39" s="4"/>
      <c r="O39" s="31">
        <f t="shared" ref="O39:O40" si="9">D39-B39</f>
        <v>0.5</v>
      </c>
      <c r="P39" s="32">
        <v>0.3541666666666667</v>
      </c>
      <c r="Q39" s="8">
        <f t="shared" si="8"/>
        <v>0.1458333333</v>
      </c>
    </row>
    <row r="40">
      <c r="A40" s="22" t="s">
        <v>28</v>
      </c>
      <c r="B40" s="29">
        <v>0.33958333333333335</v>
      </c>
      <c r="C40" s="4"/>
      <c r="D40" s="29">
        <v>0.6763888888888889</v>
      </c>
      <c r="E40" s="3"/>
      <c r="F40" s="4"/>
      <c r="G40" s="30"/>
      <c r="H40" s="4"/>
      <c r="I40" s="30"/>
      <c r="J40" s="4"/>
      <c r="K40" s="30"/>
      <c r="L40" s="4"/>
      <c r="M40" s="30"/>
      <c r="N40" s="4"/>
      <c r="O40" s="31">
        <f t="shared" si="9"/>
        <v>0.3368055556</v>
      </c>
      <c r="P40" s="32">
        <v>0.3541666666666667</v>
      </c>
      <c r="Q40" s="8">
        <f t="shared" si="8"/>
        <v>-0.01736111111</v>
      </c>
    </row>
    <row r="41">
      <c r="A41" s="18" t="s">
        <v>29</v>
      </c>
      <c r="B41" s="20">
        <v>0.22013888888888888</v>
      </c>
      <c r="C41" s="4"/>
      <c r="D41" s="19"/>
      <c r="E41" s="3"/>
      <c r="F41" s="4"/>
      <c r="G41" s="19"/>
      <c r="H41" s="4"/>
      <c r="I41" s="19"/>
      <c r="J41" s="4"/>
      <c r="K41" s="19"/>
      <c r="L41" s="4"/>
      <c r="M41" s="20">
        <v>0.8708333333333333</v>
      </c>
      <c r="N41" s="4"/>
      <c r="O41" s="6">
        <f t="shared" ref="O41:O44" si="10">M41-B41</f>
        <v>0.6506944444</v>
      </c>
      <c r="P41" s="21">
        <v>0.3541666666666667</v>
      </c>
      <c r="Q41" s="8">
        <f t="shared" si="8"/>
        <v>0.2965277778</v>
      </c>
    </row>
    <row r="42">
      <c r="A42" s="18" t="s">
        <v>30</v>
      </c>
      <c r="B42" s="20">
        <v>0.2152777777777778</v>
      </c>
      <c r="C42" s="4"/>
      <c r="D42" s="19"/>
      <c r="E42" s="3"/>
      <c r="F42" s="4"/>
      <c r="G42" s="19"/>
      <c r="H42" s="4"/>
      <c r="I42" s="19"/>
      <c r="J42" s="4"/>
      <c r="K42" s="19"/>
      <c r="L42" s="4"/>
      <c r="M42" s="20">
        <v>0.85</v>
      </c>
      <c r="N42" s="4"/>
      <c r="O42" s="6">
        <f t="shared" si="10"/>
        <v>0.6347222222</v>
      </c>
      <c r="P42" s="21">
        <v>0.3541666666666667</v>
      </c>
      <c r="Q42" s="8">
        <f t="shared" si="8"/>
        <v>0.2805555556</v>
      </c>
    </row>
    <row r="43">
      <c r="A43" s="18" t="s">
        <v>31</v>
      </c>
      <c r="B43" s="20">
        <v>0.21944444444444444</v>
      </c>
      <c r="C43" s="4"/>
      <c r="D43" s="19"/>
      <c r="E43" s="3"/>
      <c r="F43" s="4"/>
      <c r="G43" s="19"/>
      <c r="H43" s="4"/>
      <c r="I43" s="19"/>
      <c r="J43" s="4"/>
      <c r="K43" s="19"/>
      <c r="L43" s="4"/>
      <c r="M43" s="20">
        <v>0.8930555555555556</v>
      </c>
      <c r="N43" s="4"/>
      <c r="O43" s="6">
        <f t="shared" si="10"/>
        <v>0.6736111111</v>
      </c>
      <c r="P43" s="21">
        <v>0.3541666666666667</v>
      </c>
      <c r="Q43" s="8">
        <f t="shared" si="8"/>
        <v>0.3194444444</v>
      </c>
    </row>
    <row r="44">
      <c r="A44" s="18" t="s">
        <v>32</v>
      </c>
      <c r="B44" s="23"/>
      <c r="C44" s="4"/>
      <c r="D44" s="24"/>
      <c r="E44" s="3"/>
      <c r="F44" s="3"/>
      <c r="G44" s="25"/>
      <c r="H44" s="3"/>
      <c r="I44" s="26"/>
      <c r="J44" s="3"/>
      <c r="K44" s="24"/>
      <c r="L44" s="3"/>
      <c r="M44" s="24"/>
      <c r="N44" s="4"/>
      <c r="O44" s="6">
        <f t="shared" si="10"/>
        <v>0</v>
      </c>
      <c r="P44" s="7"/>
      <c r="Q44" s="8">
        <f t="shared" si="8"/>
        <v>0</v>
      </c>
    </row>
    <row r="45">
      <c r="O45" s="28" t="s">
        <v>10</v>
      </c>
      <c r="P45" s="7"/>
      <c r="Q45" s="8">
        <f>Q29+Q30+Q31+Q34+Q35+Q36+Q37+Q38+Q41+Q42+Q43</f>
        <v>3.154166667</v>
      </c>
    </row>
    <row r="46">
      <c r="O46" s="6"/>
      <c r="P46" s="7"/>
      <c r="Q46" s="8"/>
    </row>
    <row r="47">
      <c r="A47" s="1" t="s">
        <v>0</v>
      </c>
      <c r="B47" s="2" t="s">
        <v>1</v>
      </c>
      <c r="C47" s="3"/>
      <c r="D47" s="3"/>
      <c r="E47" s="3"/>
      <c r="F47" s="3"/>
      <c r="G47" s="3"/>
      <c r="H47" s="4"/>
      <c r="I47" s="1" t="s">
        <v>2</v>
      </c>
      <c r="J47" s="10" t="s">
        <v>34</v>
      </c>
      <c r="K47" s="3"/>
      <c r="L47" s="3"/>
      <c r="M47" s="3"/>
      <c r="N47" s="4"/>
      <c r="O47" s="6"/>
      <c r="P47" s="7"/>
      <c r="Q47" s="8"/>
    </row>
    <row r="48">
      <c r="A48" s="1" t="s">
        <v>4</v>
      </c>
      <c r="B48" s="9" t="s">
        <v>5</v>
      </c>
      <c r="C48" s="3"/>
      <c r="D48" s="3"/>
      <c r="E48" s="3"/>
      <c r="F48" s="3"/>
      <c r="G48" s="3"/>
      <c r="H48" s="4"/>
      <c r="I48" s="1" t="s">
        <v>6</v>
      </c>
      <c r="J48" s="10">
        <v>7.0</v>
      </c>
      <c r="K48" s="3"/>
      <c r="L48" s="3"/>
      <c r="M48" s="3"/>
      <c r="N48" s="4"/>
      <c r="O48" s="6"/>
      <c r="P48" s="7"/>
      <c r="Q48" s="8"/>
    </row>
    <row r="49">
      <c r="A49" s="11" t="s">
        <v>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4"/>
      <c r="O49" s="12" t="s">
        <v>8</v>
      </c>
      <c r="P49" s="13" t="s">
        <v>9</v>
      </c>
      <c r="Q49" s="14" t="s">
        <v>10</v>
      </c>
    </row>
    <row r="50">
      <c r="A50" s="15" t="s">
        <v>11</v>
      </c>
      <c r="B50" s="2" t="s">
        <v>12</v>
      </c>
      <c r="C50" s="3"/>
      <c r="D50" s="3"/>
      <c r="E50" s="3"/>
      <c r="F50" s="4"/>
      <c r="G50" s="2" t="s">
        <v>13</v>
      </c>
      <c r="H50" s="3"/>
      <c r="I50" s="3"/>
      <c r="J50" s="3"/>
      <c r="K50" s="10" t="s">
        <v>14</v>
      </c>
      <c r="L50" s="3"/>
      <c r="M50" s="3"/>
      <c r="N50" s="4"/>
      <c r="O50" s="6"/>
      <c r="P50" s="7"/>
      <c r="Q50" s="8"/>
    </row>
    <row r="51">
      <c r="A51" s="16"/>
      <c r="B51" s="17" t="s">
        <v>15</v>
      </c>
      <c r="C51" s="4"/>
      <c r="D51" s="17" t="s">
        <v>16</v>
      </c>
      <c r="E51" s="3"/>
      <c r="F51" s="4"/>
      <c r="G51" s="17" t="s">
        <v>15</v>
      </c>
      <c r="H51" s="4"/>
      <c r="I51" s="17" t="s">
        <v>16</v>
      </c>
      <c r="J51" s="4"/>
      <c r="K51" s="17" t="s">
        <v>15</v>
      </c>
      <c r="L51" s="4"/>
      <c r="M51" s="17" t="s">
        <v>16</v>
      </c>
      <c r="N51" s="4"/>
      <c r="O51" s="6"/>
      <c r="P51" s="7"/>
      <c r="Q51" s="8"/>
    </row>
    <row r="52">
      <c r="A52" s="18" t="s">
        <v>17</v>
      </c>
      <c r="B52" s="19"/>
      <c r="C52" s="4"/>
      <c r="D52" s="19"/>
      <c r="E52" s="3"/>
      <c r="F52" s="4"/>
      <c r="G52" s="20">
        <v>0.5486111111111112</v>
      </c>
      <c r="H52" s="4"/>
      <c r="I52" s="19"/>
      <c r="J52" s="4"/>
      <c r="K52" s="19"/>
      <c r="L52" s="4"/>
      <c r="M52" s="20">
        <v>0.9048611111111111</v>
      </c>
      <c r="N52" s="4"/>
      <c r="O52" s="6">
        <f>M52-G52</f>
        <v>0.35625</v>
      </c>
      <c r="P52" s="21">
        <v>0.3541666666666667</v>
      </c>
      <c r="Q52" s="8">
        <f t="shared" ref="Q52:Q54" si="11">O52-P52</f>
        <v>0.002083333333</v>
      </c>
    </row>
    <row r="53">
      <c r="A53" s="18" t="s">
        <v>18</v>
      </c>
      <c r="B53" s="19"/>
      <c r="C53" s="4"/>
      <c r="D53" s="20">
        <v>0.45069444444444445</v>
      </c>
      <c r="E53" s="3"/>
      <c r="F53" s="4"/>
      <c r="G53" s="19"/>
      <c r="H53" s="4"/>
      <c r="I53" s="19"/>
      <c r="J53" s="4"/>
      <c r="K53" s="19"/>
      <c r="L53" s="4"/>
      <c r="M53" s="20">
        <v>0.8638888888888889</v>
      </c>
      <c r="N53" s="4"/>
      <c r="O53" s="6">
        <f>M53-D53</f>
        <v>0.4131944444</v>
      </c>
      <c r="P53" s="21">
        <v>0.3541666666666667</v>
      </c>
      <c r="Q53" s="8">
        <f t="shared" si="11"/>
        <v>0.05902777778</v>
      </c>
    </row>
    <row r="54">
      <c r="A54" s="18" t="s">
        <v>19</v>
      </c>
      <c r="B54" s="19"/>
      <c r="C54" s="4"/>
      <c r="D54" s="20">
        <v>0.4388888888888889</v>
      </c>
      <c r="E54" s="3"/>
      <c r="F54" s="4"/>
      <c r="G54" s="19"/>
      <c r="H54" s="4"/>
      <c r="I54" s="19"/>
      <c r="J54" s="4"/>
      <c r="K54" s="20">
        <v>0.7986111111111112</v>
      </c>
      <c r="L54" s="4"/>
      <c r="M54" s="19"/>
      <c r="N54" s="4"/>
      <c r="O54" s="6">
        <f>K54-D54</f>
        <v>0.3597222222</v>
      </c>
      <c r="P54" s="21">
        <v>0.3541666666666667</v>
      </c>
      <c r="Q54" s="8">
        <f t="shared" si="11"/>
        <v>0.005555555556</v>
      </c>
    </row>
    <row r="55">
      <c r="A55" s="22" t="s">
        <v>20</v>
      </c>
      <c r="B55" s="19"/>
      <c r="C55" s="4"/>
      <c r="D55" s="19"/>
      <c r="E55" s="3"/>
      <c r="F55" s="4"/>
      <c r="G55" s="19"/>
      <c r="H55" s="4"/>
      <c r="I55" s="19"/>
      <c r="J55" s="4"/>
      <c r="K55" s="19"/>
      <c r="L55" s="4"/>
      <c r="M55" s="19"/>
      <c r="N55" s="4"/>
      <c r="O55" s="6">
        <f t="shared" ref="O55:O57" si="12">M55-G55</f>
        <v>0</v>
      </c>
      <c r="P55" s="7"/>
      <c r="Q55" s="8"/>
    </row>
    <row r="56">
      <c r="A56" s="22" t="s">
        <v>21</v>
      </c>
      <c r="B56" s="19"/>
      <c r="C56" s="4"/>
      <c r="D56" s="19"/>
      <c r="E56" s="3"/>
      <c r="F56" s="4"/>
      <c r="G56" s="19"/>
      <c r="H56" s="4"/>
      <c r="I56" s="19"/>
      <c r="J56" s="4"/>
      <c r="K56" s="19"/>
      <c r="L56" s="4"/>
      <c r="M56" s="19"/>
      <c r="N56" s="4"/>
      <c r="O56" s="6">
        <f t="shared" si="12"/>
        <v>0</v>
      </c>
      <c r="P56" s="7"/>
      <c r="Q56" s="8"/>
    </row>
    <row r="57">
      <c r="A57" s="18" t="s">
        <v>22</v>
      </c>
      <c r="B57" s="23"/>
      <c r="C57" s="4"/>
      <c r="D57" s="24"/>
      <c r="E57" s="3"/>
      <c r="F57" s="3"/>
      <c r="G57" s="25"/>
      <c r="H57" s="3"/>
      <c r="I57" s="26"/>
      <c r="J57" s="3"/>
      <c r="K57" s="24"/>
      <c r="L57" s="3"/>
      <c r="M57" s="24"/>
      <c r="N57" s="4"/>
      <c r="O57" s="6">
        <f t="shared" si="12"/>
        <v>0</v>
      </c>
      <c r="P57" s="7"/>
      <c r="Q57" s="8"/>
    </row>
    <row r="58">
      <c r="A58" s="18" t="s">
        <v>23</v>
      </c>
      <c r="B58" s="20">
        <v>0.4027777777777778</v>
      </c>
      <c r="C58" s="4"/>
      <c r="D58" s="19"/>
      <c r="E58" s="3"/>
      <c r="F58" s="4"/>
      <c r="G58" s="19"/>
      <c r="H58" s="4"/>
      <c r="I58" s="19"/>
      <c r="J58" s="4"/>
      <c r="K58" s="20">
        <v>0.7715277777777778</v>
      </c>
      <c r="L58" s="4"/>
      <c r="M58" s="19"/>
      <c r="N58" s="4"/>
      <c r="O58" s="6">
        <f>K58-B58</f>
        <v>0.36875</v>
      </c>
      <c r="P58" s="21">
        <v>0.3541666666666667</v>
      </c>
      <c r="Q58" s="8">
        <f t="shared" ref="Q58:Q61" si="13">O58-P58</f>
        <v>0.01458333333</v>
      </c>
    </row>
    <row r="59">
      <c r="A59" s="18" t="s">
        <v>24</v>
      </c>
      <c r="B59" s="19"/>
      <c r="C59" s="4"/>
      <c r="D59" s="19"/>
      <c r="E59" s="3"/>
      <c r="F59" s="4"/>
      <c r="G59" s="20">
        <v>0.5555555555555556</v>
      </c>
      <c r="H59" s="4"/>
      <c r="I59" s="19"/>
      <c r="J59" s="4"/>
      <c r="K59" s="20">
        <v>0.8888888888888888</v>
      </c>
      <c r="L59" s="4"/>
      <c r="M59" s="19"/>
      <c r="N59" s="4"/>
      <c r="O59" s="6">
        <f>K59-G59</f>
        <v>0.3333333333</v>
      </c>
      <c r="P59" s="21">
        <v>0.3541666666666667</v>
      </c>
      <c r="Q59" s="8">
        <f t="shared" si="13"/>
        <v>-0.02083333333</v>
      </c>
    </row>
    <row r="60">
      <c r="A60" s="18" t="s">
        <v>25</v>
      </c>
      <c r="B60" s="20">
        <v>0.4083333333333333</v>
      </c>
      <c r="C60" s="4"/>
      <c r="D60" s="19"/>
      <c r="E60" s="3"/>
      <c r="F60" s="4"/>
      <c r="G60" s="19"/>
      <c r="H60" s="4"/>
      <c r="I60" s="20">
        <v>0.7652777777777777</v>
      </c>
      <c r="J60" s="4"/>
      <c r="K60" s="19"/>
      <c r="L60" s="4"/>
      <c r="M60" s="19"/>
      <c r="N60" s="4"/>
      <c r="O60" s="6">
        <f>I60-B60</f>
        <v>0.3569444444</v>
      </c>
      <c r="P60" s="21">
        <v>0.3541666666666667</v>
      </c>
      <c r="Q60" s="8">
        <f t="shared" si="13"/>
        <v>0.002777777778</v>
      </c>
    </row>
    <row r="61">
      <c r="A61" s="18" t="s">
        <v>26</v>
      </c>
      <c r="B61" s="19"/>
      <c r="C61" s="4"/>
      <c r="D61" s="20">
        <v>0.48125</v>
      </c>
      <c r="E61" s="3"/>
      <c r="F61" s="4"/>
      <c r="G61" s="19"/>
      <c r="H61" s="4"/>
      <c r="I61" s="19"/>
      <c r="J61" s="4"/>
      <c r="K61" s="19"/>
      <c r="L61" s="4"/>
      <c r="M61" s="20">
        <v>0.8944444444444445</v>
      </c>
      <c r="N61" s="4"/>
      <c r="O61" s="6">
        <f>M61-D61</f>
        <v>0.4131944444</v>
      </c>
      <c r="P61" s="21">
        <v>0.3541666666666667</v>
      </c>
      <c r="Q61" s="8">
        <f t="shared" si="13"/>
        <v>0.05902777778</v>
      </c>
    </row>
    <row r="62">
      <c r="A62" s="22" t="s">
        <v>27</v>
      </c>
      <c r="B62" s="19"/>
      <c r="C62" s="4"/>
      <c r="D62" s="19"/>
      <c r="E62" s="3"/>
      <c r="F62" s="4"/>
      <c r="G62" s="19"/>
      <c r="H62" s="4"/>
      <c r="I62" s="19"/>
      <c r="J62" s="4"/>
      <c r="K62" s="19"/>
      <c r="L62" s="4"/>
      <c r="M62" s="19"/>
      <c r="N62" s="4"/>
      <c r="O62" s="6">
        <f t="shared" ref="O62:O63" si="14">M62-G62</f>
        <v>0</v>
      </c>
      <c r="P62" s="7"/>
      <c r="Q62" s="8"/>
    </row>
    <row r="63">
      <c r="A63" s="22" t="s">
        <v>28</v>
      </c>
      <c r="B63" s="19"/>
      <c r="C63" s="4"/>
      <c r="D63" s="19"/>
      <c r="E63" s="3"/>
      <c r="F63" s="4"/>
      <c r="G63" s="19"/>
      <c r="H63" s="4"/>
      <c r="I63" s="19"/>
      <c r="J63" s="4"/>
      <c r="K63" s="19"/>
      <c r="L63" s="4"/>
      <c r="M63" s="19"/>
      <c r="N63" s="4"/>
      <c r="O63" s="6">
        <f t="shared" si="14"/>
        <v>0</v>
      </c>
      <c r="P63" s="7"/>
      <c r="Q63" s="8"/>
    </row>
    <row r="64">
      <c r="A64" s="18" t="s">
        <v>29</v>
      </c>
      <c r="B64" s="20">
        <v>0.3486111111111111</v>
      </c>
      <c r="C64" s="4"/>
      <c r="D64" s="19"/>
      <c r="E64" s="3"/>
      <c r="F64" s="4"/>
      <c r="G64" s="19"/>
      <c r="H64" s="4"/>
      <c r="I64" s="20">
        <v>0.7298611111111111</v>
      </c>
      <c r="J64" s="4"/>
      <c r="K64" s="19"/>
      <c r="L64" s="4"/>
      <c r="M64" s="19"/>
      <c r="N64" s="4"/>
      <c r="O64" s="6">
        <f>I64-B64</f>
        <v>0.38125</v>
      </c>
      <c r="P64" s="21">
        <v>0.3541666666666667</v>
      </c>
      <c r="Q64" s="8">
        <f t="shared" ref="Q64:Q66" si="15">O64-P64</f>
        <v>0.02708333333</v>
      </c>
    </row>
    <row r="65">
      <c r="A65" s="18" t="s">
        <v>30</v>
      </c>
      <c r="B65" s="19"/>
      <c r="C65" s="4"/>
      <c r="D65" s="20">
        <v>0.4270833333333333</v>
      </c>
      <c r="E65" s="3"/>
      <c r="F65" s="4"/>
      <c r="G65" s="19"/>
      <c r="H65" s="4"/>
      <c r="I65" s="19"/>
      <c r="J65" s="4"/>
      <c r="K65" s="19"/>
      <c r="L65" s="4"/>
      <c r="M65" s="20">
        <v>0.8548611111111111</v>
      </c>
      <c r="N65" s="4"/>
      <c r="O65" s="6">
        <f t="shared" ref="O65:O66" si="16">M65-D65</f>
        <v>0.4277777778</v>
      </c>
      <c r="P65" s="21">
        <v>0.3541666666666667</v>
      </c>
      <c r="Q65" s="8">
        <f t="shared" si="15"/>
        <v>0.07361111111</v>
      </c>
    </row>
    <row r="66">
      <c r="A66" s="18" t="s">
        <v>31</v>
      </c>
      <c r="B66" s="19"/>
      <c r="C66" s="4"/>
      <c r="D66" s="20">
        <v>0.45416666666666666</v>
      </c>
      <c r="E66" s="3"/>
      <c r="F66" s="4"/>
      <c r="G66" s="19"/>
      <c r="H66" s="4"/>
      <c r="I66" s="19"/>
      <c r="J66" s="4"/>
      <c r="K66" s="19"/>
      <c r="L66" s="4"/>
      <c r="M66" s="20">
        <v>0.8715277777777778</v>
      </c>
      <c r="N66" s="4"/>
      <c r="O66" s="6">
        <f t="shared" si="16"/>
        <v>0.4173611111</v>
      </c>
      <c r="P66" s="21">
        <v>0.3541666666666667</v>
      </c>
      <c r="Q66" s="8">
        <f t="shared" si="15"/>
        <v>0.06319444444</v>
      </c>
    </row>
    <row r="67">
      <c r="A67" s="18" t="s">
        <v>32</v>
      </c>
      <c r="B67" s="23"/>
      <c r="C67" s="4"/>
      <c r="D67" s="24"/>
      <c r="E67" s="3"/>
      <c r="F67" s="3"/>
      <c r="G67" s="25"/>
      <c r="H67" s="3"/>
      <c r="I67" s="26"/>
      <c r="J67" s="3"/>
      <c r="K67" s="24"/>
      <c r="L67" s="3"/>
      <c r="M67" s="24"/>
      <c r="N67" s="4"/>
      <c r="O67" s="6">
        <f>M67-G67</f>
        <v>0</v>
      </c>
      <c r="P67" s="7"/>
      <c r="Q67" s="8"/>
    </row>
    <row r="68">
      <c r="O68" s="28" t="s">
        <v>10</v>
      </c>
      <c r="P68" s="7"/>
      <c r="Q68" s="8">
        <f>Q53+Q61+Q65+Q66</f>
        <v>0.2548611111</v>
      </c>
    </row>
    <row r="69">
      <c r="O69" s="6"/>
      <c r="P69" s="7"/>
      <c r="Q69" s="8"/>
    </row>
    <row r="70">
      <c r="A70" s="1" t="s">
        <v>0</v>
      </c>
      <c r="B70" s="2" t="s">
        <v>1</v>
      </c>
      <c r="C70" s="3"/>
      <c r="D70" s="3"/>
      <c r="E70" s="3"/>
      <c r="F70" s="3"/>
      <c r="G70" s="3"/>
      <c r="H70" s="4"/>
      <c r="I70" s="1" t="s">
        <v>2</v>
      </c>
      <c r="J70" s="10" t="s">
        <v>35</v>
      </c>
      <c r="K70" s="3"/>
      <c r="L70" s="3"/>
      <c r="M70" s="3"/>
      <c r="N70" s="4"/>
      <c r="O70" s="6"/>
      <c r="P70" s="7"/>
      <c r="Q70" s="8"/>
    </row>
    <row r="71">
      <c r="A71" s="1" t="s">
        <v>4</v>
      </c>
      <c r="B71" s="9" t="s">
        <v>5</v>
      </c>
      <c r="C71" s="3"/>
      <c r="D71" s="3"/>
      <c r="E71" s="3"/>
      <c r="F71" s="3"/>
      <c r="G71" s="3"/>
      <c r="H71" s="4"/>
      <c r="I71" s="1" t="s">
        <v>6</v>
      </c>
      <c r="J71" s="10">
        <v>8.0</v>
      </c>
      <c r="K71" s="3"/>
      <c r="L71" s="3"/>
      <c r="M71" s="3"/>
      <c r="N71" s="4"/>
      <c r="O71" s="6"/>
      <c r="P71" s="7"/>
      <c r="Q71" s="8"/>
    </row>
    <row r="72">
      <c r="A72" s="11" t="s">
        <v>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4"/>
      <c r="O72" s="12" t="s">
        <v>8</v>
      </c>
      <c r="P72" s="13" t="s">
        <v>9</v>
      </c>
      <c r="Q72" s="14" t="s">
        <v>10</v>
      </c>
    </row>
    <row r="73">
      <c r="A73" s="15" t="s">
        <v>11</v>
      </c>
      <c r="B73" s="2" t="s">
        <v>12</v>
      </c>
      <c r="C73" s="3"/>
      <c r="D73" s="3"/>
      <c r="E73" s="3"/>
      <c r="F73" s="4"/>
      <c r="G73" s="2" t="s">
        <v>13</v>
      </c>
      <c r="H73" s="3"/>
      <c r="I73" s="3"/>
      <c r="J73" s="3"/>
      <c r="K73" s="10" t="s">
        <v>14</v>
      </c>
      <c r="L73" s="3"/>
      <c r="M73" s="3"/>
      <c r="N73" s="4"/>
      <c r="O73" s="6"/>
      <c r="P73" s="7"/>
      <c r="Q73" s="8"/>
    </row>
    <row r="74">
      <c r="A74" s="16"/>
      <c r="B74" s="17" t="s">
        <v>15</v>
      </c>
      <c r="C74" s="4"/>
      <c r="D74" s="17" t="s">
        <v>16</v>
      </c>
      <c r="E74" s="3"/>
      <c r="F74" s="4"/>
      <c r="G74" s="17" t="s">
        <v>15</v>
      </c>
      <c r="H74" s="4"/>
      <c r="I74" s="17" t="s">
        <v>16</v>
      </c>
      <c r="J74" s="4"/>
      <c r="K74" s="17" t="s">
        <v>15</v>
      </c>
      <c r="L74" s="4"/>
      <c r="M74" s="17" t="s">
        <v>16</v>
      </c>
      <c r="N74" s="4"/>
      <c r="O74" s="6"/>
      <c r="P74" s="7"/>
      <c r="Q74" s="8"/>
    </row>
    <row r="75">
      <c r="A75" s="18" t="s">
        <v>17</v>
      </c>
      <c r="B75" s="20">
        <v>0.36666666666666664</v>
      </c>
      <c r="C75" s="4"/>
      <c r="D75" s="19"/>
      <c r="E75" s="3"/>
      <c r="F75" s="4"/>
      <c r="G75" s="19"/>
      <c r="H75" s="4"/>
      <c r="I75" s="19"/>
      <c r="J75" s="4"/>
      <c r="K75" s="20">
        <v>0.7729166666666667</v>
      </c>
      <c r="L75" s="4"/>
      <c r="M75" s="19"/>
      <c r="N75" s="4"/>
      <c r="O75" s="6">
        <f>K75-B75</f>
        <v>0.40625</v>
      </c>
      <c r="P75" s="21">
        <v>0.375</v>
      </c>
      <c r="Q75" s="8">
        <f>O75-P75</f>
        <v>0.03125</v>
      </c>
    </row>
    <row r="76">
      <c r="A76" s="18" t="s">
        <v>18</v>
      </c>
      <c r="B76" s="23"/>
      <c r="C76" s="4"/>
      <c r="D76" s="24"/>
      <c r="E76" s="3"/>
      <c r="F76" s="3"/>
      <c r="G76" s="25"/>
      <c r="H76" s="3"/>
      <c r="I76" s="26"/>
      <c r="J76" s="3"/>
      <c r="K76" s="24"/>
      <c r="L76" s="3"/>
      <c r="M76" s="24"/>
      <c r="N76" s="4"/>
      <c r="O76" s="6"/>
      <c r="P76" s="7"/>
      <c r="Q76" s="8"/>
    </row>
    <row r="77">
      <c r="A77" s="18" t="s">
        <v>19</v>
      </c>
      <c r="B77" s="20">
        <v>0.3597222222222222</v>
      </c>
      <c r="C77" s="4"/>
      <c r="D77" s="19"/>
      <c r="E77" s="3"/>
      <c r="F77" s="4"/>
      <c r="G77" s="19"/>
      <c r="H77" s="4"/>
      <c r="I77" s="20">
        <v>0.7673611111111112</v>
      </c>
      <c r="J77" s="4"/>
      <c r="K77" s="19"/>
      <c r="L77" s="4"/>
      <c r="M77" s="19"/>
      <c r="N77" s="4"/>
      <c r="O77" s="6">
        <f>I77-B77</f>
        <v>0.4076388889</v>
      </c>
      <c r="P77" s="21">
        <v>0.375</v>
      </c>
      <c r="Q77" s="8">
        <f t="shared" ref="Q77:Q78" si="17">O77-P77</f>
        <v>0.03263888889</v>
      </c>
    </row>
    <row r="78">
      <c r="A78" s="22" t="s">
        <v>20</v>
      </c>
      <c r="B78" s="20">
        <v>0.3659722222222222</v>
      </c>
      <c r="C78" s="4"/>
      <c r="D78" s="20">
        <v>0.7756944444444445</v>
      </c>
      <c r="E78" s="3"/>
      <c r="F78" s="4"/>
      <c r="G78" s="19"/>
      <c r="H78" s="4"/>
      <c r="I78" s="19"/>
      <c r="J78" s="4"/>
      <c r="K78" s="19"/>
      <c r="L78" s="4"/>
      <c r="M78" s="19"/>
      <c r="N78" s="4"/>
      <c r="O78" s="6">
        <f>D78-B78</f>
        <v>0.4097222222</v>
      </c>
      <c r="P78" s="21">
        <v>0.375</v>
      </c>
      <c r="Q78" s="8">
        <f t="shared" si="17"/>
        <v>0.03472222222</v>
      </c>
    </row>
    <row r="79">
      <c r="A79" s="22" t="s">
        <v>21</v>
      </c>
      <c r="B79" s="19"/>
      <c r="C79" s="4"/>
      <c r="D79" s="19"/>
      <c r="E79" s="3"/>
      <c r="F79" s="4"/>
      <c r="G79" s="19"/>
      <c r="H79" s="4"/>
      <c r="I79" s="19"/>
      <c r="J79" s="4"/>
      <c r="K79" s="19"/>
      <c r="L79" s="4"/>
      <c r="M79" s="19"/>
      <c r="N79" s="4"/>
      <c r="O79" s="6"/>
      <c r="P79" s="7"/>
      <c r="Q79" s="8"/>
    </row>
    <row r="80">
      <c r="A80" s="18" t="s">
        <v>22</v>
      </c>
      <c r="B80" s="20">
        <v>0.3590277777777778</v>
      </c>
      <c r="C80" s="4"/>
      <c r="D80" s="19"/>
      <c r="E80" s="3"/>
      <c r="F80" s="4"/>
      <c r="G80" s="19"/>
      <c r="H80" s="4"/>
      <c r="I80" s="20">
        <v>0.7513888888888889</v>
      </c>
      <c r="J80" s="4"/>
      <c r="K80" s="19"/>
      <c r="L80" s="4"/>
      <c r="M80" s="19"/>
      <c r="N80" s="4"/>
      <c r="O80" s="6">
        <f>I80-B80</f>
        <v>0.3923611111</v>
      </c>
      <c r="P80" s="21">
        <v>0.375</v>
      </c>
      <c r="Q80" s="8">
        <f t="shared" ref="Q80:Q84" si="18">O80-P80</f>
        <v>0.01736111111</v>
      </c>
    </row>
    <row r="81">
      <c r="A81" s="18" t="s">
        <v>23</v>
      </c>
      <c r="B81" s="20">
        <v>0.36944444444444446</v>
      </c>
      <c r="C81" s="4"/>
      <c r="D81" s="19"/>
      <c r="E81" s="3"/>
      <c r="F81" s="4"/>
      <c r="G81" s="19"/>
      <c r="H81" s="4"/>
      <c r="I81" s="19"/>
      <c r="J81" s="4"/>
      <c r="K81" s="20">
        <v>0.775</v>
      </c>
      <c r="L81" s="4"/>
      <c r="M81" s="19"/>
      <c r="N81" s="4"/>
      <c r="O81" s="6">
        <f t="shared" ref="O81:O82" si="19">K81-B81</f>
        <v>0.4055555556</v>
      </c>
      <c r="P81" s="21">
        <v>0.375</v>
      </c>
      <c r="Q81" s="8">
        <f t="shared" si="18"/>
        <v>0.03055555556</v>
      </c>
    </row>
    <row r="82">
      <c r="A82" s="18" t="s">
        <v>24</v>
      </c>
      <c r="B82" s="20">
        <v>0.3770833333333333</v>
      </c>
      <c r="C82" s="4"/>
      <c r="D82" s="19"/>
      <c r="E82" s="3"/>
      <c r="F82" s="4"/>
      <c r="G82" s="19"/>
      <c r="H82" s="4"/>
      <c r="I82" s="19"/>
      <c r="J82" s="4"/>
      <c r="K82" s="20">
        <v>0.7861111111111111</v>
      </c>
      <c r="L82" s="4"/>
      <c r="M82" s="19"/>
      <c r="N82" s="4"/>
      <c r="O82" s="6">
        <f t="shared" si="19"/>
        <v>0.4090277778</v>
      </c>
      <c r="P82" s="21">
        <v>0.375</v>
      </c>
      <c r="Q82" s="8">
        <f t="shared" si="18"/>
        <v>0.03402777778</v>
      </c>
    </row>
    <row r="83">
      <c r="A83" s="18" t="s">
        <v>25</v>
      </c>
      <c r="B83" s="20">
        <v>0.36527777777777776</v>
      </c>
      <c r="C83" s="4"/>
      <c r="D83" s="19"/>
      <c r="E83" s="3"/>
      <c r="F83" s="4"/>
      <c r="G83" s="19"/>
      <c r="H83" s="4"/>
      <c r="I83" s="20">
        <v>0.7625</v>
      </c>
      <c r="J83" s="4"/>
      <c r="K83" s="19"/>
      <c r="L83" s="4"/>
      <c r="M83" s="19"/>
      <c r="N83" s="4"/>
      <c r="O83" s="6">
        <f t="shared" ref="O83:O84" si="20">I83-B83</f>
        <v>0.3972222222</v>
      </c>
      <c r="P83" s="21">
        <v>0.375</v>
      </c>
      <c r="Q83" s="8">
        <f t="shared" si="18"/>
        <v>0.02222222222</v>
      </c>
    </row>
    <row r="84">
      <c r="A84" s="18" t="s">
        <v>26</v>
      </c>
      <c r="B84" s="20">
        <v>0.37222222222222223</v>
      </c>
      <c r="C84" s="4"/>
      <c r="D84" s="19"/>
      <c r="E84" s="3"/>
      <c r="F84" s="4"/>
      <c r="G84" s="19"/>
      <c r="H84" s="4"/>
      <c r="I84" s="20">
        <v>0.7368055555555556</v>
      </c>
      <c r="J84" s="4"/>
      <c r="K84" s="19"/>
      <c r="L84" s="4"/>
      <c r="M84" s="19"/>
      <c r="N84" s="4"/>
      <c r="O84" s="6">
        <f t="shared" si="20"/>
        <v>0.3645833333</v>
      </c>
      <c r="P84" s="21">
        <v>0.375</v>
      </c>
      <c r="Q84" s="8">
        <f t="shared" si="18"/>
        <v>-0.01041666667</v>
      </c>
    </row>
    <row r="85">
      <c r="A85" s="22" t="s">
        <v>27</v>
      </c>
      <c r="B85" s="19"/>
      <c r="C85" s="4"/>
      <c r="D85" s="19"/>
      <c r="E85" s="3"/>
      <c r="F85" s="4"/>
      <c r="G85" s="19"/>
      <c r="H85" s="4"/>
      <c r="I85" s="19"/>
      <c r="J85" s="4"/>
      <c r="K85" s="19"/>
      <c r="L85" s="4"/>
      <c r="M85" s="19"/>
      <c r="N85" s="4"/>
      <c r="O85" s="6"/>
      <c r="P85" s="7"/>
      <c r="Q85" s="8"/>
    </row>
    <row r="86">
      <c r="A86" s="22" t="s">
        <v>28</v>
      </c>
      <c r="B86" s="19"/>
      <c r="C86" s="4"/>
      <c r="D86" s="19"/>
      <c r="E86" s="3"/>
      <c r="F86" s="4"/>
      <c r="G86" s="19"/>
      <c r="H86" s="4"/>
      <c r="I86" s="19"/>
      <c r="J86" s="4"/>
      <c r="K86" s="19"/>
      <c r="L86" s="4"/>
      <c r="M86" s="19"/>
      <c r="N86" s="4"/>
      <c r="O86" s="6"/>
      <c r="P86" s="7"/>
      <c r="Q86" s="8"/>
    </row>
    <row r="87">
      <c r="A87" s="18" t="s">
        <v>29</v>
      </c>
      <c r="B87" s="20">
        <v>0.3451388888888889</v>
      </c>
      <c r="C87" s="4"/>
      <c r="D87" s="19"/>
      <c r="E87" s="3"/>
      <c r="F87" s="4"/>
      <c r="G87" s="19"/>
      <c r="H87" s="4"/>
      <c r="I87" s="20">
        <v>0.7520833333333333</v>
      </c>
      <c r="J87" s="4"/>
      <c r="K87" s="19"/>
      <c r="L87" s="4"/>
      <c r="M87" s="19"/>
      <c r="N87" s="4"/>
      <c r="O87" s="6">
        <f>I87-B87</f>
        <v>0.4069444444</v>
      </c>
      <c r="P87" s="21">
        <v>0.375</v>
      </c>
      <c r="Q87" s="8">
        <f t="shared" ref="Q87:Q89" si="21">O87-P87</f>
        <v>0.03194444444</v>
      </c>
    </row>
    <row r="88">
      <c r="A88" s="18" t="s">
        <v>30</v>
      </c>
      <c r="B88" s="19"/>
      <c r="C88" s="4"/>
      <c r="D88" s="20">
        <v>0.4673611111111111</v>
      </c>
      <c r="E88" s="3"/>
      <c r="F88" s="4"/>
      <c r="G88" s="19"/>
      <c r="H88" s="4"/>
      <c r="I88" s="19"/>
      <c r="J88" s="4"/>
      <c r="K88" s="19"/>
      <c r="L88" s="4"/>
      <c r="M88" s="20">
        <v>0.8395833333333333</v>
      </c>
      <c r="N88" s="4"/>
      <c r="O88" s="6">
        <f>M88-D88</f>
        <v>0.3722222222</v>
      </c>
      <c r="P88" s="21">
        <v>0.375</v>
      </c>
      <c r="Q88" s="8">
        <f t="shared" si="21"/>
        <v>-0.002777777778</v>
      </c>
    </row>
    <row r="89">
      <c r="A89" s="18" t="s">
        <v>31</v>
      </c>
      <c r="B89" s="20">
        <v>0.36319444444444443</v>
      </c>
      <c r="C89" s="4"/>
      <c r="D89" s="19"/>
      <c r="E89" s="3"/>
      <c r="F89" s="4"/>
      <c r="G89" s="19"/>
      <c r="H89" s="4"/>
      <c r="I89" s="19"/>
      <c r="J89" s="4"/>
      <c r="K89" s="20">
        <v>0.7923611111111111</v>
      </c>
      <c r="L89" s="4"/>
      <c r="M89" s="19"/>
      <c r="N89" s="4"/>
      <c r="O89" s="6">
        <f>K89-B89</f>
        <v>0.4291666667</v>
      </c>
      <c r="P89" s="21">
        <v>0.375</v>
      </c>
      <c r="Q89" s="8">
        <f t="shared" si="21"/>
        <v>0.05416666667</v>
      </c>
    </row>
    <row r="90">
      <c r="A90" s="18" t="s">
        <v>32</v>
      </c>
      <c r="B90" s="23"/>
      <c r="C90" s="4"/>
      <c r="D90" s="24"/>
      <c r="E90" s="3"/>
      <c r="F90" s="3"/>
      <c r="G90" s="25"/>
      <c r="H90" s="3"/>
      <c r="I90" s="26"/>
      <c r="J90" s="3"/>
      <c r="K90" s="24"/>
      <c r="L90" s="3"/>
      <c r="M90" s="24"/>
      <c r="N90" s="4"/>
      <c r="O90" s="6"/>
      <c r="P90" s="7"/>
      <c r="Q90" s="8"/>
    </row>
    <row r="91">
      <c r="O91" s="6"/>
      <c r="P91" s="7"/>
      <c r="Q91" s="8"/>
    </row>
    <row r="92">
      <c r="A92" s="1" t="s">
        <v>0</v>
      </c>
      <c r="B92" s="2" t="s">
        <v>1</v>
      </c>
      <c r="C92" s="3"/>
      <c r="D92" s="3"/>
      <c r="E92" s="3"/>
      <c r="F92" s="3"/>
      <c r="G92" s="3"/>
      <c r="H92" s="4"/>
      <c r="I92" s="1" t="s">
        <v>2</v>
      </c>
      <c r="J92" s="10" t="s">
        <v>36</v>
      </c>
      <c r="K92" s="3"/>
      <c r="L92" s="3"/>
      <c r="M92" s="3"/>
      <c r="N92" s="4"/>
      <c r="O92" s="6"/>
      <c r="P92" s="7"/>
      <c r="Q92" s="8"/>
    </row>
    <row r="93">
      <c r="A93" s="1" t="s">
        <v>4</v>
      </c>
      <c r="B93" s="9" t="s">
        <v>5</v>
      </c>
      <c r="C93" s="3"/>
      <c r="D93" s="3"/>
      <c r="E93" s="3"/>
      <c r="F93" s="3"/>
      <c r="G93" s="3"/>
      <c r="H93" s="4"/>
      <c r="I93" s="1" t="s">
        <v>6</v>
      </c>
      <c r="J93" s="10">
        <v>9.0</v>
      </c>
      <c r="K93" s="3"/>
      <c r="L93" s="3"/>
      <c r="M93" s="3"/>
      <c r="N93" s="4"/>
      <c r="O93" s="6"/>
      <c r="P93" s="7"/>
      <c r="Q93" s="8"/>
    </row>
    <row r="94">
      <c r="A94" s="11" t="s">
        <v>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4"/>
      <c r="O94" s="12" t="s">
        <v>8</v>
      </c>
      <c r="P94" s="13" t="s">
        <v>9</v>
      </c>
      <c r="Q94" s="14" t="s">
        <v>10</v>
      </c>
    </row>
    <row r="95">
      <c r="A95" s="15" t="s">
        <v>11</v>
      </c>
      <c r="B95" s="2" t="s">
        <v>12</v>
      </c>
      <c r="C95" s="3"/>
      <c r="D95" s="3"/>
      <c r="E95" s="3"/>
      <c r="F95" s="4"/>
      <c r="G95" s="2" t="s">
        <v>13</v>
      </c>
      <c r="H95" s="3"/>
      <c r="I95" s="3"/>
      <c r="J95" s="3"/>
      <c r="K95" s="10" t="s">
        <v>14</v>
      </c>
      <c r="L95" s="3"/>
      <c r="M95" s="3"/>
      <c r="N95" s="4"/>
      <c r="O95" s="6"/>
      <c r="P95" s="7"/>
      <c r="Q95" s="8"/>
    </row>
    <row r="96">
      <c r="A96" s="16"/>
      <c r="B96" s="17" t="s">
        <v>15</v>
      </c>
      <c r="C96" s="4"/>
      <c r="D96" s="17" t="s">
        <v>16</v>
      </c>
      <c r="E96" s="3"/>
      <c r="F96" s="4"/>
      <c r="G96" s="17" t="s">
        <v>15</v>
      </c>
      <c r="H96" s="4"/>
      <c r="I96" s="17" t="s">
        <v>16</v>
      </c>
      <c r="J96" s="4"/>
      <c r="K96" s="17" t="s">
        <v>15</v>
      </c>
      <c r="L96" s="4"/>
      <c r="M96" s="17" t="s">
        <v>16</v>
      </c>
      <c r="N96" s="4"/>
      <c r="O96" s="6"/>
      <c r="P96" s="7"/>
      <c r="Q96" s="8"/>
    </row>
    <row r="97">
      <c r="A97" s="18" t="s">
        <v>17</v>
      </c>
      <c r="B97" s="20">
        <v>0.38472222222222224</v>
      </c>
      <c r="C97" s="4"/>
      <c r="D97" s="19"/>
      <c r="E97" s="3"/>
      <c r="F97" s="4"/>
      <c r="G97" s="19"/>
      <c r="H97" s="4"/>
      <c r="I97" s="19"/>
      <c r="J97" s="4"/>
      <c r="K97" s="19"/>
      <c r="L97" s="4"/>
      <c r="M97" s="20">
        <v>0.9048611111111111</v>
      </c>
      <c r="N97" s="4"/>
      <c r="O97" s="6">
        <f>M97-B97</f>
        <v>0.5201388889</v>
      </c>
      <c r="P97" s="21">
        <v>0.3541666666666667</v>
      </c>
      <c r="Q97" s="8">
        <f>O97-P97</f>
        <v>0.1659722222</v>
      </c>
    </row>
    <row r="98">
      <c r="A98" s="18" t="s">
        <v>18</v>
      </c>
      <c r="B98" s="23"/>
      <c r="C98" s="4"/>
      <c r="D98" s="24"/>
      <c r="E98" s="3"/>
      <c r="F98" s="3"/>
      <c r="G98" s="25"/>
      <c r="H98" s="3"/>
      <c r="I98" s="26"/>
      <c r="J98" s="3"/>
      <c r="K98" s="24"/>
      <c r="L98" s="3"/>
      <c r="M98" s="24"/>
      <c r="N98" s="4"/>
      <c r="O98" s="6"/>
      <c r="P98" s="7"/>
      <c r="Q98" s="8"/>
    </row>
    <row r="99">
      <c r="A99" s="18" t="s">
        <v>19</v>
      </c>
      <c r="B99" s="20">
        <v>0.3902777777777778</v>
      </c>
      <c r="C99" s="4"/>
      <c r="D99" s="19"/>
      <c r="E99" s="3"/>
      <c r="F99" s="4"/>
      <c r="G99" s="19"/>
      <c r="H99" s="4"/>
      <c r="I99" s="20">
        <v>0.7291666666666666</v>
      </c>
      <c r="J99" s="4"/>
      <c r="K99" s="19"/>
      <c r="L99" s="4"/>
      <c r="M99" s="19"/>
      <c r="N99" s="4"/>
      <c r="O99" s="6">
        <f>I99-B99</f>
        <v>0.3388888889</v>
      </c>
      <c r="P99" s="21">
        <v>0.3541666666666667</v>
      </c>
      <c r="Q99" s="8">
        <f>P99-O99</f>
        <v>0.01527777778</v>
      </c>
    </row>
    <row r="100">
      <c r="A100" s="22" t="s">
        <v>20</v>
      </c>
      <c r="B100" s="20">
        <v>0.22430555555555556</v>
      </c>
      <c r="C100" s="4"/>
      <c r="D100" s="20">
        <v>0.6173611111111111</v>
      </c>
      <c r="E100" s="3"/>
      <c r="F100" s="4"/>
      <c r="G100" s="19"/>
      <c r="H100" s="4"/>
      <c r="I100" s="19"/>
      <c r="J100" s="4"/>
      <c r="K100" s="19"/>
      <c r="L100" s="4"/>
      <c r="M100" s="19"/>
      <c r="N100" s="4"/>
      <c r="O100" s="6">
        <f>D100-B100</f>
        <v>0.3930555556</v>
      </c>
      <c r="P100" s="21">
        <v>0.3541666666666667</v>
      </c>
      <c r="Q100" s="8">
        <f>O100-P100</f>
        <v>0.03888888889</v>
      </c>
    </row>
    <row r="101">
      <c r="A101" s="22" t="s">
        <v>21</v>
      </c>
      <c r="B101" s="19"/>
      <c r="C101" s="4"/>
      <c r="D101" s="19"/>
      <c r="E101" s="3"/>
      <c r="F101" s="4"/>
      <c r="G101" s="19"/>
      <c r="H101" s="4"/>
      <c r="I101" s="19"/>
      <c r="J101" s="4"/>
      <c r="K101" s="19"/>
      <c r="L101" s="4"/>
      <c r="M101" s="19"/>
      <c r="N101" s="4"/>
      <c r="O101" s="6"/>
      <c r="P101" s="7"/>
      <c r="Q101" s="8"/>
    </row>
    <row r="102">
      <c r="A102" s="18" t="s">
        <v>22</v>
      </c>
      <c r="B102" s="20">
        <v>0.22013888888888888</v>
      </c>
      <c r="C102" s="4"/>
      <c r="D102" s="19"/>
      <c r="E102" s="3"/>
      <c r="F102" s="4"/>
      <c r="G102" s="20">
        <v>0.6104166666666667</v>
      </c>
      <c r="H102" s="4"/>
      <c r="I102" s="19"/>
      <c r="J102" s="4"/>
      <c r="K102" s="19"/>
      <c r="L102" s="4"/>
      <c r="M102" s="19"/>
      <c r="N102" s="4"/>
      <c r="O102" s="6">
        <f t="shared" ref="O102:O103" si="22">G102-B102</f>
        <v>0.3902777778</v>
      </c>
      <c r="P102" s="21">
        <v>0.3541666666666667</v>
      </c>
      <c r="Q102" s="8">
        <f t="shared" ref="Q102:Q104" si="23">O102-P102</f>
        <v>0.03611111111</v>
      </c>
    </row>
    <row r="103">
      <c r="A103" s="18" t="s">
        <v>23</v>
      </c>
      <c r="B103" s="20">
        <v>0.2152777777777778</v>
      </c>
      <c r="C103" s="4"/>
      <c r="D103" s="19"/>
      <c r="E103" s="3"/>
      <c r="F103" s="4"/>
      <c r="G103" s="20">
        <v>0.5833333333333334</v>
      </c>
      <c r="H103" s="4"/>
      <c r="I103" s="19"/>
      <c r="J103" s="4"/>
      <c r="K103" s="19"/>
      <c r="L103" s="4"/>
      <c r="M103" s="19"/>
      <c r="N103" s="4"/>
      <c r="O103" s="6">
        <f t="shared" si="22"/>
        <v>0.3680555556</v>
      </c>
      <c r="P103" s="21">
        <v>0.3541666666666667</v>
      </c>
      <c r="Q103" s="8">
        <f t="shared" si="23"/>
        <v>0.01388888889</v>
      </c>
    </row>
    <row r="104">
      <c r="A104" s="18" t="s">
        <v>24</v>
      </c>
      <c r="B104" s="20">
        <v>0.39652777777777776</v>
      </c>
      <c r="C104" s="4"/>
      <c r="D104" s="19"/>
      <c r="E104" s="3"/>
      <c r="F104" s="4"/>
      <c r="G104" s="19"/>
      <c r="H104" s="4"/>
      <c r="I104" s="19"/>
      <c r="J104" s="4"/>
      <c r="K104" s="20">
        <v>0.7736111111111111</v>
      </c>
      <c r="L104" s="4"/>
      <c r="M104" s="19"/>
      <c r="N104" s="4"/>
      <c r="O104" s="6">
        <f>K104-B104</f>
        <v>0.3770833333</v>
      </c>
      <c r="P104" s="21">
        <v>0.3541666666666667</v>
      </c>
      <c r="Q104" s="8">
        <f t="shared" si="23"/>
        <v>0.02291666667</v>
      </c>
    </row>
    <row r="105">
      <c r="A105" s="18" t="s">
        <v>25</v>
      </c>
      <c r="B105" s="23"/>
      <c r="C105" s="4"/>
      <c r="D105" s="24"/>
      <c r="E105" s="3"/>
      <c r="F105" s="3"/>
      <c r="G105" s="25"/>
      <c r="H105" s="3"/>
      <c r="I105" s="26"/>
      <c r="J105" s="3"/>
      <c r="K105" s="24"/>
      <c r="L105" s="3"/>
      <c r="M105" s="24"/>
      <c r="N105" s="4"/>
      <c r="O105" s="6"/>
      <c r="P105" s="7"/>
      <c r="Q105" s="8"/>
    </row>
    <row r="106">
      <c r="A106" s="18" t="s">
        <v>26</v>
      </c>
      <c r="B106" s="20">
        <v>0.2222222222222222</v>
      </c>
      <c r="C106" s="4"/>
      <c r="D106" s="19"/>
      <c r="E106" s="3"/>
      <c r="F106" s="4"/>
      <c r="G106" s="20">
        <v>0.6034722222222222</v>
      </c>
      <c r="H106" s="4"/>
      <c r="I106" s="19"/>
      <c r="J106" s="4"/>
      <c r="K106" s="19"/>
      <c r="L106" s="4"/>
      <c r="M106" s="19"/>
      <c r="N106" s="4"/>
      <c r="O106" s="6">
        <f>G106-B106</f>
        <v>0.38125</v>
      </c>
      <c r="P106" s="21">
        <v>0.3541666666666667</v>
      </c>
      <c r="Q106" s="8">
        <f t="shared" ref="Q106:Q107" si="24">O106-P106</f>
        <v>0.02708333333</v>
      </c>
    </row>
    <row r="107">
      <c r="A107" s="22" t="s">
        <v>27</v>
      </c>
      <c r="B107" s="20">
        <v>0.2222222222222222</v>
      </c>
      <c r="C107" s="4"/>
      <c r="D107" s="20">
        <v>0.6076388888888888</v>
      </c>
      <c r="E107" s="3"/>
      <c r="F107" s="4"/>
      <c r="G107" s="19"/>
      <c r="H107" s="4"/>
      <c r="I107" s="19"/>
      <c r="J107" s="4"/>
      <c r="K107" s="19"/>
      <c r="L107" s="4"/>
      <c r="M107" s="19"/>
      <c r="N107" s="4"/>
      <c r="O107" s="6">
        <f>D107-B107</f>
        <v>0.3854166667</v>
      </c>
      <c r="P107" s="21">
        <v>0.3541666666666667</v>
      </c>
      <c r="Q107" s="8">
        <f t="shared" si="24"/>
        <v>0.03125</v>
      </c>
    </row>
    <row r="108">
      <c r="A108" s="22" t="s">
        <v>28</v>
      </c>
      <c r="B108" s="19"/>
      <c r="C108" s="4"/>
      <c r="D108" s="19"/>
      <c r="E108" s="3"/>
      <c r="F108" s="4"/>
      <c r="G108" s="19"/>
      <c r="H108" s="4"/>
      <c r="I108" s="19"/>
      <c r="J108" s="4"/>
      <c r="K108" s="19"/>
      <c r="L108" s="4"/>
      <c r="M108" s="19"/>
      <c r="N108" s="4"/>
      <c r="O108" s="6"/>
      <c r="P108" s="7"/>
      <c r="Q108" s="8"/>
    </row>
    <row r="109">
      <c r="A109" s="18" t="s">
        <v>29</v>
      </c>
      <c r="B109" s="20">
        <v>0.3888888888888889</v>
      </c>
      <c r="C109" s="4"/>
      <c r="D109" s="19"/>
      <c r="E109" s="3"/>
      <c r="F109" s="4"/>
      <c r="G109" s="19"/>
      <c r="H109" s="4"/>
      <c r="I109" s="19"/>
      <c r="J109" s="4"/>
      <c r="K109" s="20">
        <v>0.7708333333333334</v>
      </c>
      <c r="L109" s="4"/>
      <c r="M109" s="19"/>
      <c r="N109" s="4"/>
      <c r="O109" s="6">
        <f>K109-B109</f>
        <v>0.3819444444</v>
      </c>
      <c r="P109" s="21">
        <v>0.3541666666666667</v>
      </c>
      <c r="Q109" s="8">
        <f t="shared" ref="Q109:Q111" si="25">O109-P109</f>
        <v>0.02777777778</v>
      </c>
    </row>
    <row r="110">
      <c r="A110" s="18" t="s">
        <v>30</v>
      </c>
      <c r="B110" s="19"/>
      <c r="C110" s="4"/>
      <c r="D110" s="20">
        <v>0.45</v>
      </c>
      <c r="E110" s="3"/>
      <c r="F110" s="4"/>
      <c r="G110" s="19"/>
      <c r="H110" s="4"/>
      <c r="I110" s="19"/>
      <c r="J110" s="4"/>
      <c r="K110" s="19"/>
      <c r="L110" s="4"/>
      <c r="M110" s="20">
        <v>0.8548611111111111</v>
      </c>
      <c r="N110" s="4"/>
      <c r="O110" s="6">
        <f>M110-D110</f>
        <v>0.4048611111</v>
      </c>
      <c r="P110" s="21">
        <v>0.3541666666666667</v>
      </c>
      <c r="Q110" s="8">
        <f t="shared" si="25"/>
        <v>0.05069444444</v>
      </c>
    </row>
    <row r="111">
      <c r="A111" s="18" t="s">
        <v>31</v>
      </c>
      <c r="B111" s="20">
        <v>0.38472222222222224</v>
      </c>
      <c r="C111" s="4"/>
      <c r="D111" s="19"/>
      <c r="E111" s="3"/>
      <c r="F111" s="4"/>
      <c r="G111" s="19"/>
      <c r="H111" s="4"/>
      <c r="I111" s="19"/>
      <c r="J111" s="4"/>
      <c r="K111" s="20">
        <v>0.7923611111111111</v>
      </c>
      <c r="L111" s="4"/>
      <c r="M111" s="19"/>
      <c r="N111" s="4"/>
      <c r="O111" s="6">
        <f>K111-B111</f>
        <v>0.4076388889</v>
      </c>
      <c r="P111" s="21">
        <v>0.3541666666666667</v>
      </c>
      <c r="Q111" s="8">
        <f t="shared" si="25"/>
        <v>0.05347222222</v>
      </c>
    </row>
    <row r="112">
      <c r="A112" s="18" t="s">
        <v>32</v>
      </c>
      <c r="B112" s="23"/>
      <c r="C112" s="4"/>
      <c r="D112" s="24"/>
      <c r="E112" s="3"/>
      <c r="F112" s="3"/>
      <c r="G112" s="25"/>
      <c r="H112" s="3"/>
      <c r="I112" s="26"/>
      <c r="J112" s="3"/>
      <c r="K112" s="24"/>
      <c r="L112" s="3"/>
      <c r="M112" s="24"/>
      <c r="N112" s="4"/>
      <c r="O112" s="6"/>
      <c r="P112" s="7"/>
      <c r="Q112" s="8"/>
    </row>
    <row r="113">
      <c r="O113" s="28" t="s">
        <v>10</v>
      </c>
      <c r="P113" s="7"/>
      <c r="Q113" s="8">
        <f>Q97+Q110+Q111</f>
        <v>0.2701388889</v>
      </c>
    </row>
    <row r="114">
      <c r="O114" s="6"/>
      <c r="P114" s="7"/>
      <c r="Q114" s="8"/>
    </row>
    <row r="115">
      <c r="A115" s="1" t="s">
        <v>0</v>
      </c>
      <c r="B115" s="2" t="s">
        <v>1</v>
      </c>
      <c r="C115" s="3"/>
      <c r="D115" s="3"/>
      <c r="E115" s="3"/>
      <c r="F115" s="3"/>
      <c r="G115" s="3"/>
      <c r="H115" s="4"/>
      <c r="I115" s="1" t="s">
        <v>2</v>
      </c>
      <c r="J115" s="10" t="s">
        <v>37</v>
      </c>
      <c r="K115" s="3"/>
      <c r="L115" s="3"/>
      <c r="M115" s="3"/>
      <c r="N115" s="4"/>
      <c r="O115" s="6"/>
      <c r="P115" s="7"/>
      <c r="Q115" s="8"/>
    </row>
    <row r="116">
      <c r="A116" s="11" t="s">
        <v>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4"/>
      <c r="O116" s="12" t="s">
        <v>8</v>
      </c>
      <c r="P116" s="13" t="s">
        <v>9</v>
      </c>
      <c r="Q116" s="14" t="s">
        <v>10</v>
      </c>
    </row>
    <row r="117">
      <c r="A117" s="15" t="s">
        <v>11</v>
      </c>
      <c r="B117" s="2" t="s">
        <v>12</v>
      </c>
      <c r="C117" s="3"/>
      <c r="D117" s="3"/>
      <c r="E117" s="3"/>
      <c r="F117" s="4"/>
      <c r="G117" s="2" t="s">
        <v>13</v>
      </c>
      <c r="H117" s="3"/>
      <c r="I117" s="3"/>
      <c r="J117" s="3"/>
      <c r="K117" s="10" t="s">
        <v>14</v>
      </c>
      <c r="L117" s="3"/>
      <c r="M117" s="3"/>
      <c r="N117" s="4"/>
      <c r="O117" s="6"/>
      <c r="P117" s="7"/>
      <c r="Q117" s="8"/>
    </row>
    <row r="118">
      <c r="A118" s="16"/>
      <c r="B118" s="17" t="s">
        <v>15</v>
      </c>
      <c r="C118" s="4"/>
      <c r="D118" s="17" t="s">
        <v>16</v>
      </c>
      <c r="E118" s="3"/>
      <c r="F118" s="4"/>
      <c r="G118" s="17" t="s">
        <v>15</v>
      </c>
      <c r="H118" s="4"/>
      <c r="I118" s="17" t="s">
        <v>16</v>
      </c>
      <c r="J118" s="4"/>
      <c r="K118" s="17" t="s">
        <v>15</v>
      </c>
      <c r="L118" s="4"/>
      <c r="M118" s="17" t="s">
        <v>16</v>
      </c>
      <c r="N118" s="4"/>
      <c r="O118" s="6"/>
      <c r="P118" s="7"/>
      <c r="Q118" s="8"/>
    </row>
    <row r="119">
      <c r="A119" s="18" t="s">
        <v>17</v>
      </c>
      <c r="B119" s="33">
        <v>0.4166666666666667</v>
      </c>
      <c r="C119" s="4"/>
      <c r="D119" s="24"/>
      <c r="E119" s="3"/>
      <c r="F119" s="3"/>
      <c r="G119" s="25"/>
      <c r="H119" s="3"/>
      <c r="I119" s="26"/>
      <c r="J119" s="3"/>
      <c r="K119" s="24"/>
      <c r="L119" s="3"/>
      <c r="M119" s="34">
        <v>0.875</v>
      </c>
      <c r="N119" s="4"/>
      <c r="O119" s="6">
        <f t="shared" ref="O119:O122" si="26">M119-B119</f>
        <v>0.4583333333</v>
      </c>
      <c r="P119" s="21">
        <v>0.375</v>
      </c>
      <c r="Q119" s="8">
        <f t="shared" ref="Q119:Q121" si="27">O119-P119</f>
        <v>0.08333333333</v>
      </c>
    </row>
    <row r="120">
      <c r="A120" s="18" t="s">
        <v>18</v>
      </c>
      <c r="B120" s="20">
        <v>0.4125</v>
      </c>
      <c r="C120" s="4"/>
      <c r="D120" s="19"/>
      <c r="E120" s="3"/>
      <c r="F120" s="4"/>
      <c r="G120" s="19"/>
      <c r="H120" s="4"/>
      <c r="I120" s="19"/>
      <c r="J120" s="4"/>
      <c r="K120" s="19"/>
      <c r="L120" s="4"/>
      <c r="M120" s="20">
        <v>0.8493055555555555</v>
      </c>
      <c r="N120" s="4"/>
      <c r="O120" s="6">
        <f t="shared" si="26"/>
        <v>0.4368055556</v>
      </c>
      <c r="P120" s="21">
        <v>0.375</v>
      </c>
      <c r="Q120" s="8">
        <f t="shared" si="27"/>
        <v>0.06180555556</v>
      </c>
    </row>
    <row r="121">
      <c r="A121" s="18" t="s">
        <v>19</v>
      </c>
      <c r="B121" s="20">
        <v>0.4166666666666667</v>
      </c>
      <c r="C121" s="4"/>
      <c r="D121" s="19"/>
      <c r="E121" s="3"/>
      <c r="F121" s="4"/>
      <c r="G121" s="19"/>
      <c r="H121" s="4"/>
      <c r="I121" s="19"/>
      <c r="J121" s="4"/>
      <c r="K121" s="19"/>
      <c r="L121" s="4"/>
      <c r="M121" s="20">
        <v>0.8756944444444444</v>
      </c>
      <c r="N121" s="4"/>
      <c r="O121" s="6">
        <f t="shared" si="26"/>
        <v>0.4590277778</v>
      </c>
      <c r="P121" s="21">
        <v>0.375</v>
      </c>
      <c r="Q121" s="8">
        <f t="shared" si="27"/>
        <v>0.08402777778</v>
      </c>
    </row>
    <row r="122">
      <c r="A122" s="22" t="s">
        <v>20</v>
      </c>
      <c r="B122" s="20">
        <v>0.4166666666666667</v>
      </c>
      <c r="C122" s="4"/>
      <c r="D122" s="19"/>
      <c r="E122" s="3"/>
      <c r="F122" s="4"/>
      <c r="G122" s="19"/>
      <c r="H122" s="4"/>
      <c r="I122" s="19"/>
      <c r="J122" s="4"/>
      <c r="K122" s="19"/>
      <c r="L122" s="4"/>
      <c r="M122" s="20">
        <v>0.8479166666666667</v>
      </c>
      <c r="N122" s="4"/>
      <c r="O122" s="35">
        <f t="shared" si="26"/>
        <v>0.43125</v>
      </c>
      <c r="P122" s="21">
        <v>0.375</v>
      </c>
      <c r="Q122" s="8">
        <f>O122</f>
        <v>0.43125</v>
      </c>
    </row>
    <row r="123">
      <c r="A123" s="22" t="s">
        <v>21</v>
      </c>
      <c r="B123" s="19"/>
      <c r="C123" s="4"/>
      <c r="D123" s="19"/>
      <c r="E123" s="3"/>
      <c r="F123" s="4"/>
      <c r="G123" s="19"/>
      <c r="H123" s="4"/>
      <c r="I123" s="19"/>
      <c r="J123" s="4"/>
      <c r="K123" s="19"/>
      <c r="L123" s="4"/>
      <c r="M123" s="19"/>
      <c r="N123" s="4"/>
      <c r="O123" s="6"/>
      <c r="P123" s="7"/>
      <c r="Q123" s="8"/>
    </row>
    <row r="124">
      <c r="A124" s="18" t="s">
        <v>22</v>
      </c>
      <c r="B124" s="20">
        <v>0.4166666666666667</v>
      </c>
      <c r="C124" s="4"/>
      <c r="D124" s="19"/>
      <c r="E124" s="3"/>
      <c r="F124" s="4"/>
      <c r="G124" s="19"/>
      <c r="H124" s="4"/>
      <c r="I124" s="19"/>
      <c r="J124" s="4"/>
      <c r="K124" s="19"/>
      <c r="L124" s="4"/>
      <c r="M124" s="20">
        <v>0.9</v>
      </c>
      <c r="N124" s="4"/>
      <c r="O124" s="6">
        <f t="shared" ref="O124:O129" si="28">M124-B124</f>
        <v>0.4833333333</v>
      </c>
      <c r="P124" s="21">
        <v>0.375</v>
      </c>
      <c r="Q124" s="8">
        <f t="shared" ref="Q124:Q128" si="29">O124-P124</f>
        <v>0.1083333333</v>
      </c>
    </row>
    <row r="125">
      <c r="A125" s="18" t="s">
        <v>23</v>
      </c>
      <c r="B125" s="20">
        <v>0.41180555555555554</v>
      </c>
      <c r="C125" s="4"/>
      <c r="D125" s="19"/>
      <c r="E125" s="3"/>
      <c r="F125" s="4"/>
      <c r="G125" s="19"/>
      <c r="H125" s="4"/>
      <c r="I125" s="19"/>
      <c r="J125" s="4"/>
      <c r="K125" s="19"/>
      <c r="L125" s="4"/>
      <c r="M125" s="20">
        <v>0.8625</v>
      </c>
      <c r="N125" s="4"/>
      <c r="O125" s="6">
        <f t="shared" si="28"/>
        <v>0.4506944444</v>
      </c>
      <c r="P125" s="21">
        <v>0.375</v>
      </c>
      <c r="Q125" s="8">
        <f t="shared" si="29"/>
        <v>0.07569444444</v>
      </c>
    </row>
    <row r="126">
      <c r="A126" s="18" t="s">
        <v>24</v>
      </c>
      <c r="B126" s="33">
        <v>0.4166666666666667</v>
      </c>
      <c r="C126" s="4"/>
      <c r="D126" s="24"/>
      <c r="E126" s="3"/>
      <c r="F126" s="3"/>
      <c r="G126" s="25"/>
      <c r="H126" s="3"/>
      <c r="I126" s="26"/>
      <c r="J126" s="3"/>
      <c r="K126" s="24"/>
      <c r="L126" s="3"/>
      <c r="M126" s="34">
        <v>0.8673611111111111</v>
      </c>
      <c r="N126" s="4"/>
      <c r="O126" s="6">
        <f t="shared" si="28"/>
        <v>0.4506944444</v>
      </c>
      <c r="P126" s="21">
        <v>0.375</v>
      </c>
      <c r="Q126" s="8">
        <f t="shared" si="29"/>
        <v>0.07569444444</v>
      </c>
    </row>
    <row r="127">
      <c r="A127" s="18" t="s">
        <v>25</v>
      </c>
      <c r="B127" s="20">
        <v>0.38125</v>
      </c>
      <c r="C127" s="4"/>
      <c r="D127" s="19"/>
      <c r="E127" s="3"/>
      <c r="F127" s="4"/>
      <c r="G127" s="19"/>
      <c r="H127" s="4"/>
      <c r="I127" s="19"/>
      <c r="J127" s="4"/>
      <c r="K127" s="19"/>
      <c r="L127" s="4"/>
      <c r="M127" s="20">
        <v>0.8333333333333334</v>
      </c>
      <c r="N127" s="4"/>
      <c r="O127" s="6">
        <f t="shared" si="28"/>
        <v>0.4520833333</v>
      </c>
      <c r="P127" s="21">
        <v>0.375</v>
      </c>
      <c r="Q127" s="8">
        <f t="shared" si="29"/>
        <v>0.07708333333</v>
      </c>
    </row>
    <row r="128">
      <c r="A128" s="18" t="s">
        <v>26</v>
      </c>
      <c r="B128" s="20">
        <v>0.41458333333333336</v>
      </c>
      <c r="C128" s="4"/>
      <c r="D128" s="19"/>
      <c r="E128" s="3"/>
      <c r="F128" s="4"/>
      <c r="G128" s="19"/>
      <c r="H128" s="4"/>
      <c r="I128" s="19"/>
      <c r="J128" s="4"/>
      <c r="K128" s="19"/>
      <c r="L128" s="4"/>
      <c r="M128" s="20">
        <v>0.8965277777777778</v>
      </c>
      <c r="N128" s="4"/>
      <c r="O128" s="6">
        <f t="shared" si="28"/>
        <v>0.4819444444</v>
      </c>
      <c r="P128" s="21">
        <v>0.375</v>
      </c>
      <c r="Q128" s="8">
        <f t="shared" si="29"/>
        <v>0.1069444444</v>
      </c>
    </row>
    <row r="129">
      <c r="A129" s="22" t="s">
        <v>27</v>
      </c>
      <c r="B129" s="20">
        <v>0.4166666666666667</v>
      </c>
      <c r="C129" s="4"/>
      <c r="D129" s="19"/>
      <c r="E129" s="3"/>
      <c r="F129" s="4"/>
      <c r="G129" s="19"/>
      <c r="H129" s="4"/>
      <c r="I129" s="19"/>
      <c r="J129" s="4"/>
      <c r="K129" s="19"/>
      <c r="L129" s="4"/>
      <c r="M129" s="20">
        <v>0.7319444444444444</v>
      </c>
      <c r="N129" s="4"/>
      <c r="O129" s="36">
        <f t="shared" si="28"/>
        <v>0.3152777778</v>
      </c>
      <c r="P129" s="21">
        <v>0.375</v>
      </c>
      <c r="Q129" s="8">
        <f>O129</f>
        <v>0.3152777778</v>
      </c>
    </row>
    <row r="130">
      <c r="A130" s="22" t="s">
        <v>28</v>
      </c>
      <c r="B130" s="19"/>
      <c r="C130" s="4"/>
      <c r="D130" s="19"/>
      <c r="E130" s="3"/>
      <c r="F130" s="4"/>
      <c r="G130" s="19"/>
      <c r="H130" s="4"/>
      <c r="I130" s="19"/>
      <c r="J130" s="4"/>
      <c r="K130" s="19"/>
      <c r="L130" s="4"/>
      <c r="M130" s="19"/>
      <c r="N130" s="4"/>
      <c r="O130" s="6"/>
      <c r="P130" s="7"/>
      <c r="Q130" s="8"/>
    </row>
    <row r="131">
      <c r="A131" s="18" t="s">
        <v>29</v>
      </c>
      <c r="B131" s="20">
        <v>0.29305555555555557</v>
      </c>
      <c r="C131" s="4"/>
      <c r="D131" s="19"/>
      <c r="E131" s="3"/>
      <c r="F131" s="4"/>
      <c r="G131" s="19"/>
      <c r="H131" s="4"/>
      <c r="I131" s="19"/>
      <c r="J131" s="4"/>
      <c r="K131" s="19"/>
      <c r="L131" s="4"/>
      <c r="M131" s="20">
        <v>0.8833333333333333</v>
      </c>
      <c r="N131" s="4"/>
      <c r="O131" s="6">
        <f t="shared" ref="O131:O133" si="30">M131-B131</f>
        <v>0.5902777778</v>
      </c>
      <c r="P131" s="21">
        <v>0.375</v>
      </c>
      <c r="Q131" s="8">
        <f t="shared" ref="Q131:Q133" si="31">O131-P131</f>
        <v>0.2152777778</v>
      </c>
    </row>
    <row r="132">
      <c r="A132" s="18" t="s">
        <v>30</v>
      </c>
      <c r="B132" s="33">
        <v>0.4166666666666667</v>
      </c>
      <c r="C132" s="4"/>
      <c r="D132" s="24"/>
      <c r="E132" s="3"/>
      <c r="F132" s="3"/>
      <c r="G132" s="25"/>
      <c r="H132" s="3"/>
      <c r="I132" s="26"/>
      <c r="J132" s="3"/>
      <c r="K132" s="24"/>
      <c r="L132" s="3"/>
      <c r="M132" s="34">
        <v>0.8611111111111112</v>
      </c>
      <c r="N132" s="4"/>
      <c r="O132" s="6">
        <f t="shared" si="30"/>
        <v>0.4444444444</v>
      </c>
      <c r="P132" s="21">
        <v>0.375</v>
      </c>
      <c r="Q132" s="8">
        <f t="shared" si="31"/>
        <v>0.06944444444</v>
      </c>
    </row>
    <row r="133">
      <c r="A133" s="18" t="s">
        <v>31</v>
      </c>
      <c r="B133" s="20">
        <v>0.41458333333333336</v>
      </c>
      <c r="C133" s="4"/>
      <c r="D133" s="19"/>
      <c r="E133" s="3"/>
      <c r="F133" s="4"/>
      <c r="G133" s="19"/>
      <c r="H133" s="4"/>
      <c r="I133" s="19"/>
      <c r="J133" s="4"/>
      <c r="K133" s="19"/>
      <c r="L133" s="4"/>
      <c r="M133" s="20">
        <v>0.9166666666666666</v>
      </c>
      <c r="N133" s="4"/>
      <c r="O133" s="6">
        <f t="shared" si="30"/>
        <v>0.5020833333</v>
      </c>
      <c r="P133" s="21">
        <v>0.375</v>
      </c>
      <c r="Q133" s="8">
        <f t="shared" si="31"/>
        <v>0.1270833333</v>
      </c>
    </row>
    <row r="134">
      <c r="A134" s="18" t="s">
        <v>32</v>
      </c>
      <c r="B134" s="23"/>
      <c r="C134" s="4"/>
      <c r="D134" s="24"/>
      <c r="E134" s="3"/>
      <c r="F134" s="3"/>
      <c r="G134" s="25"/>
      <c r="H134" s="3"/>
      <c r="I134" s="26"/>
      <c r="J134" s="3"/>
      <c r="K134" s="24"/>
      <c r="L134" s="3"/>
      <c r="M134" s="24"/>
      <c r="N134" s="4"/>
      <c r="O134" s="6"/>
      <c r="P134" s="7"/>
      <c r="Q134" s="8"/>
    </row>
    <row r="135">
      <c r="O135" s="28" t="s">
        <v>10</v>
      </c>
      <c r="P135" s="7"/>
      <c r="Q135" s="14">
        <f>2+Q119+Q120+Q121+Q122+Q124+Q125+Q126+Q127+Q128+Q129+Q131+Q132+Q133</f>
        <v>3.83125</v>
      </c>
    </row>
    <row r="136">
      <c r="O136" s="6"/>
      <c r="P136" s="7"/>
      <c r="Q136" s="8"/>
    </row>
    <row r="137">
      <c r="A137" s="1" t="s">
        <v>0</v>
      </c>
      <c r="B137" s="2" t="s">
        <v>1</v>
      </c>
      <c r="C137" s="3"/>
      <c r="D137" s="3"/>
      <c r="E137" s="3"/>
      <c r="F137" s="3"/>
      <c r="G137" s="3"/>
      <c r="H137" s="4"/>
      <c r="I137" s="1" t="s">
        <v>2</v>
      </c>
      <c r="J137" s="10" t="s">
        <v>38</v>
      </c>
      <c r="K137" s="3"/>
      <c r="L137" s="3"/>
      <c r="M137" s="3"/>
      <c r="N137" s="4"/>
      <c r="O137" s="6"/>
      <c r="P137" s="7"/>
      <c r="Q137" s="8"/>
    </row>
    <row r="138">
      <c r="A138" s="1" t="s">
        <v>4</v>
      </c>
      <c r="B138" s="9" t="s">
        <v>5</v>
      </c>
      <c r="C138" s="3"/>
      <c r="D138" s="3"/>
      <c r="E138" s="3"/>
      <c r="F138" s="3"/>
      <c r="G138" s="3"/>
      <c r="H138" s="4"/>
      <c r="I138" s="1" t="s">
        <v>6</v>
      </c>
      <c r="J138" s="10">
        <v>11.0</v>
      </c>
      <c r="K138" s="3"/>
      <c r="L138" s="3"/>
      <c r="M138" s="3"/>
      <c r="N138" s="4"/>
      <c r="O138" s="6"/>
      <c r="P138" s="7"/>
      <c r="Q138" s="8"/>
    </row>
    <row r="139">
      <c r="A139" s="11" t="s">
        <v>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4"/>
      <c r="O139" s="12" t="s">
        <v>8</v>
      </c>
      <c r="P139" s="13" t="s">
        <v>9</v>
      </c>
      <c r="Q139" s="14" t="s">
        <v>10</v>
      </c>
    </row>
    <row r="140">
      <c r="A140" s="15" t="s">
        <v>11</v>
      </c>
      <c r="B140" s="2" t="s">
        <v>12</v>
      </c>
      <c r="C140" s="3"/>
      <c r="D140" s="3"/>
      <c r="E140" s="3"/>
      <c r="F140" s="4"/>
      <c r="G140" s="2" t="s">
        <v>13</v>
      </c>
      <c r="H140" s="3"/>
      <c r="I140" s="3"/>
      <c r="J140" s="3"/>
      <c r="K140" s="10" t="s">
        <v>14</v>
      </c>
      <c r="L140" s="3"/>
      <c r="M140" s="3"/>
      <c r="N140" s="4"/>
      <c r="O140" s="6"/>
      <c r="P140" s="7"/>
      <c r="Q140" s="8"/>
    </row>
    <row r="141">
      <c r="A141" s="16"/>
      <c r="B141" s="17" t="s">
        <v>15</v>
      </c>
      <c r="C141" s="4"/>
      <c r="D141" s="17" t="s">
        <v>16</v>
      </c>
      <c r="E141" s="3"/>
      <c r="F141" s="4"/>
      <c r="G141" s="17" t="s">
        <v>15</v>
      </c>
      <c r="H141" s="4"/>
      <c r="I141" s="17" t="s">
        <v>16</v>
      </c>
      <c r="J141" s="4"/>
      <c r="K141" s="17" t="s">
        <v>15</v>
      </c>
      <c r="L141" s="4"/>
      <c r="M141" s="17" t="s">
        <v>16</v>
      </c>
      <c r="N141" s="4"/>
      <c r="O141" s="6"/>
      <c r="P141" s="7"/>
      <c r="Q141" s="8"/>
    </row>
    <row r="142">
      <c r="A142" s="18" t="s">
        <v>17</v>
      </c>
      <c r="B142" s="20">
        <v>0.20208333333333334</v>
      </c>
      <c r="C142" s="4"/>
      <c r="D142" s="19"/>
      <c r="E142" s="3"/>
      <c r="F142" s="4"/>
      <c r="G142" s="19"/>
      <c r="H142" s="4"/>
      <c r="I142" s="20">
        <v>0.675</v>
      </c>
      <c r="J142" s="4"/>
      <c r="K142" s="19"/>
      <c r="L142" s="4"/>
      <c r="M142" s="19"/>
      <c r="N142" s="4"/>
      <c r="O142" s="6">
        <f>I142-B142</f>
        <v>0.4729166667</v>
      </c>
      <c r="P142" s="21">
        <v>0.3541666666666667</v>
      </c>
      <c r="Q142" s="8">
        <f t="shared" ref="Q142:Q143" si="32">O142-P142</f>
        <v>0.11875</v>
      </c>
    </row>
    <row r="143">
      <c r="A143" s="18" t="s">
        <v>18</v>
      </c>
      <c r="B143" s="20">
        <v>0.375</v>
      </c>
      <c r="C143" s="4"/>
      <c r="D143" s="19"/>
      <c r="E143" s="3"/>
      <c r="F143" s="4"/>
      <c r="G143" s="19"/>
      <c r="H143" s="4"/>
      <c r="I143" s="19"/>
      <c r="J143" s="4"/>
      <c r="K143" s="19"/>
      <c r="L143" s="4"/>
      <c r="M143" s="20">
        <v>0.8638888888888889</v>
      </c>
      <c r="N143" s="4"/>
      <c r="O143" s="6">
        <f>M143-B143</f>
        <v>0.4888888889</v>
      </c>
      <c r="P143" s="21">
        <v>0.3541666666666667</v>
      </c>
      <c r="Q143" s="8">
        <f t="shared" si="32"/>
        <v>0.1347222222</v>
      </c>
    </row>
    <row r="144">
      <c r="A144" s="18" t="s">
        <v>19</v>
      </c>
      <c r="B144" s="23"/>
      <c r="C144" s="4"/>
      <c r="D144" s="24"/>
      <c r="E144" s="3"/>
      <c r="F144" s="3"/>
      <c r="G144" s="25"/>
      <c r="H144" s="3"/>
      <c r="I144" s="26"/>
      <c r="J144" s="3"/>
      <c r="K144" s="24"/>
      <c r="L144" s="3"/>
      <c r="M144" s="24"/>
      <c r="N144" s="4"/>
      <c r="O144" s="6"/>
      <c r="P144" s="7"/>
      <c r="Q144" s="8"/>
    </row>
    <row r="145">
      <c r="A145" s="22" t="s">
        <v>20</v>
      </c>
      <c r="B145" s="20">
        <v>0.37569444444444444</v>
      </c>
      <c r="C145" s="4"/>
      <c r="D145" s="20">
        <v>0.7965277777777777</v>
      </c>
      <c r="E145" s="3"/>
      <c r="F145" s="4"/>
      <c r="G145" s="19"/>
      <c r="H145" s="4"/>
      <c r="I145" s="19"/>
      <c r="J145" s="4"/>
      <c r="K145" s="19"/>
      <c r="L145" s="4"/>
      <c r="M145" s="19"/>
      <c r="N145" s="4"/>
      <c r="O145" s="6">
        <f>D145-B145</f>
        <v>0.4208333333</v>
      </c>
      <c r="P145" s="21">
        <v>0.3541666666666667</v>
      </c>
      <c r="Q145" s="8">
        <f>O145-P145</f>
        <v>0.06666666667</v>
      </c>
    </row>
    <row r="146">
      <c r="A146" s="22" t="s">
        <v>21</v>
      </c>
      <c r="B146" s="19"/>
      <c r="C146" s="4"/>
      <c r="D146" s="19"/>
      <c r="E146" s="3"/>
      <c r="F146" s="4"/>
      <c r="G146" s="19"/>
      <c r="H146" s="4"/>
      <c r="I146" s="19"/>
      <c r="J146" s="4"/>
      <c r="K146" s="19"/>
      <c r="L146" s="4"/>
      <c r="M146" s="19"/>
      <c r="N146" s="4"/>
      <c r="O146" s="6"/>
      <c r="P146" s="7"/>
      <c r="Q146" s="8"/>
    </row>
    <row r="147">
      <c r="A147" s="18" t="s">
        <v>22</v>
      </c>
      <c r="B147" s="20">
        <v>0.3763888888888889</v>
      </c>
      <c r="C147" s="4"/>
      <c r="D147" s="19"/>
      <c r="E147" s="3"/>
      <c r="F147" s="4"/>
      <c r="G147" s="19"/>
      <c r="H147" s="4"/>
      <c r="I147" s="19"/>
      <c r="J147" s="4"/>
      <c r="K147" s="19"/>
      <c r="L147" s="4"/>
      <c r="M147" s="20">
        <v>0.8965277777777778</v>
      </c>
      <c r="N147" s="4"/>
      <c r="O147" s="6">
        <f>M147-B147</f>
        <v>0.5201388889</v>
      </c>
      <c r="P147" s="21">
        <v>0.3541666666666667</v>
      </c>
      <c r="Q147" s="8">
        <f t="shared" ref="Q147:Q150" si="33">O147-P147</f>
        <v>0.1659722222</v>
      </c>
    </row>
    <row r="148">
      <c r="A148" s="18" t="s">
        <v>23</v>
      </c>
      <c r="B148" s="20">
        <v>0.36666666666666664</v>
      </c>
      <c r="C148" s="4"/>
      <c r="D148" s="19"/>
      <c r="E148" s="3"/>
      <c r="F148" s="4"/>
      <c r="G148" s="19"/>
      <c r="H148" s="4"/>
      <c r="I148" s="19"/>
      <c r="J148" s="4"/>
      <c r="K148" s="20">
        <v>0.7715277777777778</v>
      </c>
      <c r="L148" s="4"/>
      <c r="M148" s="19"/>
      <c r="N148" s="4"/>
      <c r="O148" s="6">
        <f>K148-B148</f>
        <v>0.4048611111</v>
      </c>
      <c r="P148" s="21">
        <v>0.3541666666666667</v>
      </c>
      <c r="Q148" s="8">
        <f t="shared" si="33"/>
        <v>0.05069444444</v>
      </c>
    </row>
    <row r="149">
      <c r="A149" s="18" t="s">
        <v>24</v>
      </c>
      <c r="B149" s="20">
        <v>0.21041666666666667</v>
      </c>
      <c r="C149" s="4"/>
      <c r="D149" s="19"/>
      <c r="E149" s="3"/>
      <c r="F149" s="4"/>
      <c r="G149" s="20">
        <v>0.5694444444444444</v>
      </c>
      <c r="H149" s="4"/>
      <c r="I149" s="19"/>
      <c r="J149" s="4"/>
      <c r="K149" s="19"/>
      <c r="L149" s="4"/>
      <c r="M149" s="19"/>
      <c r="N149" s="4"/>
      <c r="O149" s="6">
        <f t="shared" ref="O149:O150" si="34">G149-B149</f>
        <v>0.3590277778</v>
      </c>
      <c r="P149" s="21">
        <v>0.3541666666666667</v>
      </c>
      <c r="Q149" s="8">
        <f t="shared" si="33"/>
        <v>0.004861111111</v>
      </c>
    </row>
    <row r="150">
      <c r="A150" s="18" t="s">
        <v>25</v>
      </c>
      <c r="B150" s="20">
        <v>0.2076388888888889</v>
      </c>
      <c r="C150" s="4"/>
      <c r="D150" s="19"/>
      <c r="E150" s="3"/>
      <c r="F150" s="4"/>
      <c r="G150" s="20">
        <v>0.5840277777777778</v>
      </c>
      <c r="H150" s="4"/>
      <c r="I150" s="19"/>
      <c r="J150" s="4"/>
      <c r="K150" s="19"/>
      <c r="L150" s="4"/>
      <c r="M150" s="19"/>
      <c r="N150" s="4"/>
      <c r="O150" s="6">
        <f t="shared" si="34"/>
        <v>0.3763888889</v>
      </c>
      <c r="P150" s="21">
        <v>0.3541666666666667</v>
      </c>
      <c r="Q150" s="8">
        <f t="shared" si="33"/>
        <v>0.02222222222</v>
      </c>
    </row>
    <row r="151">
      <c r="A151" s="18" t="s">
        <v>26</v>
      </c>
      <c r="B151" s="23"/>
      <c r="C151" s="4"/>
      <c r="D151" s="24"/>
      <c r="E151" s="3"/>
      <c r="F151" s="3"/>
      <c r="G151" s="25"/>
      <c r="H151" s="3"/>
      <c r="I151" s="26"/>
      <c r="J151" s="3"/>
      <c r="K151" s="24"/>
      <c r="L151" s="3"/>
      <c r="M151" s="24"/>
      <c r="N151" s="4"/>
      <c r="O151" s="6"/>
      <c r="P151" s="7"/>
      <c r="Q151" s="8"/>
    </row>
    <row r="152">
      <c r="A152" s="22" t="s">
        <v>27</v>
      </c>
      <c r="B152" s="20">
        <v>0.2013888888888889</v>
      </c>
      <c r="C152" s="4"/>
      <c r="D152" s="20">
        <v>0.6076388888888888</v>
      </c>
      <c r="E152" s="3"/>
      <c r="F152" s="4"/>
      <c r="G152" s="19"/>
      <c r="H152" s="4"/>
      <c r="I152" s="19"/>
      <c r="J152" s="4"/>
      <c r="K152" s="19"/>
      <c r="L152" s="4"/>
      <c r="M152" s="19"/>
      <c r="N152" s="4"/>
      <c r="O152" s="6">
        <f>D152-B152</f>
        <v>0.40625</v>
      </c>
      <c r="P152" s="21">
        <v>0.3541666666666667</v>
      </c>
      <c r="Q152" s="8">
        <f>O152-P152</f>
        <v>0.05208333333</v>
      </c>
    </row>
    <row r="153">
      <c r="A153" s="22" t="s">
        <v>28</v>
      </c>
      <c r="B153" s="19"/>
      <c r="C153" s="4"/>
      <c r="D153" s="19"/>
      <c r="E153" s="3"/>
      <c r="F153" s="4"/>
      <c r="G153" s="19"/>
      <c r="H153" s="4"/>
      <c r="I153" s="19"/>
      <c r="J153" s="4"/>
      <c r="K153" s="19"/>
      <c r="L153" s="4"/>
      <c r="M153" s="19"/>
      <c r="N153" s="4"/>
      <c r="O153" s="6"/>
      <c r="P153" s="7"/>
      <c r="Q153" s="8"/>
    </row>
    <row r="154">
      <c r="A154" s="18" t="s">
        <v>29</v>
      </c>
      <c r="B154" s="20">
        <v>0.19444444444444445</v>
      </c>
      <c r="C154" s="4"/>
      <c r="D154" s="19"/>
      <c r="E154" s="3"/>
      <c r="F154" s="4"/>
      <c r="G154" s="20">
        <v>0.6194444444444445</v>
      </c>
      <c r="H154" s="4"/>
      <c r="I154" s="19"/>
      <c r="J154" s="4"/>
      <c r="K154" s="19"/>
      <c r="L154" s="4"/>
      <c r="M154" s="19"/>
      <c r="N154" s="4"/>
      <c r="O154" s="6">
        <f>G154-B154</f>
        <v>0.425</v>
      </c>
      <c r="P154" s="21">
        <v>0.3541666666666667</v>
      </c>
      <c r="Q154" s="8">
        <f>O154-P154</f>
        <v>0.07083333333</v>
      </c>
    </row>
    <row r="155">
      <c r="A155" s="18" t="s">
        <v>30</v>
      </c>
      <c r="B155" s="23"/>
      <c r="C155" s="4"/>
      <c r="D155" s="24"/>
      <c r="E155" s="3"/>
      <c r="F155" s="3"/>
      <c r="G155" s="25"/>
      <c r="H155" s="3"/>
      <c r="I155" s="26"/>
      <c r="J155" s="3"/>
      <c r="K155" s="24"/>
      <c r="L155" s="3"/>
      <c r="M155" s="24"/>
      <c r="N155" s="4"/>
      <c r="O155" s="6"/>
      <c r="P155" s="7"/>
      <c r="Q155" s="8"/>
    </row>
    <row r="156">
      <c r="A156" s="18" t="s">
        <v>31</v>
      </c>
      <c r="B156" s="20">
        <v>0.19722222222222222</v>
      </c>
      <c r="C156" s="4"/>
      <c r="D156" s="19"/>
      <c r="E156" s="3"/>
      <c r="F156" s="4"/>
      <c r="G156" s="20">
        <v>0.5638888888888889</v>
      </c>
      <c r="H156" s="4"/>
      <c r="I156" s="19"/>
      <c r="J156" s="4"/>
      <c r="K156" s="19"/>
      <c r="L156" s="4"/>
      <c r="M156" s="19"/>
      <c r="N156" s="4"/>
      <c r="O156" s="6">
        <f>G156-B156</f>
        <v>0.3666666667</v>
      </c>
      <c r="P156" s="21">
        <v>0.3541666666666667</v>
      </c>
      <c r="Q156" s="8">
        <f>O156-P156</f>
        <v>0.0125</v>
      </c>
    </row>
    <row r="157">
      <c r="A157" s="18" t="s">
        <v>32</v>
      </c>
      <c r="B157" s="20">
        <v>0.19791666666666666</v>
      </c>
      <c r="C157" s="4"/>
      <c r="D157" s="19"/>
      <c r="E157" s="3"/>
      <c r="F157" s="4"/>
      <c r="G157" s="19"/>
      <c r="H157" s="4"/>
      <c r="I157" s="19"/>
      <c r="J157" s="4"/>
      <c r="K157" s="19"/>
      <c r="L157" s="4"/>
      <c r="M157" s="19"/>
      <c r="N157" s="4"/>
      <c r="O157" s="6"/>
      <c r="P157" s="21">
        <v>0.3541666666666667</v>
      </c>
      <c r="Q157" s="8"/>
    </row>
    <row r="158">
      <c r="O158" s="28" t="s">
        <v>10</v>
      </c>
      <c r="P158" s="7"/>
      <c r="Q158" s="8">
        <f>Q142+Q143+Q145+Q147+Q148+Q152+Q154</f>
        <v>0.6597222222</v>
      </c>
    </row>
    <row r="159">
      <c r="O159" s="6"/>
      <c r="P159" s="7"/>
      <c r="Q159" s="8"/>
    </row>
    <row r="160">
      <c r="A160" s="1" t="s">
        <v>0</v>
      </c>
      <c r="B160" s="2" t="s">
        <v>1</v>
      </c>
      <c r="C160" s="3"/>
      <c r="D160" s="3"/>
      <c r="E160" s="3"/>
      <c r="F160" s="3"/>
      <c r="G160" s="3"/>
      <c r="H160" s="4"/>
      <c r="I160" s="1" t="s">
        <v>2</v>
      </c>
      <c r="J160" s="10" t="s">
        <v>39</v>
      </c>
      <c r="K160" s="3"/>
      <c r="L160" s="3"/>
      <c r="M160" s="3"/>
      <c r="N160" s="4"/>
      <c r="O160" s="6"/>
      <c r="P160" s="7"/>
      <c r="Q160" s="8"/>
    </row>
    <row r="161">
      <c r="A161" s="1" t="s">
        <v>4</v>
      </c>
      <c r="B161" s="9" t="s">
        <v>5</v>
      </c>
      <c r="C161" s="3"/>
      <c r="D161" s="3"/>
      <c r="E161" s="3"/>
      <c r="F161" s="3"/>
      <c r="G161" s="3"/>
      <c r="H161" s="4"/>
      <c r="I161" s="1" t="s">
        <v>6</v>
      </c>
      <c r="J161" s="10">
        <v>12.0</v>
      </c>
      <c r="K161" s="3"/>
      <c r="L161" s="3"/>
      <c r="M161" s="3"/>
      <c r="N161" s="4"/>
      <c r="O161" s="6"/>
      <c r="P161" s="7"/>
      <c r="Q161" s="8"/>
    </row>
    <row r="162">
      <c r="A162" s="11" t="s">
        <v>7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4"/>
      <c r="O162" s="12" t="s">
        <v>8</v>
      </c>
      <c r="P162" s="13" t="s">
        <v>9</v>
      </c>
      <c r="Q162" s="14" t="s">
        <v>10</v>
      </c>
    </row>
    <row r="163">
      <c r="A163" s="15" t="s">
        <v>11</v>
      </c>
      <c r="B163" s="2" t="s">
        <v>12</v>
      </c>
      <c r="C163" s="3"/>
      <c r="D163" s="3"/>
      <c r="E163" s="3"/>
      <c r="F163" s="4"/>
      <c r="G163" s="2" t="s">
        <v>13</v>
      </c>
      <c r="H163" s="3"/>
      <c r="I163" s="3"/>
      <c r="J163" s="3"/>
      <c r="K163" s="10" t="s">
        <v>14</v>
      </c>
      <c r="L163" s="3"/>
      <c r="M163" s="3"/>
      <c r="N163" s="4"/>
      <c r="O163" s="6"/>
      <c r="P163" s="7"/>
      <c r="Q163" s="8"/>
    </row>
    <row r="164">
      <c r="A164" s="16"/>
      <c r="B164" s="17" t="s">
        <v>15</v>
      </c>
      <c r="C164" s="4"/>
      <c r="D164" s="17" t="s">
        <v>16</v>
      </c>
      <c r="E164" s="3"/>
      <c r="F164" s="4"/>
      <c r="G164" s="17" t="s">
        <v>15</v>
      </c>
      <c r="H164" s="4"/>
      <c r="I164" s="17" t="s">
        <v>16</v>
      </c>
      <c r="J164" s="4"/>
      <c r="K164" s="17" t="s">
        <v>15</v>
      </c>
      <c r="L164" s="4"/>
      <c r="M164" s="17" t="s">
        <v>16</v>
      </c>
      <c r="N164" s="4"/>
      <c r="O164" s="6"/>
      <c r="P164" s="7"/>
      <c r="Q164" s="8"/>
    </row>
    <row r="165">
      <c r="A165" s="18" t="s">
        <v>17</v>
      </c>
      <c r="B165" s="23"/>
      <c r="C165" s="4"/>
      <c r="D165" s="24"/>
      <c r="E165" s="3"/>
      <c r="F165" s="3"/>
      <c r="G165" s="25"/>
      <c r="H165" s="3"/>
      <c r="I165" s="26"/>
      <c r="J165" s="3"/>
      <c r="K165" s="24"/>
      <c r="L165" s="3"/>
      <c r="M165" s="24"/>
      <c r="N165" s="4"/>
      <c r="O165" s="6"/>
      <c r="P165" s="21">
        <v>0.3541666666666667</v>
      </c>
      <c r="Q165" s="8"/>
    </row>
    <row r="166">
      <c r="A166" s="18" t="s">
        <v>18</v>
      </c>
      <c r="B166" s="20">
        <v>0.20833333333333334</v>
      </c>
      <c r="C166" s="4"/>
      <c r="D166" s="19"/>
      <c r="E166" s="3"/>
      <c r="F166" s="4"/>
      <c r="G166" s="20">
        <v>0.5805555555555556</v>
      </c>
      <c r="H166" s="4"/>
      <c r="I166" s="19"/>
      <c r="J166" s="4"/>
      <c r="K166" s="19"/>
      <c r="L166" s="4"/>
      <c r="M166" s="19"/>
      <c r="N166" s="4"/>
      <c r="O166" s="6">
        <f t="shared" ref="O166:O167" si="35">G166-B166</f>
        <v>0.3722222222</v>
      </c>
      <c r="P166" s="21">
        <v>0.3541666666666667</v>
      </c>
      <c r="Q166" s="8">
        <f t="shared" ref="Q166:Q168" si="36">O166-P166</f>
        <v>0.01805555556</v>
      </c>
    </row>
    <row r="167">
      <c r="A167" s="18" t="s">
        <v>19</v>
      </c>
      <c r="B167" s="20">
        <v>0.2048611111111111</v>
      </c>
      <c r="C167" s="4"/>
      <c r="D167" s="19"/>
      <c r="E167" s="3"/>
      <c r="F167" s="4"/>
      <c r="G167" s="20">
        <v>0.5840277777777778</v>
      </c>
      <c r="H167" s="4"/>
      <c r="I167" s="19"/>
      <c r="J167" s="4"/>
      <c r="K167" s="19"/>
      <c r="L167" s="4"/>
      <c r="M167" s="19"/>
      <c r="N167" s="4"/>
      <c r="O167" s="6">
        <f t="shared" si="35"/>
        <v>0.3791666667</v>
      </c>
      <c r="P167" s="21">
        <v>0.3541666666666667</v>
      </c>
      <c r="Q167" s="8">
        <f t="shared" si="36"/>
        <v>0.025</v>
      </c>
    </row>
    <row r="168">
      <c r="A168" s="22" t="s">
        <v>20</v>
      </c>
      <c r="B168" s="20">
        <v>0.20416666666666666</v>
      </c>
      <c r="C168" s="4"/>
      <c r="D168" s="20">
        <v>0.5638888888888889</v>
      </c>
      <c r="E168" s="3"/>
      <c r="F168" s="4"/>
      <c r="G168" s="19"/>
      <c r="H168" s="4"/>
      <c r="I168" s="19"/>
      <c r="J168" s="4"/>
      <c r="K168" s="19"/>
      <c r="L168" s="4"/>
      <c r="M168" s="19"/>
      <c r="N168" s="4"/>
      <c r="O168" s="6">
        <f>D168-B168</f>
        <v>0.3597222222</v>
      </c>
      <c r="P168" s="21">
        <v>0.3541666666666667</v>
      </c>
      <c r="Q168" s="8">
        <f t="shared" si="36"/>
        <v>0.005555555556</v>
      </c>
    </row>
    <row r="169">
      <c r="A169" s="22" t="s">
        <v>21</v>
      </c>
      <c r="B169" s="19"/>
      <c r="C169" s="4"/>
      <c r="D169" s="19"/>
      <c r="E169" s="3"/>
      <c r="F169" s="4"/>
      <c r="G169" s="19"/>
      <c r="H169" s="4"/>
      <c r="I169" s="19"/>
      <c r="J169" s="4"/>
      <c r="K169" s="19"/>
      <c r="L169" s="4"/>
      <c r="M169" s="19"/>
      <c r="N169" s="4"/>
      <c r="O169" s="6"/>
      <c r="P169" s="7"/>
      <c r="Q169" s="8"/>
    </row>
    <row r="170">
      <c r="A170" s="18" t="s">
        <v>22</v>
      </c>
      <c r="B170" s="20">
        <v>0.19236111111111112</v>
      </c>
      <c r="C170" s="4"/>
      <c r="D170" s="19"/>
      <c r="E170" s="3"/>
      <c r="F170" s="4"/>
      <c r="G170" s="20">
        <v>0.5722222222222222</v>
      </c>
      <c r="H170" s="4"/>
      <c r="I170" s="19"/>
      <c r="J170" s="4"/>
      <c r="K170" s="19"/>
      <c r="L170" s="4"/>
      <c r="M170" s="19"/>
      <c r="N170" s="4"/>
      <c r="O170" s="6">
        <f t="shared" ref="O170:O171" si="37">G170-B170</f>
        <v>0.3798611111</v>
      </c>
      <c r="P170" s="21">
        <v>0.3541666666666667</v>
      </c>
      <c r="Q170" s="8">
        <f>O170-P170</f>
        <v>0.02569444444</v>
      </c>
    </row>
    <row r="171">
      <c r="A171" s="18" t="s">
        <v>23</v>
      </c>
      <c r="B171" s="20">
        <v>0.22013888888888888</v>
      </c>
      <c r="C171" s="4"/>
      <c r="D171" s="19"/>
      <c r="E171" s="3"/>
      <c r="F171" s="4"/>
      <c r="G171" s="20">
        <v>0.5715277777777777</v>
      </c>
      <c r="H171" s="4"/>
      <c r="I171" s="19"/>
      <c r="J171" s="4"/>
      <c r="K171" s="19"/>
      <c r="L171" s="4"/>
      <c r="M171" s="19"/>
      <c r="N171" s="4"/>
      <c r="O171" s="6">
        <f t="shared" si="37"/>
        <v>0.3513888889</v>
      </c>
      <c r="P171" s="21">
        <v>0.3541666666666667</v>
      </c>
      <c r="Q171" s="8">
        <f>P171-O171</f>
        <v>0.002777777778</v>
      </c>
    </row>
    <row r="172">
      <c r="A172" s="18" t="s">
        <v>24</v>
      </c>
      <c r="B172" s="20">
        <v>0.3625</v>
      </c>
      <c r="C172" s="4"/>
      <c r="D172" s="19"/>
      <c r="E172" s="3"/>
      <c r="F172" s="4"/>
      <c r="G172" s="19"/>
      <c r="H172" s="4"/>
      <c r="I172" s="20">
        <v>0.7527777777777778</v>
      </c>
      <c r="J172" s="4"/>
      <c r="K172" s="19"/>
      <c r="L172" s="4"/>
      <c r="M172" s="19"/>
      <c r="N172" s="4"/>
      <c r="O172" s="6">
        <f t="shared" ref="O172:O173" si="38">I172-B172</f>
        <v>0.3902777778</v>
      </c>
      <c r="P172" s="21">
        <v>0.3541666666666667</v>
      </c>
      <c r="Q172" s="8">
        <f t="shared" ref="Q172:Q174" si="39">O172-P172</f>
        <v>0.03611111111</v>
      </c>
    </row>
    <row r="173">
      <c r="A173" s="18" t="s">
        <v>25</v>
      </c>
      <c r="B173" s="20">
        <v>0.36527777777777776</v>
      </c>
      <c r="C173" s="4"/>
      <c r="D173" s="19"/>
      <c r="E173" s="3"/>
      <c r="F173" s="4"/>
      <c r="G173" s="19"/>
      <c r="H173" s="4"/>
      <c r="I173" s="20">
        <v>0.7319444444444444</v>
      </c>
      <c r="J173" s="4"/>
      <c r="K173" s="19"/>
      <c r="L173" s="4"/>
      <c r="M173" s="19"/>
      <c r="N173" s="4"/>
      <c r="O173" s="6">
        <f t="shared" si="38"/>
        <v>0.3666666667</v>
      </c>
      <c r="P173" s="21">
        <v>0.3541666666666667</v>
      </c>
      <c r="Q173" s="8">
        <f t="shared" si="39"/>
        <v>0.0125</v>
      </c>
    </row>
    <row r="174">
      <c r="A174" s="18" t="s">
        <v>26</v>
      </c>
      <c r="B174" s="19"/>
      <c r="C174" s="4"/>
      <c r="D174" s="20">
        <v>0.4875</v>
      </c>
      <c r="E174" s="3"/>
      <c r="F174" s="4"/>
      <c r="G174" s="19"/>
      <c r="H174" s="4"/>
      <c r="I174" s="19"/>
      <c r="J174" s="4"/>
      <c r="K174" s="19"/>
      <c r="L174" s="4"/>
      <c r="M174" s="20">
        <v>0.8944444444444445</v>
      </c>
      <c r="N174" s="4"/>
      <c r="O174" s="6">
        <f>M174-D174</f>
        <v>0.4069444444</v>
      </c>
      <c r="P174" s="21">
        <v>0.3541666666666667</v>
      </c>
      <c r="Q174" s="8">
        <f t="shared" si="39"/>
        <v>0.05277777778</v>
      </c>
    </row>
    <row r="175">
      <c r="A175" s="22" t="s">
        <v>27</v>
      </c>
      <c r="B175" s="19"/>
      <c r="C175" s="4"/>
      <c r="D175" s="19"/>
      <c r="E175" s="3"/>
      <c r="F175" s="4"/>
      <c r="G175" s="19"/>
      <c r="H175" s="4"/>
      <c r="I175" s="19"/>
      <c r="J175" s="4"/>
      <c r="K175" s="19"/>
      <c r="L175" s="4"/>
      <c r="M175" s="19"/>
      <c r="N175" s="4"/>
      <c r="O175" s="6"/>
      <c r="P175" s="21"/>
      <c r="Q175" s="8"/>
    </row>
    <row r="176">
      <c r="A176" s="22" t="s">
        <v>28</v>
      </c>
      <c r="B176" s="19"/>
      <c r="C176" s="4"/>
      <c r="D176" s="19"/>
      <c r="E176" s="3"/>
      <c r="F176" s="4"/>
      <c r="G176" s="19"/>
      <c r="H176" s="4"/>
      <c r="I176" s="19"/>
      <c r="J176" s="4"/>
      <c r="K176" s="19"/>
      <c r="L176" s="4"/>
      <c r="M176" s="19"/>
      <c r="N176" s="4"/>
      <c r="O176" s="6"/>
      <c r="P176" s="7"/>
      <c r="Q176" s="8"/>
    </row>
    <row r="177">
      <c r="A177" s="18" t="s">
        <v>29</v>
      </c>
      <c r="B177" s="20">
        <v>0.36527777777777776</v>
      </c>
      <c r="C177" s="4"/>
      <c r="D177" s="19"/>
      <c r="E177" s="3"/>
      <c r="F177" s="4"/>
      <c r="G177" s="19"/>
      <c r="H177" s="4"/>
      <c r="I177" s="19"/>
      <c r="J177" s="4"/>
      <c r="K177" s="20">
        <v>0.7708333333333334</v>
      </c>
      <c r="L177" s="4"/>
      <c r="M177" s="19"/>
      <c r="N177" s="4"/>
      <c r="O177" s="6">
        <f>K177-B177</f>
        <v>0.4055555556</v>
      </c>
      <c r="P177" s="21">
        <v>0.3541666666666667</v>
      </c>
      <c r="Q177" s="8">
        <f t="shared" ref="Q177:Q179" si="40">O177-P177</f>
        <v>0.05138888889</v>
      </c>
    </row>
    <row r="178">
      <c r="A178" s="18" t="s">
        <v>30</v>
      </c>
      <c r="B178" s="20">
        <v>0.20208333333333334</v>
      </c>
      <c r="C178" s="4"/>
      <c r="D178" s="19"/>
      <c r="E178" s="3"/>
      <c r="F178" s="4"/>
      <c r="G178" s="19"/>
      <c r="H178" s="4"/>
      <c r="I178" s="20">
        <v>0.7083333333333334</v>
      </c>
      <c r="J178" s="4"/>
      <c r="K178" s="19"/>
      <c r="L178" s="4"/>
      <c r="M178" s="19"/>
      <c r="N178" s="4"/>
      <c r="O178" s="6">
        <f>I178-B178</f>
        <v>0.50625</v>
      </c>
      <c r="P178" s="21">
        <v>0.3541666666666667</v>
      </c>
      <c r="Q178" s="8">
        <f t="shared" si="40"/>
        <v>0.1520833333</v>
      </c>
    </row>
    <row r="179">
      <c r="A179" s="18" t="s">
        <v>31</v>
      </c>
      <c r="B179" s="19"/>
      <c r="C179" s="4"/>
      <c r="D179" s="20">
        <v>0.45625</v>
      </c>
      <c r="E179" s="3"/>
      <c r="F179" s="4"/>
      <c r="G179" s="19"/>
      <c r="H179" s="4"/>
      <c r="I179" s="19"/>
      <c r="J179" s="4"/>
      <c r="K179" s="19"/>
      <c r="L179" s="4"/>
      <c r="M179" s="20">
        <v>0.8715277777777778</v>
      </c>
      <c r="N179" s="4"/>
      <c r="O179" s="6">
        <f>M179-D179</f>
        <v>0.4152777778</v>
      </c>
      <c r="P179" s="21">
        <v>0.3541666666666667</v>
      </c>
      <c r="Q179" s="8">
        <f t="shared" si="40"/>
        <v>0.06111111111</v>
      </c>
    </row>
    <row r="180">
      <c r="A180" s="18" t="s">
        <v>32</v>
      </c>
      <c r="B180" s="23"/>
      <c r="C180" s="4"/>
      <c r="D180" s="24"/>
      <c r="E180" s="3"/>
      <c r="F180" s="3"/>
      <c r="G180" s="25"/>
      <c r="H180" s="3"/>
      <c r="I180" s="26"/>
      <c r="J180" s="3"/>
      <c r="K180" s="24"/>
      <c r="L180" s="3"/>
      <c r="M180" s="24"/>
      <c r="N180" s="4"/>
      <c r="O180" s="6"/>
      <c r="P180" s="7"/>
      <c r="Q180" s="8"/>
    </row>
    <row r="181">
      <c r="O181" s="28" t="s">
        <v>10</v>
      </c>
      <c r="P181" s="7"/>
      <c r="Q181" s="8">
        <f>Q174+Q177+Q178+Q179</f>
        <v>0.3173611111</v>
      </c>
    </row>
    <row r="182">
      <c r="O182" s="6"/>
      <c r="P182" s="7"/>
      <c r="Q182" s="8"/>
    </row>
    <row r="183">
      <c r="A183" s="1" t="s">
        <v>0</v>
      </c>
      <c r="B183" s="2" t="s">
        <v>1</v>
      </c>
      <c r="C183" s="3"/>
      <c r="D183" s="3"/>
      <c r="E183" s="3"/>
      <c r="F183" s="3"/>
      <c r="G183" s="3"/>
      <c r="H183" s="4"/>
      <c r="I183" s="1" t="s">
        <v>2</v>
      </c>
      <c r="J183" s="10" t="s">
        <v>40</v>
      </c>
      <c r="K183" s="3"/>
      <c r="L183" s="3"/>
      <c r="M183" s="3"/>
      <c r="N183" s="4"/>
      <c r="O183" s="6"/>
      <c r="P183" s="7"/>
      <c r="Q183" s="8"/>
    </row>
    <row r="184">
      <c r="A184" s="1" t="s">
        <v>4</v>
      </c>
      <c r="B184" s="9" t="s">
        <v>5</v>
      </c>
      <c r="C184" s="3"/>
      <c r="D184" s="3"/>
      <c r="E184" s="3"/>
      <c r="F184" s="3"/>
      <c r="G184" s="3"/>
      <c r="H184" s="4"/>
      <c r="I184" s="1" t="s">
        <v>6</v>
      </c>
      <c r="J184" s="10">
        <v>13.0</v>
      </c>
      <c r="K184" s="3"/>
      <c r="L184" s="3"/>
      <c r="M184" s="3"/>
      <c r="N184" s="4"/>
      <c r="O184" s="6"/>
      <c r="P184" s="7"/>
      <c r="Q184" s="8"/>
    </row>
    <row r="185">
      <c r="A185" s="11" t="s">
        <v>7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4"/>
      <c r="O185" s="12" t="s">
        <v>8</v>
      </c>
      <c r="P185" s="13" t="s">
        <v>9</v>
      </c>
      <c r="Q185" s="14" t="s">
        <v>10</v>
      </c>
    </row>
    <row r="186">
      <c r="A186" s="15" t="s">
        <v>11</v>
      </c>
      <c r="B186" s="2" t="s">
        <v>12</v>
      </c>
      <c r="C186" s="3"/>
      <c r="D186" s="3"/>
      <c r="E186" s="3"/>
      <c r="F186" s="4"/>
      <c r="G186" s="2" t="s">
        <v>13</v>
      </c>
      <c r="H186" s="3"/>
      <c r="I186" s="3"/>
      <c r="J186" s="3"/>
      <c r="K186" s="10" t="s">
        <v>14</v>
      </c>
      <c r="L186" s="3"/>
      <c r="M186" s="3"/>
      <c r="N186" s="4"/>
      <c r="O186" s="6"/>
      <c r="P186" s="7"/>
      <c r="Q186" s="8"/>
    </row>
    <row r="187">
      <c r="A187" s="16"/>
      <c r="B187" s="17" t="s">
        <v>15</v>
      </c>
      <c r="C187" s="4"/>
      <c r="D187" s="17" t="s">
        <v>16</v>
      </c>
      <c r="E187" s="3"/>
      <c r="F187" s="4"/>
      <c r="G187" s="17" t="s">
        <v>15</v>
      </c>
      <c r="H187" s="4"/>
      <c r="I187" s="17" t="s">
        <v>16</v>
      </c>
      <c r="J187" s="4"/>
      <c r="K187" s="17" t="s">
        <v>15</v>
      </c>
      <c r="L187" s="4"/>
      <c r="M187" s="17" t="s">
        <v>16</v>
      </c>
      <c r="N187" s="4"/>
      <c r="O187" s="6"/>
      <c r="P187" s="7"/>
      <c r="Q187" s="8"/>
    </row>
    <row r="188">
      <c r="A188" s="18" t="s">
        <v>17</v>
      </c>
      <c r="B188" s="23"/>
      <c r="C188" s="4"/>
      <c r="D188" s="24"/>
      <c r="E188" s="3"/>
      <c r="F188" s="3"/>
      <c r="G188" s="25"/>
      <c r="H188" s="3"/>
      <c r="I188" s="26"/>
      <c r="J188" s="3"/>
      <c r="K188" s="24"/>
      <c r="L188" s="3"/>
      <c r="M188" s="24"/>
      <c r="N188" s="4"/>
      <c r="O188" s="6"/>
      <c r="P188" s="21">
        <v>0.3541666666666667</v>
      </c>
      <c r="Q188" s="8"/>
    </row>
    <row r="189">
      <c r="A189" s="18" t="s">
        <v>18</v>
      </c>
      <c r="B189" s="19"/>
      <c r="C189" s="4"/>
      <c r="D189" s="19"/>
      <c r="E189" s="3"/>
      <c r="F189" s="4"/>
      <c r="G189" s="20">
        <v>0.5493055555555556</v>
      </c>
      <c r="H189" s="4"/>
      <c r="I189" s="19"/>
      <c r="J189" s="4"/>
      <c r="K189" s="19"/>
      <c r="L189" s="4"/>
      <c r="M189" s="20">
        <v>0.8638888888888889</v>
      </c>
      <c r="N189" s="4"/>
      <c r="O189" s="6">
        <f>M189-G189</f>
        <v>0.3145833333</v>
      </c>
      <c r="P189" s="21">
        <v>0.3541666666666667</v>
      </c>
      <c r="Q189" s="8">
        <f t="shared" ref="Q189:Q191" si="41">O189-P189</f>
        <v>-0.03958333333</v>
      </c>
    </row>
    <row r="190">
      <c r="A190" s="18" t="s">
        <v>19</v>
      </c>
      <c r="B190" s="19"/>
      <c r="C190" s="4"/>
      <c r="D190" s="20">
        <v>0.48055555555555557</v>
      </c>
      <c r="E190" s="3"/>
      <c r="F190" s="4"/>
      <c r="G190" s="19"/>
      <c r="H190" s="4"/>
      <c r="I190" s="19"/>
      <c r="J190" s="4"/>
      <c r="K190" s="19"/>
      <c r="L190" s="4"/>
      <c r="M190" s="20">
        <v>0.9027777777777778</v>
      </c>
      <c r="N190" s="4"/>
      <c r="O190" s="6">
        <f>M190-D190</f>
        <v>0.4222222222</v>
      </c>
      <c r="P190" s="21">
        <v>0.3541666666666667</v>
      </c>
      <c r="Q190" s="8">
        <f t="shared" si="41"/>
        <v>0.06805555556</v>
      </c>
    </row>
    <row r="191">
      <c r="A191" s="22" t="s">
        <v>20</v>
      </c>
      <c r="B191" s="20">
        <v>0.5555555555555556</v>
      </c>
      <c r="C191" s="4"/>
      <c r="D191" s="20">
        <v>0.8430555555555556</v>
      </c>
      <c r="E191" s="3"/>
      <c r="F191" s="4"/>
      <c r="G191" s="19"/>
      <c r="H191" s="4"/>
      <c r="I191" s="19"/>
      <c r="J191" s="4"/>
      <c r="K191" s="19"/>
      <c r="L191" s="4"/>
      <c r="M191" s="19"/>
      <c r="N191" s="4"/>
      <c r="O191" s="6">
        <f>D191-B191</f>
        <v>0.2875</v>
      </c>
      <c r="P191" s="21">
        <v>0.3541666666666667</v>
      </c>
      <c r="Q191" s="8">
        <f t="shared" si="41"/>
        <v>-0.06666666667</v>
      </c>
    </row>
    <row r="192">
      <c r="A192" s="22" t="s">
        <v>21</v>
      </c>
      <c r="B192" s="19"/>
      <c r="C192" s="4"/>
      <c r="D192" s="19"/>
      <c r="E192" s="3"/>
      <c r="F192" s="4"/>
      <c r="G192" s="19"/>
      <c r="H192" s="4"/>
      <c r="I192" s="19"/>
      <c r="J192" s="4"/>
      <c r="K192" s="19"/>
      <c r="L192" s="4"/>
      <c r="M192" s="19"/>
      <c r="N192" s="4"/>
      <c r="O192" s="6"/>
      <c r="P192" s="7"/>
      <c r="Q192" s="8"/>
    </row>
    <row r="193">
      <c r="A193" s="18" t="s">
        <v>22</v>
      </c>
      <c r="B193" s="19"/>
      <c r="C193" s="4"/>
      <c r="D193" s="19"/>
      <c r="E193" s="3"/>
      <c r="F193" s="4"/>
      <c r="G193" s="20">
        <v>0.5534722222222223</v>
      </c>
      <c r="H193" s="4"/>
      <c r="I193" s="19"/>
      <c r="J193" s="4"/>
      <c r="K193" s="19"/>
      <c r="L193" s="4"/>
      <c r="M193" s="20">
        <v>0.8965277777777778</v>
      </c>
      <c r="N193" s="4"/>
      <c r="O193" s="6">
        <f>M193-G193</f>
        <v>0.3430555556</v>
      </c>
      <c r="P193" s="21">
        <v>0.3541666666666667</v>
      </c>
      <c r="Q193" s="8">
        <f t="shared" ref="Q193:Q195" si="42">O193-P193</f>
        <v>-0.01111111111</v>
      </c>
    </row>
    <row r="194">
      <c r="A194" s="18" t="s">
        <v>23</v>
      </c>
      <c r="B194" s="19"/>
      <c r="C194" s="4"/>
      <c r="D194" s="20">
        <v>0.4701388888888889</v>
      </c>
      <c r="E194" s="3"/>
      <c r="F194" s="4"/>
      <c r="G194" s="19"/>
      <c r="H194" s="4"/>
      <c r="I194" s="19"/>
      <c r="J194" s="4"/>
      <c r="K194" s="19"/>
      <c r="L194" s="4"/>
      <c r="M194" s="20">
        <v>0.8576388888888888</v>
      </c>
      <c r="N194" s="4"/>
      <c r="O194" s="6">
        <f>M194-D194</f>
        <v>0.3875</v>
      </c>
      <c r="P194" s="21">
        <v>0.3541666666666667</v>
      </c>
      <c r="Q194" s="8">
        <f t="shared" si="42"/>
        <v>0.03333333333</v>
      </c>
    </row>
    <row r="195">
      <c r="A195" s="18" t="s">
        <v>24</v>
      </c>
      <c r="B195" s="19"/>
      <c r="C195" s="4"/>
      <c r="D195" s="19"/>
      <c r="E195" s="3"/>
      <c r="F195" s="4"/>
      <c r="G195" s="20">
        <v>0.5555555555555556</v>
      </c>
      <c r="H195" s="4"/>
      <c r="I195" s="19"/>
      <c r="J195" s="4"/>
      <c r="K195" s="19"/>
      <c r="L195" s="4"/>
      <c r="M195" s="20">
        <v>0.8958333333333334</v>
      </c>
      <c r="N195" s="4"/>
      <c r="O195" s="6">
        <f>M195-G195</f>
        <v>0.3402777778</v>
      </c>
      <c r="P195" s="21">
        <v>0.3541666666666667</v>
      </c>
      <c r="Q195" s="8">
        <f t="shared" si="42"/>
        <v>-0.01388888889</v>
      </c>
    </row>
    <row r="196">
      <c r="A196" s="18" t="s">
        <v>25</v>
      </c>
      <c r="B196" s="23"/>
      <c r="C196" s="4"/>
      <c r="D196" s="24"/>
      <c r="E196" s="3"/>
      <c r="F196" s="3"/>
      <c r="G196" s="25"/>
      <c r="H196" s="3"/>
      <c r="I196" s="26"/>
      <c r="J196" s="3"/>
      <c r="K196" s="24"/>
      <c r="L196" s="3"/>
      <c r="M196" s="24"/>
      <c r="N196" s="4"/>
      <c r="O196" s="6"/>
      <c r="P196" s="7"/>
      <c r="Q196" s="8"/>
    </row>
    <row r="197">
      <c r="A197" s="18" t="s">
        <v>26</v>
      </c>
      <c r="B197" s="23"/>
      <c r="C197" s="4"/>
      <c r="D197" s="24"/>
      <c r="E197" s="3"/>
      <c r="F197" s="3"/>
      <c r="G197" s="25"/>
      <c r="H197" s="3"/>
      <c r="I197" s="26"/>
      <c r="J197" s="3"/>
      <c r="K197" s="24"/>
      <c r="L197" s="3"/>
      <c r="M197" s="24"/>
      <c r="N197" s="4"/>
      <c r="O197" s="6"/>
      <c r="P197" s="7"/>
      <c r="Q197" s="8"/>
    </row>
    <row r="198">
      <c r="A198" s="22" t="s">
        <v>27</v>
      </c>
      <c r="B198" s="20">
        <v>0.39305555555555555</v>
      </c>
      <c r="C198" s="4"/>
      <c r="D198" s="20">
        <v>0.7298611111111111</v>
      </c>
      <c r="E198" s="3"/>
      <c r="F198" s="4"/>
      <c r="G198" s="19"/>
      <c r="H198" s="4"/>
      <c r="I198" s="19"/>
      <c r="J198" s="4"/>
      <c r="K198" s="19"/>
      <c r="L198" s="4"/>
      <c r="M198" s="19"/>
      <c r="N198" s="4"/>
      <c r="O198" s="6">
        <f>D198-B198</f>
        <v>0.3368055556</v>
      </c>
      <c r="P198" s="21">
        <v>0.3541666666666667</v>
      </c>
      <c r="Q198" s="8">
        <f>O198-P198</f>
        <v>-0.01736111111</v>
      </c>
    </row>
    <row r="199">
      <c r="A199" s="22" t="s">
        <v>28</v>
      </c>
      <c r="B199" s="19"/>
      <c r="C199" s="4"/>
      <c r="D199" s="19"/>
      <c r="E199" s="3"/>
      <c r="F199" s="4"/>
      <c r="G199" s="19"/>
      <c r="H199" s="4"/>
      <c r="I199" s="19"/>
      <c r="J199" s="4"/>
      <c r="K199" s="19"/>
      <c r="L199" s="4"/>
      <c r="M199" s="19"/>
      <c r="N199" s="4"/>
      <c r="O199" s="6"/>
      <c r="P199" s="7"/>
      <c r="Q199" s="8"/>
    </row>
    <row r="200">
      <c r="A200" s="18" t="s">
        <v>29</v>
      </c>
      <c r="B200" s="19"/>
      <c r="C200" s="4"/>
      <c r="D200" s="19"/>
      <c r="E200" s="3"/>
      <c r="F200" s="4"/>
      <c r="G200" s="20">
        <v>0.5513888888888889</v>
      </c>
      <c r="H200" s="4"/>
      <c r="I200" s="19"/>
      <c r="J200" s="4"/>
      <c r="K200" s="19"/>
      <c r="L200" s="4"/>
      <c r="M200" s="20">
        <v>0.8840277777777777</v>
      </c>
      <c r="N200" s="4"/>
      <c r="O200" s="6">
        <f>M200-G200</f>
        <v>0.3326388889</v>
      </c>
      <c r="P200" s="21">
        <v>0.3541666666666667</v>
      </c>
      <c r="Q200" s="8">
        <f t="shared" ref="Q200:Q201" si="43">O200-P200</f>
        <v>-0.02152777778</v>
      </c>
    </row>
    <row r="201">
      <c r="A201" s="18" t="s">
        <v>30</v>
      </c>
      <c r="B201" s="19"/>
      <c r="C201" s="4"/>
      <c r="D201" s="20">
        <v>0.4791666666666667</v>
      </c>
      <c r="E201" s="3"/>
      <c r="F201" s="4"/>
      <c r="G201" s="19"/>
      <c r="H201" s="4"/>
      <c r="I201" s="19"/>
      <c r="J201" s="4"/>
      <c r="K201" s="19"/>
      <c r="L201" s="4"/>
      <c r="M201" s="20">
        <v>0.8548611111111111</v>
      </c>
      <c r="N201" s="4"/>
      <c r="O201" s="6">
        <f>M201-D201</f>
        <v>0.3756944444</v>
      </c>
      <c r="P201" s="21">
        <v>0.3541666666666667</v>
      </c>
      <c r="Q201" s="8">
        <f t="shared" si="43"/>
        <v>0.02152777778</v>
      </c>
    </row>
    <row r="202">
      <c r="A202" s="18" t="s">
        <v>31</v>
      </c>
      <c r="B202" s="23"/>
      <c r="C202" s="4"/>
      <c r="D202" s="24"/>
      <c r="E202" s="3"/>
      <c r="F202" s="3"/>
      <c r="G202" s="25"/>
      <c r="H202" s="3"/>
      <c r="I202" s="26"/>
      <c r="J202" s="3"/>
      <c r="K202" s="24"/>
      <c r="L202" s="3"/>
      <c r="M202" s="24"/>
      <c r="N202" s="4"/>
      <c r="O202" s="6"/>
      <c r="P202" s="7"/>
      <c r="Q202" s="8"/>
    </row>
    <row r="203">
      <c r="A203" s="18" t="s">
        <v>32</v>
      </c>
      <c r="B203" s="23"/>
      <c r="C203" s="4"/>
      <c r="D203" s="24"/>
      <c r="E203" s="3"/>
      <c r="F203" s="3"/>
      <c r="G203" s="25"/>
      <c r="H203" s="3"/>
      <c r="I203" s="26"/>
      <c r="J203" s="3"/>
      <c r="K203" s="24"/>
      <c r="L203" s="3"/>
      <c r="M203" s="24"/>
      <c r="N203" s="4"/>
      <c r="O203" s="6"/>
      <c r="P203" s="7"/>
      <c r="Q203" s="8"/>
    </row>
    <row r="204">
      <c r="O204" s="28" t="s">
        <v>10</v>
      </c>
      <c r="P204" s="7"/>
      <c r="Q204" s="8">
        <f>Q190</f>
        <v>0.06805555556</v>
      </c>
    </row>
    <row r="205">
      <c r="A205" s="1" t="s">
        <v>0</v>
      </c>
      <c r="B205" s="2" t="s">
        <v>1</v>
      </c>
      <c r="C205" s="3"/>
      <c r="D205" s="3"/>
      <c r="E205" s="3"/>
      <c r="F205" s="3"/>
      <c r="G205" s="3"/>
      <c r="H205" s="4"/>
      <c r="I205" s="1" t="s">
        <v>2</v>
      </c>
      <c r="J205" s="10" t="s">
        <v>41</v>
      </c>
      <c r="K205" s="3"/>
      <c r="L205" s="3"/>
      <c r="M205" s="3"/>
      <c r="N205" s="4"/>
      <c r="O205" s="6"/>
      <c r="P205" s="7"/>
      <c r="Q205" s="8"/>
    </row>
    <row r="206">
      <c r="A206" s="1" t="s">
        <v>4</v>
      </c>
      <c r="B206" s="9" t="s">
        <v>5</v>
      </c>
      <c r="C206" s="3"/>
      <c r="D206" s="3"/>
      <c r="E206" s="3"/>
      <c r="F206" s="3"/>
      <c r="G206" s="3"/>
      <c r="H206" s="4"/>
      <c r="I206" s="1" t="s">
        <v>6</v>
      </c>
      <c r="J206" s="10">
        <v>14.0</v>
      </c>
      <c r="K206" s="3"/>
      <c r="L206" s="3"/>
      <c r="M206" s="3"/>
      <c r="N206" s="4"/>
      <c r="O206" s="6"/>
      <c r="P206" s="7"/>
      <c r="Q206" s="8"/>
    </row>
    <row r="207">
      <c r="A207" s="11" t="s">
        <v>7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4"/>
      <c r="O207" s="12" t="s">
        <v>8</v>
      </c>
      <c r="P207" s="13" t="s">
        <v>9</v>
      </c>
      <c r="Q207" s="14" t="s">
        <v>10</v>
      </c>
    </row>
    <row r="208">
      <c r="A208" s="15" t="s">
        <v>11</v>
      </c>
      <c r="B208" s="2" t="s">
        <v>12</v>
      </c>
      <c r="C208" s="3"/>
      <c r="D208" s="3"/>
      <c r="E208" s="3"/>
      <c r="F208" s="4"/>
      <c r="G208" s="2" t="s">
        <v>13</v>
      </c>
      <c r="H208" s="3"/>
      <c r="I208" s="3"/>
      <c r="J208" s="3"/>
      <c r="K208" s="10" t="s">
        <v>14</v>
      </c>
      <c r="L208" s="3"/>
      <c r="M208" s="3"/>
      <c r="N208" s="4"/>
      <c r="O208" s="6"/>
      <c r="P208" s="7"/>
      <c r="Q208" s="8"/>
    </row>
    <row r="209">
      <c r="A209" s="16"/>
      <c r="B209" s="17" t="s">
        <v>15</v>
      </c>
      <c r="C209" s="4"/>
      <c r="D209" s="17" t="s">
        <v>16</v>
      </c>
      <c r="E209" s="3"/>
      <c r="F209" s="4"/>
      <c r="G209" s="17" t="s">
        <v>15</v>
      </c>
      <c r="H209" s="4"/>
      <c r="I209" s="17" t="s">
        <v>16</v>
      </c>
      <c r="J209" s="4"/>
      <c r="K209" s="17" t="s">
        <v>15</v>
      </c>
      <c r="L209" s="4"/>
      <c r="M209" s="17" t="s">
        <v>16</v>
      </c>
      <c r="N209" s="4"/>
      <c r="O209" s="6"/>
      <c r="P209" s="7"/>
      <c r="Q209" s="8"/>
    </row>
    <row r="210">
      <c r="A210" s="18" t="s">
        <v>17</v>
      </c>
      <c r="B210" s="23"/>
      <c r="C210" s="4"/>
      <c r="D210" s="24"/>
      <c r="E210" s="3"/>
      <c r="F210" s="3"/>
      <c r="G210" s="25"/>
      <c r="H210" s="3"/>
      <c r="I210" s="26"/>
      <c r="J210" s="3"/>
      <c r="K210" s="24"/>
      <c r="L210" s="3"/>
      <c r="M210" s="24"/>
      <c r="N210" s="4"/>
      <c r="O210" s="6"/>
      <c r="P210" s="21">
        <v>0.3541666666666667</v>
      </c>
      <c r="Q210" s="8"/>
    </row>
    <row r="211">
      <c r="A211" s="18" t="s">
        <v>18</v>
      </c>
      <c r="B211" s="20">
        <v>0.19722222222222222</v>
      </c>
      <c r="C211" s="4"/>
      <c r="D211" s="19"/>
      <c r="E211" s="3"/>
      <c r="F211" s="4"/>
      <c r="G211" s="20">
        <v>0.5638888888888889</v>
      </c>
      <c r="H211" s="4"/>
      <c r="I211" s="19"/>
      <c r="J211" s="4"/>
      <c r="K211" s="19"/>
      <c r="L211" s="4"/>
      <c r="M211" s="19"/>
      <c r="N211" s="4"/>
      <c r="O211" s="6">
        <f t="shared" ref="O211:O212" si="44">G211-B211</f>
        <v>0.3666666667</v>
      </c>
      <c r="P211" s="21">
        <v>0.3541666666666667</v>
      </c>
      <c r="Q211" s="8">
        <f t="shared" ref="Q211:Q213" si="45">O211-P211</f>
        <v>0.0125</v>
      </c>
    </row>
    <row r="212">
      <c r="A212" s="18" t="s">
        <v>19</v>
      </c>
      <c r="B212" s="20">
        <v>0.20277777777777778</v>
      </c>
      <c r="C212" s="4"/>
      <c r="D212" s="19"/>
      <c r="E212" s="3"/>
      <c r="F212" s="4"/>
      <c r="G212" s="20">
        <v>0.5840277777777778</v>
      </c>
      <c r="H212" s="4"/>
      <c r="I212" s="19"/>
      <c r="J212" s="4"/>
      <c r="K212" s="19"/>
      <c r="L212" s="4"/>
      <c r="M212" s="19"/>
      <c r="N212" s="4"/>
      <c r="O212" s="6">
        <f t="shared" si="44"/>
        <v>0.38125</v>
      </c>
      <c r="P212" s="21">
        <v>0.3541666666666667</v>
      </c>
      <c r="Q212" s="8">
        <f t="shared" si="45"/>
        <v>0.02708333333</v>
      </c>
    </row>
    <row r="213">
      <c r="A213" s="22" t="s">
        <v>20</v>
      </c>
      <c r="B213" s="20">
        <v>0.20555555555555555</v>
      </c>
      <c r="C213" s="4"/>
      <c r="D213" s="20">
        <v>0.7111111111111111</v>
      </c>
      <c r="E213" s="3"/>
      <c r="F213" s="4"/>
      <c r="G213" s="19"/>
      <c r="H213" s="4"/>
      <c r="I213" s="19"/>
      <c r="J213" s="4"/>
      <c r="K213" s="19"/>
      <c r="L213" s="4"/>
      <c r="M213" s="19"/>
      <c r="N213" s="4"/>
      <c r="O213" s="6">
        <f>D213-B213</f>
        <v>0.5055555556</v>
      </c>
      <c r="P213" s="21">
        <v>0.3541666666666667</v>
      </c>
      <c r="Q213" s="8">
        <f t="shared" si="45"/>
        <v>0.1513888889</v>
      </c>
    </row>
    <row r="214">
      <c r="A214" s="22" t="s">
        <v>21</v>
      </c>
      <c r="B214" s="19"/>
      <c r="C214" s="4"/>
      <c r="D214" s="19"/>
      <c r="E214" s="3"/>
      <c r="F214" s="4"/>
      <c r="G214" s="19"/>
      <c r="H214" s="4"/>
      <c r="I214" s="19"/>
      <c r="J214" s="4"/>
      <c r="K214" s="19"/>
      <c r="L214" s="4"/>
      <c r="M214" s="19"/>
      <c r="N214" s="4"/>
      <c r="O214" s="6"/>
      <c r="P214" s="7"/>
      <c r="Q214" s="8"/>
    </row>
    <row r="215">
      <c r="A215" s="18" t="s">
        <v>22</v>
      </c>
      <c r="B215" s="20">
        <v>0.3638888888888889</v>
      </c>
      <c r="C215" s="4"/>
      <c r="D215" s="19"/>
      <c r="E215" s="3"/>
      <c r="F215" s="4"/>
      <c r="G215" s="19"/>
      <c r="H215" s="4"/>
      <c r="I215" s="20">
        <v>0.7291666666666666</v>
      </c>
      <c r="J215" s="4"/>
      <c r="K215" s="19"/>
      <c r="L215" s="4"/>
      <c r="M215" s="19"/>
      <c r="N215" s="4"/>
      <c r="O215" s="6">
        <f>I215-B215</f>
        <v>0.3652777778</v>
      </c>
      <c r="P215" s="21">
        <v>0.3541666666666667</v>
      </c>
      <c r="Q215" s="8">
        <f>O215-P215</f>
        <v>0.01111111111</v>
      </c>
    </row>
    <row r="216">
      <c r="A216" s="18" t="s">
        <v>23</v>
      </c>
      <c r="B216" s="23"/>
      <c r="C216" s="4"/>
      <c r="D216" s="24"/>
      <c r="E216" s="3"/>
      <c r="F216" s="3"/>
      <c r="G216" s="25"/>
      <c r="H216" s="3"/>
      <c r="I216" s="26"/>
      <c r="J216" s="3"/>
      <c r="K216" s="24"/>
      <c r="L216" s="3"/>
      <c r="M216" s="24"/>
      <c r="N216" s="4"/>
      <c r="O216" s="6"/>
      <c r="P216" s="7"/>
      <c r="Q216" s="8"/>
    </row>
    <row r="217">
      <c r="A217" s="18" t="s">
        <v>24</v>
      </c>
      <c r="B217" s="20">
        <v>0.2</v>
      </c>
      <c r="C217" s="4"/>
      <c r="D217" s="19"/>
      <c r="E217" s="3"/>
      <c r="F217" s="4"/>
      <c r="G217" s="20">
        <v>0.5694444444444444</v>
      </c>
      <c r="H217" s="4"/>
      <c r="I217" s="19"/>
      <c r="J217" s="4"/>
      <c r="K217" s="19"/>
      <c r="L217" s="4"/>
      <c r="M217" s="19"/>
      <c r="N217" s="4"/>
      <c r="O217" s="6">
        <f t="shared" ref="O217:O218" si="46">G217-B217</f>
        <v>0.3694444444</v>
      </c>
      <c r="P217" s="21">
        <v>0.3541666666666667</v>
      </c>
      <c r="Q217" s="8">
        <f t="shared" ref="Q217:Q220" si="47">O217-P217</f>
        <v>0.01527777778</v>
      </c>
    </row>
    <row r="218">
      <c r="A218" s="18" t="s">
        <v>25</v>
      </c>
      <c r="B218" s="20">
        <v>0.2076388888888889</v>
      </c>
      <c r="C218" s="4"/>
      <c r="D218" s="19"/>
      <c r="E218" s="3"/>
      <c r="F218" s="4"/>
      <c r="G218" s="20">
        <v>0.5659722222222222</v>
      </c>
      <c r="H218" s="4"/>
      <c r="I218" s="19"/>
      <c r="J218" s="4"/>
      <c r="K218" s="19"/>
      <c r="L218" s="4"/>
      <c r="M218" s="19"/>
      <c r="N218" s="4"/>
      <c r="O218" s="6">
        <f t="shared" si="46"/>
        <v>0.3583333333</v>
      </c>
      <c r="P218" s="21">
        <v>0.3541666666666667</v>
      </c>
      <c r="Q218" s="8">
        <f t="shared" si="47"/>
        <v>0.004166666667</v>
      </c>
    </row>
    <row r="219">
      <c r="A219" s="18" t="s">
        <v>26</v>
      </c>
      <c r="B219" s="20">
        <v>0.2076388888888889</v>
      </c>
      <c r="C219" s="4"/>
      <c r="D219" s="19"/>
      <c r="E219" s="3"/>
      <c r="F219" s="4"/>
      <c r="G219" s="19"/>
      <c r="H219" s="4"/>
      <c r="I219" s="20">
        <v>0.66875</v>
      </c>
      <c r="J219" s="4"/>
      <c r="K219" s="19"/>
      <c r="L219" s="4"/>
      <c r="M219" s="19"/>
      <c r="N219" s="4"/>
      <c r="O219" s="6">
        <f>I219-B219</f>
        <v>0.4611111111</v>
      </c>
      <c r="P219" s="21">
        <v>0.3541666666666667</v>
      </c>
      <c r="Q219" s="8">
        <f t="shared" si="47"/>
        <v>0.1069444444</v>
      </c>
    </row>
    <row r="220">
      <c r="A220" s="22" t="s">
        <v>27</v>
      </c>
      <c r="B220" s="20">
        <v>0.36944444444444446</v>
      </c>
      <c r="C220" s="4"/>
      <c r="D220" s="20">
        <v>0.7291666666666666</v>
      </c>
      <c r="E220" s="3"/>
      <c r="F220" s="4"/>
      <c r="G220" s="19"/>
      <c r="H220" s="4"/>
      <c r="I220" s="19"/>
      <c r="J220" s="4"/>
      <c r="K220" s="19"/>
      <c r="L220" s="4"/>
      <c r="M220" s="19"/>
      <c r="N220" s="4"/>
      <c r="O220" s="6">
        <f>D220-B220</f>
        <v>0.3597222222</v>
      </c>
      <c r="P220" s="21">
        <v>0.3541666666666667</v>
      </c>
      <c r="Q220" s="8">
        <f t="shared" si="47"/>
        <v>0.005555555556</v>
      </c>
    </row>
    <row r="221">
      <c r="A221" s="22" t="s">
        <v>28</v>
      </c>
      <c r="B221" s="19"/>
      <c r="C221" s="4"/>
      <c r="D221" s="19"/>
      <c r="E221" s="3"/>
      <c r="F221" s="4"/>
      <c r="G221" s="19"/>
      <c r="H221" s="4"/>
      <c r="I221" s="19"/>
      <c r="J221" s="4"/>
      <c r="K221" s="19"/>
      <c r="L221" s="4"/>
      <c r="M221" s="19"/>
      <c r="N221" s="4"/>
      <c r="O221" s="6"/>
      <c r="P221" s="7"/>
      <c r="Q221" s="8"/>
    </row>
    <row r="222">
      <c r="A222" s="18" t="s">
        <v>29</v>
      </c>
      <c r="B222" s="20">
        <v>0.20694444444444443</v>
      </c>
      <c r="C222" s="4"/>
      <c r="D222" s="19"/>
      <c r="E222" s="3"/>
      <c r="F222" s="4"/>
      <c r="G222" s="20">
        <v>0.5923611111111111</v>
      </c>
      <c r="H222" s="4"/>
      <c r="I222" s="19"/>
      <c r="J222" s="4"/>
      <c r="K222" s="19"/>
      <c r="L222" s="4"/>
      <c r="M222" s="19"/>
      <c r="N222" s="4"/>
      <c r="O222" s="6">
        <f>G222-B222</f>
        <v>0.3854166667</v>
      </c>
      <c r="P222" s="21">
        <v>0.3541666666666667</v>
      </c>
      <c r="Q222" s="8">
        <f t="shared" ref="Q222:Q224" si="48">O222-P222</f>
        <v>0.03125</v>
      </c>
    </row>
    <row r="223">
      <c r="A223" s="18" t="s">
        <v>30</v>
      </c>
      <c r="B223" s="20">
        <v>0.20277777777777778</v>
      </c>
      <c r="C223" s="4"/>
      <c r="D223" s="19"/>
      <c r="E223" s="3"/>
      <c r="F223" s="4"/>
      <c r="G223" s="19"/>
      <c r="H223" s="4"/>
      <c r="I223" s="20">
        <v>0.6923611111111111</v>
      </c>
      <c r="J223" s="4"/>
      <c r="K223" s="19"/>
      <c r="L223" s="4"/>
      <c r="M223" s="19"/>
      <c r="N223" s="4"/>
      <c r="O223" s="6">
        <f>I223-B223</f>
        <v>0.4895833333</v>
      </c>
      <c r="P223" s="21">
        <v>0.3541666666666667</v>
      </c>
      <c r="Q223" s="8">
        <f t="shared" si="48"/>
        <v>0.1354166667</v>
      </c>
    </row>
    <row r="224">
      <c r="A224" s="18" t="s">
        <v>31</v>
      </c>
      <c r="B224" s="20">
        <v>0.20208333333333334</v>
      </c>
      <c r="C224" s="4"/>
      <c r="D224" s="19"/>
      <c r="E224" s="3"/>
      <c r="F224" s="4"/>
      <c r="G224" s="20">
        <v>0.5638888888888889</v>
      </c>
      <c r="H224" s="4"/>
      <c r="I224" s="19"/>
      <c r="J224" s="4"/>
      <c r="K224" s="19"/>
      <c r="L224" s="4"/>
      <c r="M224" s="19"/>
      <c r="N224" s="4"/>
      <c r="O224" s="6">
        <f>G224-B224</f>
        <v>0.3618055556</v>
      </c>
      <c r="P224" s="21">
        <v>0.3541666666666667</v>
      </c>
      <c r="Q224" s="8">
        <f t="shared" si="48"/>
        <v>0.007638888889</v>
      </c>
    </row>
    <row r="225">
      <c r="A225" s="18" t="s">
        <v>32</v>
      </c>
      <c r="B225" s="20">
        <v>0.20833333333333334</v>
      </c>
      <c r="C225" s="4"/>
      <c r="D225" s="19"/>
      <c r="E225" s="3"/>
      <c r="F225" s="4"/>
      <c r="G225" s="19"/>
      <c r="H225" s="4"/>
      <c r="I225" s="19"/>
      <c r="J225" s="4"/>
      <c r="K225" s="19"/>
      <c r="L225" s="4"/>
      <c r="M225" s="19"/>
      <c r="N225" s="4"/>
      <c r="O225" s="6"/>
      <c r="P225" s="7"/>
      <c r="Q225" s="8"/>
    </row>
    <row r="226">
      <c r="O226" s="28" t="s">
        <v>10</v>
      </c>
      <c r="P226" s="7"/>
      <c r="Q226" s="8">
        <f>Q213+Q219+Q223</f>
        <v>0.39375</v>
      </c>
    </row>
    <row r="227">
      <c r="O227" s="6"/>
      <c r="P227" s="7"/>
      <c r="Q227" s="8"/>
    </row>
    <row r="228">
      <c r="O228" s="6"/>
      <c r="P228" s="7"/>
      <c r="Q228" s="8"/>
    </row>
    <row r="229">
      <c r="O229" s="6"/>
      <c r="P229" s="7"/>
      <c r="Q229" s="8"/>
    </row>
    <row r="230">
      <c r="O230" s="6"/>
      <c r="P230" s="7"/>
      <c r="Q230" s="8"/>
    </row>
    <row r="231">
      <c r="O231" s="6"/>
      <c r="P231" s="7"/>
      <c r="Q231" s="8"/>
    </row>
    <row r="232">
      <c r="O232" s="6"/>
      <c r="P232" s="7"/>
      <c r="Q232" s="8"/>
    </row>
    <row r="233">
      <c r="O233" s="6"/>
      <c r="P233" s="7"/>
      <c r="Q233" s="8"/>
    </row>
    <row r="234">
      <c r="O234" s="6"/>
      <c r="P234" s="7"/>
      <c r="Q234" s="8"/>
    </row>
    <row r="235">
      <c r="O235" s="6"/>
      <c r="P235" s="7"/>
      <c r="Q235" s="8"/>
    </row>
    <row r="236">
      <c r="O236" s="6"/>
      <c r="P236" s="7"/>
      <c r="Q236" s="8"/>
    </row>
    <row r="237">
      <c r="O237" s="6"/>
      <c r="P237" s="7"/>
      <c r="Q237" s="8"/>
    </row>
    <row r="238">
      <c r="O238" s="6"/>
      <c r="P238" s="7"/>
      <c r="Q238" s="8"/>
    </row>
    <row r="239">
      <c r="O239" s="6"/>
      <c r="P239" s="7"/>
      <c r="Q239" s="8"/>
    </row>
    <row r="240">
      <c r="O240" s="6"/>
      <c r="P240" s="7"/>
      <c r="Q240" s="8"/>
    </row>
    <row r="241">
      <c r="O241" s="6"/>
      <c r="P241" s="7"/>
      <c r="Q241" s="8"/>
    </row>
    <row r="242">
      <c r="O242" s="6"/>
      <c r="P242" s="7"/>
      <c r="Q242" s="8"/>
    </row>
    <row r="243">
      <c r="O243" s="6"/>
      <c r="P243" s="7"/>
      <c r="Q243" s="8"/>
    </row>
    <row r="244">
      <c r="O244" s="6"/>
      <c r="P244" s="7"/>
      <c r="Q244" s="8"/>
    </row>
    <row r="245">
      <c r="O245" s="6"/>
      <c r="P245" s="7"/>
      <c r="Q245" s="8"/>
    </row>
    <row r="246">
      <c r="O246" s="6"/>
      <c r="P246" s="7"/>
      <c r="Q246" s="8"/>
    </row>
    <row r="247">
      <c r="O247" s="6"/>
      <c r="P247" s="7"/>
      <c r="Q247" s="8"/>
    </row>
    <row r="248">
      <c r="O248" s="6"/>
      <c r="P248" s="7"/>
      <c r="Q248" s="8"/>
    </row>
    <row r="249">
      <c r="O249" s="6"/>
      <c r="P249" s="7"/>
      <c r="Q249" s="8"/>
    </row>
    <row r="250">
      <c r="O250" s="6"/>
      <c r="P250" s="7"/>
      <c r="Q250" s="8"/>
    </row>
    <row r="251">
      <c r="O251" s="6"/>
      <c r="P251" s="7"/>
      <c r="Q251" s="8"/>
    </row>
    <row r="252">
      <c r="O252" s="6"/>
      <c r="P252" s="7"/>
      <c r="Q252" s="8"/>
    </row>
    <row r="253">
      <c r="O253" s="6"/>
      <c r="P253" s="7"/>
      <c r="Q253" s="8"/>
    </row>
    <row r="254">
      <c r="O254" s="6"/>
      <c r="P254" s="7"/>
      <c r="Q254" s="8"/>
    </row>
    <row r="255">
      <c r="O255" s="6"/>
      <c r="P255" s="7"/>
      <c r="Q255" s="8"/>
    </row>
    <row r="256">
      <c r="O256" s="6"/>
      <c r="P256" s="7"/>
      <c r="Q256" s="8"/>
    </row>
    <row r="257">
      <c r="O257" s="6"/>
      <c r="P257" s="7"/>
      <c r="Q257" s="8"/>
    </row>
    <row r="258">
      <c r="O258" s="6"/>
      <c r="P258" s="7"/>
      <c r="Q258" s="8"/>
    </row>
    <row r="259">
      <c r="O259" s="6"/>
      <c r="P259" s="7"/>
      <c r="Q259" s="8"/>
    </row>
    <row r="260">
      <c r="O260" s="6"/>
      <c r="P260" s="7"/>
      <c r="Q260" s="8"/>
    </row>
    <row r="261">
      <c r="O261" s="6"/>
      <c r="P261" s="7"/>
      <c r="Q261" s="8"/>
    </row>
    <row r="262">
      <c r="O262" s="6"/>
      <c r="P262" s="7"/>
      <c r="Q262" s="8"/>
    </row>
    <row r="263">
      <c r="O263" s="6"/>
      <c r="P263" s="7"/>
      <c r="Q263" s="8"/>
    </row>
    <row r="264">
      <c r="O264" s="6"/>
      <c r="P264" s="7"/>
      <c r="Q264" s="8"/>
    </row>
    <row r="265">
      <c r="O265" s="6"/>
      <c r="P265" s="7"/>
      <c r="Q265" s="8"/>
    </row>
    <row r="266">
      <c r="O266" s="6"/>
      <c r="P266" s="7"/>
      <c r="Q266" s="8"/>
    </row>
    <row r="267">
      <c r="O267" s="6"/>
      <c r="P267" s="7"/>
      <c r="Q267" s="8"/>
    </row>
    <row r="268">
      <c r="O268" s="6"/>
      <c r="P268" s="7"/>
      <c r="Q268" s="8"/>
    </row>
    <row r="269">
      <c r="O269" s="6"/>
      <c r="P269" s="7"/>
      <c r="Q269" s="8"/>
    </row>
    <row r="270">
      <c r="O270" s="6"/>
      <c r="P270" s="7"/>
      <c r="Q270" s="8"/>
    </row>
    <row r="271">
      <c r="O271" s="6"/>
      <c r="P271" s="7"/>
      <c r="Q271" s="8"/>
    </row>
    <row r="272">
      <c r="O272" s="6"/>
      <c r="P272" s="7"/>
      <c r="Q272" s="8"/>
    </row>
    <row r="273">
      <c r="O273" s="6"/>
      <c r="P273" s="7"/>
      <c r="Q273" s="8"/>
    </row>
    <row r="274">
      <c r="O274" s="6"/>
      <c r="P274" s="7"/>
      <c r="Q274" s="8"/>
    </row>
    <row r="275">
      <c r="O275" s="6"/>
      <c r="P275" s="7"/>
      <c r="Q275" s="8"/>
    </row>
    <row r="276">
      <c r="O276" s="6"/>
      <c r="P276" s="7"/>
      <c r="Q276" s="8"/>
    </row>
    <row r="277">
      <c r="O277" s="6"/>
      <c r="P277" s="7"/>
      <c r="Q277" s="8"/>
    </row>
    <row r="278">
      <c r="O278" s="6"/>
      <c r="P278" s="7"/>
      <c r="Q278" s="8"/>
    </row>
    <row r="279">
      <c r="O279" s="6"/>
      <c r="P279" s="7"/>
      <c r="Q279" s="8"/>
    </row>
    <row r="280">
      <c r="O280" s="6"/>
      <c r="P280" s="7"/>
      <c r="Q280" s="8"/>
    </row>
    <row r="281">
      <c r="O281" s="6"/>
      <c r="P281" s="7"/>
      <c r="Q281" s="8"/>
    </row>
    <row r="282">
      <c r="O282" s="6"/>
      <c r="P282" s="7"/>
      <c r="Q282" s="8"/>
    </row>
    <row r="283">
      <c r="O283" s="6"/>
      <c r="P283" s="7"/>
      <c r="Q283" s="8"/>
    </row>
    <row r="284">
      <c r="O284" s="6"/>
      <c r="P284" s="7"/>
      <c r="Q284" s="8"/>
    </row>
    <row r="285">
      <c r="O285" s="6"/>
      <c r="P285" s="7"/>
      <c r="Q285" s="8"/>
    </row>
    <row r="286">
      <c r="O286" s="6"/>
      <c r="P286" s="7"/>
      <c r="Q286" s="8"/>
    </row>
    <row r="287">
      <c r="O287" s="6"/>
      <c r="P287" s="7"/>
      <c r="Q287" s="8"/>
    </row>
    <row r="288">
      <c r="O288" s="6"/>
      <c r="P288" s="7"/>
      <c r="Q288" s="8"/>
    </row>
    <row r="289">
      <c r="O289" s="6"/>
      <c r="P289" s="7"/>
      <c r="Q289" s="8"/>
    </row>
    <row r="290">
      <c r="O290" s="6"/>
      <c r="P290" s="7"/>
      <c r="Q290" s="8"/>
    </row>
    <row r="291">
      <c r="O291" s="6"/>
      <c r="P291" s="7"/>
      <c r="Q291" s="8"/>
    </row>
    <row r="292">
      <c r="O292" s="6"/>
      <c r="P292" s="7"/>
      <c r="Q292" s="8"/>
    </row>
    <row r="293">
      <c r="O293" s="6"/>
      <c r="P293" s="7"/>
      <c r="Q293" s="8"/>
    </row>
    <row r="294">
      <c r="O294" s="6"/>
      <c r="P294" s="7"/>
      <c r="Q294" s="8"/>
    </row>
    <row r="295">
      <c r="O295" s="6"/>
      <c r="P295" s="7"/>
      <c r="Q295" s="8"/>
    </row>
    <row r="296">
      <c r="O296" s="6"/>
      <c r="P296" s="7"/>
      <c r="Q296" s="8"/>
    </row>
    <row r="297">
      <c r="O297" s="6"/>
      <c r="P297" s="7"/>
      <c r="Q297" s="8"/>
    </row>
    <row r="298">
      <c r="O298" s="6"/>
      <c r="P298" s="7"/>
      <c r="Q298" s="8"/>
    </row>
    <row r="299">
      <c r="O299" s="6"/>
      <c r="P299" s="7"/>
      <c r="Q299" s="8"/>
    </row>
    <row r="300">
      <c r="O300" s="6"/>
      <c r="P300" s="7"/>
      <c r="Q300" s="8"/>
    </row>
    <row r="301">
      <c r="O301" s="6"/>
      <c r="P301" s="7"/>
      <c r="Q301" s="8"/>
    </row>
    <row r="302">
      <c r="O302" s="6"/>
      <c r="P302" s="7"/>
      <c r="Q302" s="8"/>
    </row>
    <row r="303">
      <c r="O303" s="6"/>
      <c r="P303" s="7"/>
      <c r="Q303" s="8"/>
    </row>
    <row r="304">
      <c r="O304" s="6"/>
      <c r="P304" s="7"/>
      <c r="Q304" s="8"/>
    </row>
    <row r="305">
      <c r="O305" s="6"/>
      <c r="P305" s="7"/>
      <c r="Q305" s="8"/>
    </row>
    <row r="306">
      <c r="O306" s="6"/>
      <c r="P306" s="7"/>
      <c r="Q306" s="8"/>
    </row>
    <row r="307">
      <c r="O307" s="6"/>
      <c r="P307" s="7"/>
      <c r="Q307" s="8"/>
    </row>
    <row r="308">
      <c r="O308" s="6"/>
      <c r="P308" s="7"/>
      <c r="Q308" s="8"/>
    </row>
    <row r="309">
      <c r="O309" s="6"/>
      <c r="P309" s="7"/>
      <c r="Q309" s="8"/>
    </row>
    <row r="310">
      <c r="O310" s="6"/>
      <c r="P310" s="7"/>
      <c r="Q310" s="8"/>
    </row>
    <row r="311">
      <c r="O311" s="6"/>
      <c r="P311" s="7"/>
      <c r="Q311" s="8"/>
    </row>
    <row r="312">
      <c r="O312" s="6"/>
      <c r="P312" s="7"/>
      <c r="Q312" s="8"/>
    </row>
    <row r="313">
      <c r="O313" s="6"/>
      <c r="P313" s="7"/>
      <c r="Q313" s="8"/>
    </row>
    <row r="314">
      <c r="O314" s="6"/>
      <c r="P314" s="7"/>
      <c r="Q314" s="8"/>
    </row>
    <row r="315">
      <c r="O315" s="6"/>
      <c r="P315" s="7"/>
      <c r="Q315" s="8"/>
    </row>
    <row r="316">
      <c r="O316" s="6"/>
      <c r="P316" s="7"/>
      <c r="Q316" s="8"/>
    </row>
    <row r="317">
      <c r="O317" s="6"/>
      <c r="P317" s="7"/>
      <c r="Q317" s="8"/>
    </row>
    <row r="318">
      <c r="O318" s="6"/>
      <c r="P318" s="7"/>
      <c r="Q318" s="8"/>
    </row>
    <row r="319">
      <c r="O319" s="6"/>
      <c r="P319" s="7"/>
      <c r="Q319" s="8"/>
    </row>
    <row r="320">
      <c r="O320" s="6"/>
      <c r="P320" s="7"/>
      <c r="Q320" s="8"/>
    </row>
    <row r="321">
      <c r="O321" s="6"/>
      <c r="P321" s="7"/>
      <c r="Q321" s="8"/>
    </row>
    <row r="322">
      <c r="O322" s="6"/>
      <c r="P322" s="7"/>
      <c r="Q322" s="8"/>
    </row>
    <row r="323">
      <c r="O323" s="6"/>
      <c r="P323" s="7"/>
      <c r="Q323" s="8"/>
    </row>
    <row r="324">
      <c r="O324" s="6"/>
      <c r="P324" s="7"/>
      <c r="Q324" s="8"/>
    </row>
    <row r="325">
      <c r="O325" s="6"/>
      <c r="P325" s="7"/>
      <c r="Q325" s="8"/>
    </row>
    <row r="326">
      <c r="O326" s="6"/>
      <c r="P326" s="7"/>
      <c r="Q326" s="8"/>
    </row>
    <row r="327">
      <c r="O327" s="6"/>
      <c r="P327" s="7"/>
      <c r="Q327" s="8"/>
    </row>
    <row r="328">
      <c r="O328" s="6"/>
      <c r="P328" s="7"/>
      <c r="Q328" s="8"/>
    </row>
    <row r="329">
      <c r="O329" s="6"/>
      <c r="P329" s="7"/>
      <c r="Q329" s="8"/>
    </row>
    <row r="330">
      <c r="O330" s="6"/>
      <c r="P330" s="7"/>
      <c r="Q330" s="8"/>
    </row>
    <row r="331">
      <c r="O331" s="6"/>
      <c r="P331" s="7"/>
      <c r="Q331" s="8"/>
    </row>
    <row r="332">
      <c r="O332" s="6"/>
      <c r="P332" s="7"/>
      <c r="Q332" s="8"/>
    </row>
    <row r="333">
      <c r="O333" s="6"/>
      <c r="P333" s="7"/>
      <c r="Q333" s="8"/>
    </row>
    <row r="334">
      <c r="O334" s="6"/>
      <c r="P334" s="7"/>
      <c r="Q334" s="8"/>
    </row>
    <row r="335">
      <c r="O335" s="6"/>
      <c r="P335" s="7"/>
      <c r="Q335" s="8"/>
    </row>
    <row r="336">
      <c r="O336" s="6"/>
      <c r="P336" s="7"/>
      <c r="Q336" s="8"/>
    </row>
    <row r="337">
      <c r="O337" s="6"/>
      <c r="P337" s="7"/>
      <c r="Q337" s="8"/>
    </row>
    <row r="338">
      <c r="O338" s="6"/>
      <c r="P338" s="7"/>
      <c r="Q338" s="8"/>
    </row>
    <row r="339">
      <c r="O339" s="6"/>
      <c r="P339" s="7"/>
      <c r="Q339" s="8"/>
    </row>
    <row r="340">
      <c r="O340" s="6"/>
      <c r="P340" s="7"/>
      <c r="Q340" s="8"/>
    </row>
    <row r="341">
      <c r="O341" s="6"/>
      <c r="P341" s="7"/>
      <c r="Q341" s="8"/>
    </row>
    <row r="342">
      <c r="O342" s="6"/>
      <c r="P342" s="7"/>
      <c r="Q342" s="8"/>
    </row>
    <row r="343">
      <c r="O343" s="6"/>
      <c r="P343" s="7"/>
      <c r="Q343" s="8"/>
    </row>
    <row r="344">
      <c r="O344" s="6"/>
      <c r="P344" s="7"/>
      <c r="Q344" s="8"/>
    </row>
    <row r="345">
      <c r="O345" s="6"/>
      <c r="P345" s="7"/>
      <c r="Q345" s="8"/>
    </row>
    <row r="346">
      <c r="O346" s="6"/>
      <c r="P346" s="7"/>
      <c r="Q346" s="8"/>
    </row>
    <row r="347">
      <c r="O347" s="6"/>
      <c r="P347" s="7"/>
      <c r="Q347" s="8"/>
    </row>
    <row r="348">
      <c r="O348" s="6"/>
      <c r="P348" s="7"/>
      <c r="Q348" s="8"/>
    </row>
    <row r="349">
      <c r="O349" s="6"/>
      <c r="P349" s="7"/>
      <c r="Q349" s="8"/>
    </row>
    <row r="350">
      <c r="O350" s="6"/>
      <c r="P350" s="7"/>
      <c r="Q350" s="8"/>
    </row>
    <row r="351">
      <c r="O351" s="6"/>
      <c r="P351" s="7"/>
      <c r="Q351" s="8"/>
    </row>
    <row r="352">
      <c r="O352" s="6"/>
      <c r="P352" s="7"/>
      <c r="Q352" s="8"/>
    </row>
    <row r="353">
      <c r="O353" s="6"/>
      <c r="P353" s="7"/>
      <c r="Q353" s="8"/>
    </row>
    <row r="354">
      <c r="O354" s="6"/>
      <c r="P354" s="7"/>
      <c r="Q354" s="8"/>
    </row>
    <row r="355">
      <c r="O355" s="6"/>
      <c r="P355" s="7"/>
      <c r="Q355" s="8"/>
    </row>
    <row r="356">
      <c r="O356" s="6"/>
      <c r="P356" s="7"/>
      <c r="Q356" s="8"/>
    </row>
    <row r="357">
      <c r="O357" s="6"/>
      <c r="P357" s="7"/>
      <c r="Q357" s="8"/>
    </row>
    <row r="358">
      <c r="O358" s="6"/>
      <c r="P358" s="7"/>
      <c r="Q358" s="8"/>
    </row>
    <row r="359">
      <c r="O359" s="6"/>
      <c r="P359" s="7"/>
      <c r="Q359" s="8"/>
    </row>
    <row r="360">
      <c r="O360" s="6"/>
      <c r="P360" s="7"/>
      <c r="Q360" s="8"/>
    </row>
    <row r="361">
      <c r="O361" s="6"/>
      <c r="P361" s="7"/>
      <c r="Q361" s="8"/>
    </row>
    <row r="362">
      <c r="O362" s="6"/>
      <c r="P362" s="7"/>
      <c r="Q362" s="8"/>
    </row>
    <row r="363">
      <c r="O363" s="6"/>
      <c r="P363" s="7"/>
      <c r="Q363" s="8"/>
    </row>
    <row r="364">
      <c r="O364" s="6"/>
      <c r="P364" s="7"/>
      <c r="Q364" s="8"/>
    </row>
    <row r="365">
      <c r="O365" s="6"/>
      <c r="P365" s="7"/>
      <c r="Q365" s="8"/>
    </row>
    <row r="366">
      <c r="O366" s="6"/>
      <c r="P366" s="7"/>
      <c r="Q366" s="8"/>
    </row>
    <row r="367">
      <c r="O367" s="6"/>
      <c r="P367" s="7"/>
      <c r="Q367" s="8"/>
    </row>
    <row r="368">
      <c r="O368" s="6"/>
      <c r="P368" s="7"/>
      <c r="Q368" s="8"/>
    </row>
    <row r="369">
      <c r="O369" s="6"/>
      <c r="P369" s="7"/>
      <c r="Q369" s="8"/>
    </row>
    <row r="370">
      <c r="O370" s="6"/>
      <c r="P370" s="7"/>
      <c r="Q370" s="8"/>
    </row>
    <row r="371">
      <c r="O371" s="6"/>
      <c r="P371" s="7"/>
      <c r="Q371" s="8"/>
    </row>
    <row r="372">
      <c r="O372" s="6"/>
      <c r="P372" s="7"/>
      <c r="Q372" s="8"/>
    </row>
    <row r="373">
      <c r="O373" s="6"/>
      <c r="P373" s="7"/>
      <c r="Q373" s="8"/>
    </row>
    <row r="374">
      <c r="O374" s="6"/>
      <c r="P374" s="7"/>
      <c r="Q374" s="8"/>
    </row>
    <row r="375">
      <c r="O375" s="6"/>
      <c r="P375" s="7"/>
      <c r="Q375" s="8"/>
    </row>
    <row r="376">
      <c r="O376" s="6"/>
      <c r="P376" s="7"/>
      <c r="Q376" s="8"/>
    </row>
    <row r="377">
      <c r="O377" s="6"/>
      <c r="P377" s="7"/>
      <c r="Q377" s="8"/>
    </row>
    <row r="378">
      <c r="O378" s="6"/>
      <c r="P378" s="7"/>
      <c r="Q378" s="8"/>
    </row>
    <row r="379">
      <c r="O379" s="6"/>
      <c r="P379" s="7"/>
      <c r="Q379" s="8"/>
    </row>
    <row r="380">
      <c r="O380" s="6"/>
      <c r="P380" s="7"/>
      <c r="Q380" s="8"/>
    </row>
    <row r="381">
      <c r="O381" s="6"/>
      <c r="P381" s="7"/>
      <c r="Q381" s="8"/>
    </row>
    <row r="382">
      <c r="O382" s="6"/>
      <c r="P382" s="7"/>
      <c r="Q382" s="8"/>
    </row>
    <row r="383">
      <c r="O383" s="6"/>
      <c r="P383" s="7"/>
      <c r="Q383" s="8"/>
    </row>
    <row r="384">
      <c r="O384" s="6"/>
      <c r="P384" s="7"/>
      <c r="Q384" s="8"/>
    </row>
    <row r="385">
      <c r="O385" s="6"/>
      <c r="P385" s="7"/>
      <c r="Q385" s="8"/>
    </row>
    <row r="386">
      <c r="O386" s="6"/>
      <c r="P386" s="7"/>
      <c r="Q386" s="8"/>
    </row>
    <row r="387">
      <c r="O387" s="6"/>
      <c r="P387" s="7"/>
      <c r="Q387" s="8"/>
    </row>
    <row r="388">
      <c r="O388" s="6"/>
      <c r="P388" s="7"/>
      <c r="Q388" s="8"/>
    </row>
    <row r="389">
      <c r="O389" s="6"/>
      <c r="P389" s="7"/>
      <c r="Q389" s="8"/>
    </row>
    <row r="390">
      <c r="O390" s="6"/>
      <c r="P390" s="7"/>
      <c r="Q390" s="8"/>
    </row>
    <row r="391">
      <c r="O391" s="6"/>
      <c r="P391" s="7"/>
      <c r="Q391" s="8"/>
    </row>
    <row r="392">
      <c r="O392" s="6"/>
      <c r="P392" s="7"/>
      <c r="Q392" s="8"/>
    </row>
    <row r="393">
      <c r="O393" s="6"/>
      <c r="P393" s="7"/>
      <c r="Q393" s="8"/>
    </row>
    <row r="394">
      <c r="O394" s="6"/>
      <c r="P394" s="7"/>
      <c r="Q394" s="8"/>
    </row>
    <row r="395">
      <c r="O395" s="6"/>
      <c r="P395" s="7"/>
      <c r="Q395" s="8"/>
    </row>
    <row r="396">
      <c r="O396" s="6"/>
      <c r="P396" s="7"/>
      <c r="Q396" s="8"/>
    </row>
    <row r="397">
      <c r="O397" s="6"/>
      <c r="P397" s="7"/>
      <c r="Q397" s="8"/>
    </row>
    <row r="398">
      <c r="O398" s="6"/>
      <c r="P398" s="7"/>
      <c r="Q398" s="8"/>
    </row>
    <row r="399">
      <c r="O399" s="6"/>
      <c r="P399" s="7"/>
      <c r="Q399" s="8"/>
    </row>
    <row r="400">
      <c r="O400" s="6"/>
      <c r="P400" s="7"/>
      <c r="Q400" s="8"/>
    </row>
    <row r="401">
      <c r="O401" s="6"/>
      <c r="P401" s="7"/>
      <c r="Q401" s="8"/>
    </row>
    <row r="402">
      <c r="O402" s="6"/>
      <c r="P402" s="7"/>
      <c r="Q402" s="8"/>
    </row>
    <row r="403">
      <c r="O403" s="6"/>
      <c r="P403" s="7"/>
      <c r="Q403" s="8"/>
    </row>
    <row r="404">
      <c r="O404" s="6"/>
      <c r="P404" s="7"/>
      <c r="Q404" s="8"/>
    </row>
    <row r="405">
      <c r="O405" s="6"/>
      <c r="P405" s="7"/>
      <c r="Q405" s="8"/>
    </row>
    <row r="406">
      <c r="O406" s="6"/>
      <c r="P406" s="7"/>
      <c r="Q406" s="8"/>
    </row>
    <row r="407">
      <c r="O407" s="6"/>
      <c r="P407" s="7"/>
      <c r="Q407" s="8"/>
    </row>
    <row r="408">
      <c r="O408" s="6"/>
      <c r="P408" s="7"/>
      <c r="Q408" s="8"/>
    </row>
    <row r="409">
      <c r="O409" s="6"/>
      <c r="P409" s="7"/>
      <c r="Q409" s="8"/>
    </row>
    <row r="410">
      <c r="O410" s="6"/>
      <c r="P410" s="7"/>
      <c r="Q410" s="8"/>
    </row>
    <row r="411">
      <c r="O411" s="6"/>
      <c r="P411" s="7"/>
      <c r="Q411" s="8"/>
    </row>
    <row r="412">
      <c r="O412" s="6"/>
      <c r="P412" s="7"/>
      <c r="Q412" s="8"/>
    </row>
    <row r="413">
      <c r="O413" s="6"/>
      <c r="P413" s="7"/>
      <c r="Q413" s="8"/>
    </row>
    <row r="414">
      <c r="O414" s="6"/>
      <c r="P414" s="7"/>
      <c r="Q414" s="8"/>
    </row>
    <row r="415">
      <c r="O415" s="6"/>
      <c r="P415" s="7"/>
      <c r="Q415" s="8"/>
    </row>
    <row r="416">
      <c r="O416" s="6"/>
      <c r="P416" s="7"/>
      <c r="Q416" s="8"/>
    </row>
    <row r="417">
      <c r="O417" s="6"/>
      <c r="P417" s="7"/>
      <c r="Q417" s="8"/>
    </row>
    <row r="418">
      <c r="O418" s="6"/>
      <c r="P418" s="7"/>
      <c r="Q418" s="8"/>
    </row>
    <row r="419">
      <c r="O419" s="6"/>
      <c r="P419" s="7"/>
      <c r="Q419" s="8"/>
    </row>
    <row r="420">
      <c r="O420" s="6"/>
      <c r="P420" s="7"/>
      <c r="Q420" s="8"/>
    </row>
    <row r="421">
      <c r="O421" s="6"/>
      <c r="P421" s="7"/>
      <c r="Q421" s="8"/>
    </row>
    <row r="422">
      <c r="O422" s="6"/>
      <c r="P422" s="7"/>
      <c r="Q422" s="8"/>
    </row>
    <row r="423">
      <c r="O423" s="6"/>
      <c r="P423" s="7"/>
      <c r="Q423" s="8"/>
    </row>
    <row r="424">
      <c r="O424" s="6"/>
      <c r="P424" s="7"/>
      <c r="Q424" s="8"/>
    </row>
    <row r="425">
      <c r="O425" s="6"/>
      <c r="P425" s="7"/>
      <c r="Q425" s="8"/>
    </row>
    <row r="426">
      <c r="O426" s="6"/>
      <c r="P426" s="7"/>
      <c r="Q426" s="8"/>
    </row>
    <row r="427">
      <c r="O427" s="6"/>
      <c r="P427" s="7"/>
      <c r="Q427" s="8"/>
    </row>
    <row r="428">
      <c r="O428" s="6"/>
      <c r="P428" s="7"/>
      <c r="Q428" s="8"/>
    </row>
    <row r="429">
      <c r="O429" s="6"/>
      <c r="P429" s="7"/>
      <c r="Q429" s="8"/>
    </row>
    <row r="430">
      <c r="O430" s="6"/>
      <c r="P430" s="7"/>
      <c r="Q430" s="8"/>
    </row>
    <row r="431">
      <c r="O431" s="6"/>
      <c r="P431" s="7"/>
      <c r="Q431" s="8"/>
    </row>
    <row r="432">
      <c r="O432" s="6"/>
      <c r="P432" s="7"/>
      <c r="Q432" s="8"/>
    </row>
    <row r="433">
      <c r="O433" s="6"/>
      <c r="P433" s="7"/>
      <c r="Q433" s="8"/>
    </row>
    <row r="434">
      <c r="O434" s="6"/>
      <c r="P434" s="7"/>
      <c r="Q434" s="8"/>
    </row>
    <row r="435">
      <c r="O435" s="6"/>
      <c r="P435" s="7"/>
      <c r="Q435" s="8"/>
    </row>
    <row r="436">
      <c r="O436" s="6"/>
      <c r="P436" s="7"/>
      <c r="Q436" s="8"/>
    </row>
    <row r="437">
      <c r="O437" s="6"/>
      <c r="P437" s="7"/>
      <c r="Q437" s="8"/>
    </row>
    <row r="438">
      <c r="O438" s="6"/>
      <c r="P438" s="7"/>
      <c r="Q438" s="8"/>
    </row>
    <row r="439">
      <c r="O439" s="6"/>
      <c r="P439" s="7"/>
      <c r="Q439" s="8"/>
    </row>
    <row r="440">
      <c r="O440" s="6"/>
      <c r="P440" s="7"/>
      <c r="Q440" s="8"/>
    </row>
    <row r="441">
      <c r="O441" s="6"/>
      <c r="P441" s="7"/>
      <c r="Q441" s="8"/>
    </row>
    <row r="442">
      <c r="O442" s="6"/>
      <c r="P442" s="7"/>
      <c r="Q442" s="8"/>
    </row>
    <row r="443">
      <c r="O443" s="6"/>
      <c r="P443" s="7"/>
      <c r="Q443" s="8"/>
    </row>
    <row r="444">
      <c r="O444" s="6"/>
      <c r="P444" s="7"/>
      <c r="Q444" s="8"/>
    </row>
    <row r="445">
      <c r="O445" s="6"/>
      <c r="P445" s="7"/>
      <c r="Q445" s="8"/>
    </row>
    <row r="446">
      <c r="O446" s="6"/>
      <c r="P446" s="7"/>
      <c r="Q446" s="8"/>
    </row>
    <row r="447">
      <c r="O447" s="6"/>
      <c r="P447" s="7"/>
      <c r="Q447" s="8"/>
    </row>
    <row r="448">
      <c r="O448" s="6"/>
      <c r="P448" s="7"/>
      <c r="Q448" s="8"/>
    </row>
    <row r="449">
      <c r="O449" s="6"/>
      <c r="P449" s="7"/>
      <c r="Q449" s="8"/>
    </row>
    <row r="450">
      <c r="O450" s="6"/>
      <c r="P450" s="7"/>
      <c r="Q450" s="8"/>
    </row>
    <row r="451">
      <c r="O451" s="6"/>
      <c r="P451" s="7"/>
      <c r="Q451" s="8"/>
    </row>
    <row r="452">
      <c r="O452" s="6"/>
      <c r="P452" s="7"/>
      <c r="Q452" s="8"/>
    </row>
    <row r="453">
      <c r="O453" s="6"/>
      <c r="P453" s="7"/>
      <c r="Q453" s="8"/>
    </row>
    <row r="454">
      <c r="O454" s="6"/>
      <c r="P454" s="7"/>
      <c r="Q454" s="8"/>
    </row>
    <row r="455">
      <c r="O455" s="6"/>
      <c r="P455" s="7"/>
      <c r="Q455" s="8"/>
    </row>
    <row r="456">
      <c r="O456" s="6"/>
      <c r="P456" s="7"/>
      <c r="Q456" s="8"/>
    </row>
    <row r="457">
      <c r="O457" s="6"/>
      <c r="P457" s="7"/>
      <c r="Q457" s="8"/>
    </row>
    <row r="458">
      <c r="O458" s="6"/>
      <c r="P458" s="7"/>
      <c r="Q458" s="8"/>
    </row>
    <row r="459">
      <c r="O459" s="6"/>
      <c r="P459" s="7"/>
      <c r="Q459" s="8"/>
    </row>
    <row r="460">
      <c r="O460" s="6"/>
      <c r="P460" s="7"/>
      <c r="Q460" s="8"/>
    </row>
    <row r="461">
      <c r="O461" s="6"/>
      <c r="P461" s="7"/>
      <c r="Q461" s="8"/>
    </row>
    <row r="462">
      <c r="O462" s="6"/>
      <c r="P462" s="7"/>
      <c r="Q462" s="8"/>
    </row>
    <row r="463">
      <c r="O463" s="6"/>
      <c r="P463" s="7"/>
      <c r="Q463" s="8"/>
    </row>
    <row r="464">
      <c r="O464" s="6"/>
      <c r="P464" s="7"/>
      <c r="Q464" s="8"/>
    </row>
    <row r="465">
      <c r="O465" s="6"/>
      <c r="P465" s="7"/>
      <c r="Q465" s="8"/>
    </row>
    <row r="466">
      <c r="O466" s="6"/>
      <c r="P466" s="7"/>
      <c r="Q466" s="8"/>
    </row>
    <row r="467">
      <c r="O467" s="6"/>
      <c r="P467" s="7"/>
      <c r="Q467" s="8"/>
    </row>
    <row r="468">
      <c r="O468" s="6"/>
      <c r="P468" s="7"/>
      <c r="Q468" s="8"/>
    </row>
    <row r="469">
      <c r="O469" s="6"/>
      <c r="P469" s="7"/>
      <c r="Q469" s="8"/>
    </row>
    <row r="470">
      <c r="O470" s="6"/>
      <c r="P470" s="7"/>
      <c r="Q470" s="8"/>
    </row>
    <row r="471">
      <c r="O471" s="6"/>
      <c r="P471" s="7"/>
      <c r="Q471" s="8"/>
    </row>
    <row r="472">
      <c r="O472" s="6"/>
      <c r="P472" s="7"/>
      <c r="Q472" s="8"/>
    </row>
    <row r="473">
      <c r="O473" s="6"/>
      <c r="P473" s="7"/>
      <c r="Q473" s="8"/>
    </row>
    <row r="474">
      <c r="O474" s="6"/>
      <c r="P474" s="7"/>
      <c r="Q474" s="8"/>
    </row>
    <row r="475">
      <c r="O475" s="6"/>
      <c r="P475" s="7"/>
      <c r="Q475" s="8"/>
    </row>
    <row r="476">
      <c r="O476" s="6"/>
      <c r="P476" s="7"/>
      <c r="Q476" s="8"/>
    </row>
    <row r="477">
      <c r="O477" s="6"/>
      <c r="P477" s="7"/>
      <c r="Q477" s="8"/>
    </row>
    <row r="478">
      <c r="O478" s="6"/>
      <c r="P478" s="7"/>
      <c r="Q478" s="8"/>
    </row>
    <row r="479">
      <c r="O479" s="6"/>
      <c r="P479" s="7"/>
      <c r="Q479" s="8"/>
    </row>
    <row r="480">
      <c r="O480" s="6"/>
      <c r="P480" s="7"/>
      <c r="Q480" s="8"/>
    </row>
    <row r="481">
      <c r="O481" s="6"/>
      <c r="P481" s="7"/>
      <c r="Q481" s="8"/>
    </row>
    <row r="482">
      <c r="O482" s="6"/>
      <c r="P482" s="7"/>
      <c r="Q482" s="8"/>
    </row>
    <row r="483">
      <c r="O483" s="6"/>
      <c r="P483" s="7"/>
      <c r="Q483" s="8"/>
    </row>
    <row r="484">
      <c r="O484" s="6"/>
      <c r="P484" s="7"/>
      <c r="Q484" s="8"/>
    </row>
    <row r="485">
      <c r="O485" s="6"/>
      <c r="P485" s="7"/>
      <c r="Q485" s="8"/>
    </row>
    <row r="486">
      <c r="O486" s="6"/>
      <c r="P486" s="7"/>
      <c r="Q486" s="8"/>
    </row>
    <row r="487">
      <c r="O487" s="6"/>
      <c r="P487" s="7"/>
      <c r="Q487" s="8"/>
    </row>
    <row r="488">
      <c r="O488" s="6"/>
      <c r="P488" s="7"/>
      <c r="Q488" s="8"/>
    </row>
    <row r="489">
      <c r="O489" s="6"/>
      <c r="P489" s="7"/>
      <c r="Q489" s="8"/>
    </row>
    <row r="490">
      <c r="O490" s="6"/>
      <c r="P490" s="7"/>
      <c r="Q490" s="8"/>
    </row>
    <row r="491">
      <c r="O491" s="6"/>
      <c r="P491" s="7"/>
      <c r="Q491" s="8"/>
    </row>
    <row r="492">
      <c r="O492" s="6"/>
      <c r="P492" s="7"/>
      <c r="Q492" s="8"/>
    </row>
    <row r="493">
      <c r="O493" s="6"/>
      <c r="P493" s="7"/>
      <c r="Q493" s="8"/>
    </row>
    <row r="494">
      <c r="O494" s="6"/>
      <c r="P494" s="7"/>
      <c r="Q494" s="8"/>
    </row>
    <row r="495">
      <c r="O495" s="6"/>
      <c r="P495" s="7"/>
      <c r="Q495" s="8"/>
    </row>
    <row r="496">
      <c r="O496" s="6"/>
      <c r="P496" s="7"/>
      <c r="Q496" s="8"/>
    </row>
    <row r="497">
      <c r="O497" s="6"/>
      <c r="P497" s="7"/>
      <c r="Q497" s="8"/>
    </row>
    <row r="498">
      <c r="O498" s="6"/>
      <c r="P498" s="7"/>
      <c r="Q498" s="8"/>
    </row>
    <row r="499">
      <c r="O499" s="6"/>
      <c r="P499" s="7"/>
      <c r="Q499" s="8"/>
    </row>
    <row r="500">
      <c r="O500" s="6"/>
      <c r="P500" s="7"/>
      <c r="Q500" s="8"/>
    </row>
    <row r="501">
      <c r="O501" s="6"/>
      <c r="P501" s="7"/>
      <c r="Q501" s="8"/>
    </row>
    <row r="502">
      <c r="O502" s="6"/>
      <c r="P502" s="7"/>
      <c r="Q502" s="8"/>
    </row>
    <row r="503">
      <c r="O503" s="6"/>
      <c r="P503" s="7"/>
      <c r="Q503" s="8"/>
    </row>
    <row r="504">
      <c r="O504" s="6"/>
      <c r="P504" s="7"/>
      <c r="Q504" s="8"/>
    </row>
    <row r="505">
      <c r="O505" s="6"/>
      <c r="P505" s="7"/>
      <c r="Q505" s="8"/>
    </row>
    <row r="506">
      <c r="O506" s="6"/>
      <c r="P506" s="7"/>
      <c r="Q506" s="8"/>
    </row>
    <row r="507">
      <c r="O507" s="6"/>
      <c r="P507" s="7"/>
      <c r="Q507" s="8"/>
    </row>
    <row r="508">
      <c r="O508" s="6"/>
      <c r="P508" s="7"/>
      <c r="Q508" s="8"/>
    </row>
    <row r="509">
      <c r="O509" s="6"/>
      <c r="P509" s="7"/>
      <c r="Q509" s="8"/>
    </row>
    <row r="510">
      <c r="O510" s="6"/>
      <c r="P510" s="7"/>
      <c r="Q510" s="8"/>
    </row>
    <row r="511">
      <c r="O511" s="6"/>
      <c r="P511" s="7"/>
      <c r="Q511" s="8"/>
    </row>
    <row r="512">
      <c r="O512" s="6"/>
      <c r="P512" s="7"/>
      <c r="Q512" s="8"/>
    </row>
    <row r="513">
      <c r="O513" s="6"/>
      <c r="P513" s="7"/>
      <c r="Q513" s="8"/>
    </row>
    <row r="514">
      <c r="O514" s="6"/>
      <c r="P514" s="7"/>
      <c r="Q514" s="8"/>
    </row>
    <row r="515">
      <c r="O515" s="6"/>
      <c r="P515" s="7"/>
      <c r="Q515" s="8"/>
    </row>
    <row r="516">
      <c r="O516" s="6"/>
      <c r="P516" s="7"/>
      <c r="Q516" s="8"/>
    </row>
    <row r="517">
      <c r="O517" s="6"/>
      <c r="P517" s="7"/>
      <c r="Q517" s="8"/>
    </row>
    <row r="518">
      <c r="O518" s="6"/>
      <c r="P518" s="7"/>
      <c r="Q518" s="8"/>
    </row>
    <row r="519">
      <c r="O519" s="6"/>
      <c r="P519" s="7"/>
      <c r="Q519" s="8"/>
    </row>
    <row r="520">
      <c r="O520" s="6"/>
      <c r="P520" s="7"/>
      <c r="Q520" s="8"/>
    </row>
    <row r="521">
      <c r="O521" s="6"/>
      <c r="P521" s="7"/>
      <c r="Q521" s="8"/>
    </row>
    <row r="522">
      <c r="O522" s="6"/>
      <c r="P522" s="7"/>
      <c r="Q522" s="8"/>
    </row>
    <row r="523">
      <c r="O523" s="6"/>
      <c r="P523" s="7"/>
      <c r="Q523" s="8"/>
    </row>
    <row r="524">
      <c r="O524" s="6"/>
      <c r="P524" s="7"/>
      <c r="Q524" s="8"/>
    </row>
    <row r="525">
      <c r="O525" s="6"/>
      <c r="P525" s="7"/>
      <c r="Q525" s="8"/>
    </row>
    <row r="526">
      <c r="O526" s="6"/>
      <c r="P526" s="7"/>
      <c r="Q526" s="8"/>
    </row>
    <row r="527">
      <c r="O527" s="6"/>
      <c r="P527" s="7"/>
      <c r="Q527" s="8"/>
    </row>
    <row r="528">
      <c r="O528" s="6"/>
      <c r="P528" s="7"/>
      <c r="Q528" s="8"/>
    </row>
    <row r="529">
      <c r="O529" s="6"/>
      <c r="P529" s="7"/>
      <c r="Q529" s="8"/>
    </row>
    <row r="530">
      <c r="O530" s="6"/>
      <c r="P530" s="7"/>
      <c r="Q530" s="8"/>
    </row>
    <row r="531">
      <c r="O531" s="6"/>
      <c r="P531" s="7"/>
      <c r="Q531" s="8"/>
    </row>
    <row r="532">
      <c r="O532" s="6"/>
      <c r="P532" s="7"/>
      <c r="Q532" s="8"/>
    </row>
    <row r="533">
      <c r="O533" s="6"/>
      <c r="P533" s="7"/>
      <c r="Q533" s="8"/>
    </row>
    <row r="534">
      <c r="O534" s="6"/>
      <c r="P534" s="7"/>
      <c r="Q534" s="8"/>
    </row>
    <row r="535">
      <c r="O535" s="6"/>
      <c r="P535" s="7"/>
      <c r="Q535" s="8"/>
    </row>
    <row r="536">
      <c r="O536" s="6"/>
      <c r="P536" s="7"/>
      <c r="Q536" s="8"/>
    </row>
    <row r="537">
      <c r="O537" s="6"/>
      <c r="P537" s="7"/>
      <c r="Q537" s="8"/>
    </row>
    <row r="538">
      <c r="O538" s="6"/>
      <c r="P538" s="7"/>
      <c r="Q538" s="8"/>
    </row>
    <row r="539">
      <c r="O539" s="6"/>
      <c r="P539" s="7"/>
      <c r="Q539" s="8"/>
    </row>
    <row r="540">
      <c r="O540" s="6"/>
      <c r="P540" s="7"/>
      <c r="Q540" s="8"/>
    </row>
    <row r="541">
      <c r="O541" s="6"/>
      <c r="P541" s="7"/>
      <c r="Q541" s="8"/>
    </row>
    <row r="542">
      <c r="O542" s="6"/>
      <c r="P542" s="7"/>
      <c r="Q542" s="8"/>
    </row>
    <row r="543">
      <c r="O543" s="6"/>
      <c r="P543" s="7"/>
      <c r="Q543" s="8"/>
    </row>
    <row r="544">
      <c r="O544" s="6"/>
      <c r="P544" s="7"/>
      <c r="Q544" s="8"/>
    </row>
    <row r="545">
      <c r="O545" s="6"/>
      <c r="P545" s="7"/>
      <c r="Q545" s="8"/>
    </row>
    <row r="546">
      <c r="O546" s="6"/>
      <c r="P546" s="7"/>
      <c r="Q546" s="8"/>
    </row>
    <row r="547">
      <c r="O547" s="6"/>
      <c r="P547" s="7"/>
      <c r="Q547" s="8"/>
    </row>
    <row r="548">
      <c r="O548" s="6"/>
      <c r="P548" s="7"/>
      <c r="Q548" s="8"/>
    </row>
    <row r="549">
      <c r="O549" s="6"/>
      <c r="P549" s="7"/>
      <c r="Q549" s="8"/>
    </row>
    <row r="550">
      <c r="O550" s="6"/>
      <c r="P550" s="7"/>
      <c r="Q550" s="8"/>
    </row>
    <row r="551">
      <c r="O551" s="6"/>
      <c r="P551" s="7"/>
      <c r="Q551" s="8"/>
    </row>
    <row r="552">
      <c r="O552" s="6"/>
      <c r="P552" s="7"/>
      <c r="Q552" s="8"/>
    </row>
    <row r="553">
      <c r="O553" s="6"/>
      <c r="P553" s="7"/>
      <c r="Q553" s="8"/>
    </row>
    <row r="554">
      <c r="O554" s="6"/>
      <c r="P554" s="7"/>
      <c r="Q554" s="8"/>
    </row>
    <row r="555">
      <c r="O555" s="6"/>
      <c r="P555" s="7"/>
      <c r="Q555" s="8"/>
    </row>
    <row r="556">
      <c r="O556" s="6"/>
      <c r="P556" s="7"/>
      <c r="Q556" s="8"/>
    </row>
    <row r="557">
      <c r="O557" s="6"/>
      <c r="P557" s="7"/>
      <c r="Q557" s="8"/>
    </row>
    <row r="558">
      <c r="O558" s="6"/>
      <c r="P558" s="7"/>
      <c r="Q558" s="8"/>
    </row>
    <row r="559">
      <c r="O559" s="6"/>
      <c r="P559" s="7"/>
      <c r="Q559" s="8"/>
    </row>
    <row r="560">
      <c r="O560" s="6"/>
      <c r="P560" s="7"/>
      <c r="Q560" s="8"/>
    </row>
    <row r="561">
      <c r="O561" s="6"/>
      <c r="P561" s="7"/>
      <c r="Q561" s="8"/>
    </row>
    <row r="562">
      <c r="O562" s="6"/>
      <c r="P562" s="7"/>
      <c r="Q562" s="8"/>
    </row>
    <row r="563">
      <c r="O563" s="6"/>
      <c r="P563" s="7"/>
      <c r="Q563" s="8"/>
    </row>
    <row r="564">
      <c r="O564" s="6"/>
      <c r="P564" s="7"/>
      <c r="Q564" s="8"/>
    </row>
    <row r="565">
      <c r="O565" s="6"/>
      <c r="P565" s="7"/>
      <c r="Q565" s="8"/>
    </row>
    <row r="566">
      <c r="O566" s="6"/>
      <c r="P566" s="7"/>
      <c r="Q566" s="8"/>
    </row>
    <row r="567">
      <c r="O567" s="6"/>
      <c r="P567" s="7"/>
      <c r="Q567" s="8"/>
    </row>
    <row r="568">
      <c r="O568" s="6"/>
      <c r="P568" s="7"/>
      <c r="Q568" s="8"/>
    </row>
    <row r="569">
      <c r="O569" s="6"/>
      <c r="P569" s="7"/>
      <c r="Q569" s="8"/>
    </row>
    <row r="570">
      <c r="O570" s="6"/>
      <c r="P570" s="7"/>
      <c r="Q570" s="8"/>
    </row>
    <row r="571">
      <c r="O571" s="6"/>
      <c r="P571" s="7"/>
      <c r="Q571" s="8"/>
    </row>
    <row r="572">
      <c r="O572" s="6"/>
      <c r="P572" s="7"/>
      <c r="Q572" s="8"/>
    </row>
    <row r="573">
      <c r="O573" s="6"/>
      <c r="P573" s="7"/>
      <c r="Q573" s="8"/>
    </row>
    <row r="574">
      <c r="O574" s="6"/>
      <c r="P574" s="7"/>
      <c r="Q574" s="8"/>
    </row>
    <row r="575">
      <c r="O575" s="6"/>
      <c r="P575" s="7"/>
      <c r="Q575" s="8"/>
    </row>
    <row r="576">
      <c r="O576" s="6"/>
      <c r="P576" s="7"/>
      <c r="Q576" s="8"/>
    </row>
    <row r="577">
      <c r="O577" s="6"/>
      <c r="P577" s="7"/>
      <c r="Q577" s="8"/>
    </row>
    <row r="578">
      <c r="O578" s="6"/>
      <c r="P578" s="7"/>
      <c r="Q578" s="8"/>
    </row>
    <row r="579">
      <c r="O579" s="6"/>
      <c r="P579" s="7"/>
      <c r="Q579" s="8"/>
    </row>
    <row r="580">
      <c r="O580" s="6"/>
      <c r="P580" s="7"/>
      <c r="Q580" s="8"/>
    </row>
    <row r="581">
      <c r="O581" s="6"/>
      <c r="P581" s="7"/>
      <c r="Q581" s="8"/>
    </row>
    <row r="582">
      <c r="O582" s="6"/>
      <c r="P582" s="7"/>
      <c r="Q582" s="8"/>
    </row>
    <row r="583">
      <c r="O583" s="6"/>
      <c r="P583" s="7"/>
      <c r="Q583" s="8"/>
    </row>
    <row r="584">
      <c r="O584" s="6"/>
      <c r="P584" s="7"/>
      <c r="Q584" s="8"/>
    </row>
    <row r="585">
      <c r="O585" s="6"/>
      <c r="P585" s="7"/>
      <c r="Q585" s="8"/>
    </row>
    <row r="586">
      <c r="O586" s="6"/>
      <c r="P586" s="7"/>
      <c r="Q586" s="8"/>
    </row>
    <row r="587">
      <c r="O587" s="6"/>
      <c r="P587" s="7"/>
      <c r="Q587" s="8"/>
    </row>
    <row r="588">
      <c r="O588" s="6"/>
      <c r="P588" s="7"/>
      <c r="Q588" s="8"/>
    </row>
    <row r="589">
      <c r="O589" s="6"/>
      <c r="P589" s="7"/>
      <c r="Q589" s="8"/>
    </row>
    <row r="590">
      <c r="O590" s="6"/>
      <c r="P590" s="7"/>
      <c r="Q590" s="8"/>
    </row>
    <row r="591">
      <c r="O591" s="6"/>
      <c r="P591" s="7"/>
      <c r="Q591" s="8"/>
    </row>
    <row r="592">
      <c r="O592" s="6"/>
      <c r="P592" s="7"/>
      <c r="Q592" s="8"/>
    </row>
    <row r="593">
      <c r="O593" s="6"/>
      <c r="P593" s="7"/>
      <c r="Q593" s="8"/>
    </row>
    <row r="594">
      <c r="O594" s="6"/>
      <c r="P594" s="7"/>
      <c r="Q594" s="8"/>
    </row>
    <row r="595">
      <c r="O595" s="6"/>
      <c r="P595" s="7"/>
      <c r="Q595" s="8"/>
    </row>
    <row r="596">
      <c r="O596" s="6"/>
      <c r="P596" s="7"/>
      <c r="Q596" s="8"/>
    </row>
    <row r="597">
      <c r="O597" s="6"/>
      <c r="P597" s="7"/>
      <c r="Q597" s="8"/>
    </row>
    <row r="598">
      <c r="O598" s="6"/>
      <c r="P598" s="7"/>
      <c r="Q598" s="8"/>
    </row>
    <row r="599">
      <c r="O599" s="6"/>
      <c r="P599" s="7"/>
      <c r="Q599" s="8"/>
    </row>
    <row r="600">
      <c r="O600" s="6"/>
      <c r="P600" s="7"/>
      <c r="Q600" s="8"/>
    </row>
    <row r="601">
      <c r="O601" s="6"/>
      <c r="P601" s="7"/>
      <c r="Q601" s="8"/>
    </row>
    <row r="602">
      <c r="O602" s="6"/>
      <c r="P602" s="7"/>
      <c r="Q602" s="8"/>
    </row>
    <row r="603">
      <c r="O603" s="6"/>
      <c r="P603" s="7"/>
      <c r="Q603" s="8"/>
    </row>
    <row r="604">
      <c r="O604" s="6"/>
      <c r="P604" s="7"/>
      <c r="Q604" s="8"/>
    </row>
    <row r="605">
      <c r="O605" s="6"/>
      <c r="P605" s="7"/>
      <c r="Q605" s="8"/>
    </row>
    <row r="606">
      <c r="O606" s="6"/>
      <c r="P606" s="7"/>
      <c r="Q606" s="8"/>
    </row>
    <row r="607">
      <c r="O607" s="6"/>
      <c r="P607" s="7"/>
      <c r="Q607" s="8"/>
    </row>
    <row r="608">
      <c r="O608" s="6"/>
      <c r="P608" s="7"/>
      <c r="Q608" s="8"/>
    </row>
    <row r="609">
      <c r="O609" s="6"/>
      <c r="P609" s="7"/>
      <c r="Q609" s="8"/>
    </row>
    <row r="610">
      <c r="O610" s="6"/>
      <c r="P610" s="7"/>
      <c r="Q610" s="8"/>
    </row>
    <row r="611">
      <c r="O611" s="6"/>
      <c r="P611" s="7"/>
      <c r="Q611" s="8"/>
    </row>
    <row r="612">
      <c r="O612" s="6"/>
      <c r="P612" s="7"/>
      <c r="Q612" s="8"/>
    </row>
    <row r="613">
      <c r="O613" s="6"/>
      <c r="P613" s="7"/>
      <c r="Q613" s="8"/>
    </row>
    <row r="614">
      <c r="O614" s="6"/>
      <c r="P614" s="7"/>
      <c r="Q614" s="8"/>
    </row>
    <row r="615">
      <c r="O615" s="6"/>
      <c r="P615" s="7"/>
      <c r="Q615" s="8"/>
    </row>
    <row r="616">
      <c r="O616" s="6"/>
      <c r="P616" s="7"/>
      <c r="Q616" s="8"/>
    </row>
    <row r="617">
      <c r="O617" s="6"/>
      <c r="P617" s="7"/>
      <c r="Q617" s="8"/>
    </row>
    <row r="618">
      <c r="O618" s="6"/>
      <c r="P618" s="7"/>
      <c r="Q618" s="8"/>
    </row>
    <row r="619">
      <c r="O619" s="6"/>
      <c r="P619" s="7"/>
      <c r="Q619" s="8"/>
    </row>
    <row r="620">
      <c r="O620" s="6"/>
      <c r="P620" s="7"/>
      <c r="Q620" s="8"/>
    </row>
    <row r="621">
      <c r="O621" s="6"/>
      <c r="P621" s="7"/>
      <c r="Q621" s="8"/>
    </row>
    <row r="622">
      <c r="O622" s="6"/>
      <c r="P622" s="7"/>
      <c r="Q622" s="8"/>
    </row>
    <row r="623">
      <c r="O623" s="6"/>
      <c r="P623" s="7"/>
      <c r="Q623" s="8"/>
    </row>
    <row r="624">
      <c r="O624" s="6"/>
      <c r="P624" s="7"/>
      <c r="Q624" s="8"/>
    </row>
    <row r="625">
      <c r="O625" s="6"/>
      <c r="P625" s="7"/>
      <c r="Q625" s="8"/>
    </row>
    <row r="626">
      <c r="O626" s="6"/>
      <c r="P626" s="7"/>
      <c r="Q626" s="8"/>
    </row>
    <row r="627">
      <c r="O627" s="6"/>
      <c r="P627" s="7"/>
      <c r="Q627" s="8"/>
    </row>
    <row r="628">
      <c r="O628" s="6"/>
      <c r="P628" s="7"/>
      <c r="Q628" s="8"/>
    </row>
    <row r="629">
      <c r="O629" s="6"/>
      <c r="P629" s="7"/>
      <c r="Q629" s="8"/>
    </row>
    <row r="630">
      <c r="O630" s="6"/>
      <c r="P630" s="7"/>
      <c r="Q630" s="8"/>
    </row>
    <row r="631">
      <c r="O631" s="6"/>
      <c r="P631" s="7"/>
      <c r="Q631" s="8"/>
    </row>
    <row r="632">
      <c r="O632" s="6"/>
      <c r="P632" s="7"/>
      <c r="Q632" s="8"/>
    </row>
    <row r="633">
      <c r="O633" s="6"/>
      <c r="P633" s="7"/>
      <c r="Q633" s="8"/>
    </row>
    <row r="634">
      <c r="O634" s="6"/>
      <c r="P634" s="7"/>
      <c r="Q634" s="8"/>
    </row>
    <row r="635">
      <c r="O635" s="6"/>
      <c r="P635" s="7"/>
      <c r="Q635" s="8"/>
    </row>
    <row r="636">
      <c r="O636" s="6"/>
      <c r="P636" s="7"/>
      <c r="Q636" s="8"/>
    </row>
    <row r="637">
      <c r="O637" s="6"/>
      <c r="P637" s="7"/>
      <c r="Q637" s="8"/>
    </row>
    <row r="638">
      <c r="O638" s="6"/>
      <c r="P638" s="7"/>
      <c r="Q638" s="8"/>
    </row>
    <row r="639">
      <c r="O639" s="6"/>
      <c r="P639" s="7"/>
      <c r="Q639" s="8"/>
    </row>
    <row r="640">
      <c r="O640" s="6"/>
      <c r="P640" s="7"/>
      <c r="Q640" s="8"/>
    </row>
    <row r="641">
      <c r="O641" s="6"/>
      <c r="P641" s="7"/>
      <c r="Q641" s="8"/>
    </row>
    <row r="642">
      <c r="O642" s="6"/>
      <c r="P642" s="7"/>
      <c r="Q642" s="8"/>
    </row>
    <row r="643">
      <c r="O643" s="6"/>
      <c r="P643" s="7"/>
      <c r="Q643" s="8"/>
    </row>
    <row r="644">
      <c r="O644" s="6"/>
      <c r="P644" s="7"/>
      <c r="Q644" s="8"/>
    </row>
    <row r="645">
      <c r="O645" s="6"/>
      <c r="P645" s="7"/>
      <c r="Q645" s="8"/>
    </row>
    <row r="646">
      <c r="O646" s="6"/>
      <c r="P646" s="7"/>
      <c r="Q646" s="8"/>
    </row>
    <row r="647">
      <c r="O647" s="6"/>
      <c r="P647" s="7"/>
      <c r="Q647" s="8"/>
    </row>
    <row r="648">
      <c r="O648" s="6"/>
      <c r="P648" s="7"/>
      <c r="Q648" s="8"/>
    </row>
    <row r="649">
      <c r="O649" s="6"/>
      <c r="P649" s="7"/>
      <c r="Q649" s="8"/>
    </row>
    <row r="650">
      <c r="O650" s="6"/>
      <c r="P650" s="7"/>
      <c r="Q650" s="8"/>
    </row>
    <row r="651">
      <c r="O651" s="6"/>
      <c r="P651" s="7"/>
      <c r="Q651" s="8"/>
    </row>
    <row r="652">
      <c r="O652" s="6"/>
      <c r="P652" s="7"/>
      <c r="Q652" s="8"/>
    </row>
    <row r="653">
      <c r="O653" s="6"/>
      <c r="P653" s="7"/>
      <c r="Q653" s="8"/>
    </row>
    <row r="654">
      <c r="O654" s="6"/>
      <c r="P654" s="7"/>
      <c r="Q654" s="8"/>
    </row>
    <row r="655">
      <c r="O655" s="6"/>
      <c r="P655" s="7"/>
      <c r="Q655" s="8"/>
    </row>
    <row r="656">
      <c r="O656" s="6"/>
      <c r="P656" s="7"/>
      <c r="Q656" s="8"/>
    </row>
    <row r="657">
      <c r="O657" s="6"/>
      <c r="P657" s="7"/>
      <c r="Q657" s="8"/>
    </row>
    <row r="658">
      <c r="O658" s="6"/>
      <c r="P658" s="7"/>
      <c r="Q658" s="8"/>
    </row>
    <row r="659">
      <c r="O659" s="6"/>
      <c r="P659" s="7"/>
      <c r="Q659" s="8"/>
    </row>
    <row r="660">
      <c r="O660" s="6"/>
      <c r="P660" s="7"/>
      <c r="Q660" s="8"/>
    </row>
    <row r="661">
      <c r="O661" s="6"/>
      <c r="P661" s="7"/>
      <c r="Q661" s="8"/>
    </row>
    <row r="662">
      <c r="O662" s="6"/>
      <c r="P662" s="7"/>
      <c r="Q662" s="8"/>
    </row>
    <row r="663">
      <c r="O663" s="6"/>
      <c r="P663" s="7"/>
      <c r="Q663" s="8"/>
    </row>
    <row r="664">
      <c r="O664" s="6"/>
      <c r="P664" s="7"/>
      <c r="Q664" s="8"/>
    </row>
    <row r="665">
      <c r="O665" s="6"/>
      <c r="P665" s="7"/>
      <c r="Q665" s="8"/>
    </row>
    <row r="666">
      <c r="O666" s="6"/>
      <c r="P666" s="7"/>
      <c r="Q666" s="8"/>
    </row>
    <row r="667">
      <c r="O667" s="6"/>
      <c r="P667" s="7"/>
      <c r="Q667" s="8"/>
    </row>
    <row r="668">
      <c r="O668" s="6"/>
      <c r="P668" s="7"/>
      <c r="Q668" s="8"/>
    </row>
    <row r="669">
      <c r="O669" s="6"/>
      <c r="P669" s="7"/>
      <c r="Q669" s="8"/>
    </row>
    <row r="670">
      <c r="O670" s="6"/>
      <c r="P670" s="7"/>
      <c r="Q670" s="8"/>
    </row>
    <row r="671">
      <c r="O671" s="6"/>
      <c r="P671" s="7"/>
      <c r="Q671" s="8"/>
    </row>
    <row r="672">
      <c r="O672" s="6"/>
      <c r="P672" s="7"/>
      <c r="Q672" s="8"/>
    </row>
    <row r="673">
      <c r="O673" s="6"/>
      <c r="P673" s="7"/>
      <c r="Q673" s="8"/>
    </row>
    <row r="674">
      <c r="O674" s="6"/>
      <c r="P674" s="7"/>
      <c r="Q674" s="8"/>
    </row>
    <row r="675">
      <c r="O675" s="6"/>
      <c r="P675" s="7"/>
      <c r="Q675" s="8"/>
    </row>
    <row r="676">
      <c r="O676" s="6"/>
      <c r="P676" s="7"/>
      <c r="Q676" s="8"/>
    </row>
    <row r="677">
      <c r="O677" s="6"/>
      <c r="P677" s="7"/>
      <c r="Q677" s="8"/>
    </row>
    <row r="678">
      <c r="O678" s="6"/>
      <c r="P678" s="7"/>
      <c r="Q678" s="8"/>
    </row>
    <row r="679">
      <c r="O679" s="6"/>
      <c r="P679" s="7"/>
      <c r="Q679" s="8"/>
    </row>
    <row r="680">
      <c r="O680" s="6"/>
      <c r="P680" s="7"/>
      <c r="Q680" s="8"/>
    </row>
    <row r="681">
      <c r="O681" s="6"/>
      <c r="P681" s="7"/>
      <c r="Q681" s="8"/>
    </row>
    <row r="682">
      <c r="O682" s="6"/>
      <c r="P682" s="7"/>
      <c r="Q682" s="8"/>
    </row>
    <row r="683">
      <c r="O683" s="6"/>
      <c r="P683" s="7"/>
      <c r="Q683" s="8"/>
    </row>
    <row r="684">
      <c r="O684" s="6"/>
      <c r="P684" s="7"/>
      <c r="Q684" s="8"/>
    </row>
    <row r="685">
      <c r="O685" s="6"/>
      <c r="P685" s="7"/>
      <c r="Q685" s="8"/>
    </row>
    <row r="686">
      <c r="O686" s="6"/>
      <c r="P686" s="7"/>
      <c r="Q686" s="8"/>
    </row>
    <row r="687">
      <c r="O687" s="6"/>
      <c r="P687" s="7"/>
      <c r="Q687" s="8"/>
    </row>
    <row r="688">
      <c r="O688" s="6"/>
      <c r="P688" s="7"/>
      <c r="Q688" s="8"/>
    </row>
    <row r="689">
      <c r="O689" s="6"/>
      <c r="P689" s="7"/>
      <c r="Q689" s="8"/>
    </row>
    <row r="690">
      <c r="O690" s="6"/>
      <c r="P690" s="7"/>
      <c r="Q690" s="8"/>
    </row>
    <row r="691">
      <c r="O691" s="6"/>
      <c r="P691" s="7"/>
      <c r="Q691" s="8"/>
    </row>
    <row r="692">
      <c r="O692" s="6"/>
      <c r="P692" s="7"/>
      <c r="Q692" s="8"/>
    </row>
    <row r="693">
      <c r="O693" s="6"/>
      <c r="P693" s="7"/>
      <c r="Q693" s="8"/>
    </row>
    <row r="694">
      <c r="O694" s="6"/>
      <c r="P694" s="7"/>
      <c r="Q694" s="8"/>
    </row>
    <row r="695">
      <c r="O695" s="6"/>
      <c r="P695" s="7"/>
      <c r="Q695" s="8"/>
    </row>
    <row r="696">
      <c r="O696" s="6"/>
      <c r="P696" s="7"/>
      <c r="Q696" s="8"/>
    </row>
    <row r="697">
      <c r="O697" s="6"/>
      <c r="P697" s="7"/>
      <c r="Q697" s="8"/>
    </row>
    <row r="698">
      <c r="O698" s="6"/>
      <c r="P698" s="7"/>
      <c r="Q698" s="8"/>
    </row>
    <row r="699">
      <c r="O699" s="6"/>
      <c r="P699" s="7"/>
      <c r="Q699" s="8"/>
    </row>
    <row r="700">
      <c r="O700" s="6"/>
      <c r="P700" s="7"/>
      <c r="Q700" s="8"/>
    </row>
    <row r="701">
      <c r="O701" s="6"/>
      <c r="P701" s="7"/>
      <c r="Q701" s="8"/>
    </row>
    <row r="702">
      <c r="O702" s="6"/>
      <c r="P702" s="7"/>
      <c r="Q702" s="8"/>
    </row>
    <row r="703">
      <c r="O703" s="6"/>
      <c r="P703" s="7"/>
      <c r="Q703" s="8"/>
    </row>
    <row r="704">
      <c r="O704" s="6"/>
      <c r="P704" s="7"/>
      <c r="Q704" s="8"/>
    </row>
    <row r="705">
      <c r="O705" s="6"/>
      <c r="P705" s="7"/>
      <c r="Q705" s="8"/>
    </row>
    <row r="706">
      <c r="O706" s="6"/>
      <c r="P706" s="7"/>
      <c r="Q706" s="8"/>
    </row>
    <row r="707">
      <c r="O707" s="6"/>
      <c r="P707" s="7"/>
      <c r="Q707" s="8"/>
    </row>
    <row r="708">
      <c r="O708" s="6"/>
      <c r="P708" s="7"/>
      <c r="Q708" s="8"/>
    </row>
    <row r="709">
      <c r="O709" s="6"/>
      <c r="P709" s="7"/>
      <c r="Q709" s="8"/>
    </row>
    <row r="710">
      <c r="O710" s="6"/>
      <c r="P710" s="7"/>
      <c r="Q710" s="8"/>
    </row>
    <row r="711">
      <c r="O711" s="6"/>
      <c r="P711" s="7"/>
      <c r="Q711" s="8"/>
    </row>
    <row r="712">
      <c r="O712" s="6"/>
      <c r="P712" s="7"/>
      <c r="Q712" s="8"/>
    </row>
    <row r="713">
      <c r="O713" s="6"/>
      <c r="P713" s="7"/>
      <c r="Q713" s="8"/>
    </row>
    <row r="714">
      <c r="O714" s="6"/>
      <c r="P714" s="7"/>
      <c r="Q714" s="8"/>
    </row>
    <row r="715">
      <c r="O715" s="6"/>
      <c r="P715" s="7"/>
      <c r="Q715" s="8"/>
    </row>
    <row r="716">
      <c r="O716" s="6"/>
      <c r="P716" s="7"/>
      <c r="Q716" s="8"/>
    </row>
    <row r="717">
      <c r="O717" s="6"/>
      <c r="P717" s="7"/>
      <c r="Q717" s="8"/>
    </row>
    <row r="718">
      <c r="O718" s="6"/>
      <c r="P718" s="7"/>
      <c r="Q718" s="8"/>
    </row>
    <row r="719">
      <c r="O719" s="6"/>
      <c r="P719" s="7"/>
      <c r="Q719" s="8"/>
    </row>
    <row r="720">
      <c r="O720" s="6"/>
      <c r="P720" s="7"/>
      <c r="Q720" s="8"/>
    </row>
    <row r="721">
      <c r="O721" s="6"/>
      <c r="P721" s="7"/>
      <c r="Q721" s="8"/>
    </row>
    <row r="722">
      <c r="O722" s="6"/>
      <c r="P722" s="7"/>
      <c r="Q722" s="8"/>
    </row>
    <row r="723">
      <c r="O723" s="6"/>
      <c r="P723" s="7"/>
      <c r="Q723" s="8"/>
    </row>
    <row r="724">
      <c r="O724" s="6"/>
      <c r="P724" s="7"/>
      <c r="Q724" s="8"/>
    </row>
    <row r="725">
      <c r="O725" s="6"/>
      <c r="P725" s="7"/>
      <c r="Q725" s="8"/>
    </row>
    <row r="726">
      <c r="O726" s="6"/>
      <c r="P726" s="7"/>
      <c r="Q726" s="8"/>
    </row>
    <row r="727">
      <c r="O727" s="6"/>
      <c r="P727" s="7"/>
      <c r="Q727" s="8"/>
    </row>
    <row r="728">
      <c r="O728" s="6"/>
      <c r="P728" s="7"/>
      <c r="Q728" s="8"/>
    </row>
    <row r="729">
      <c r="O729" s="6"/>
      <c r="P729" s="7"/>
      <c r="Q729" s="8"/>
    </row>
    <row r="730">
      <c r="O730" s="6"/>
      <c r="P730" s="7"/>
      <c r="Q730" s="8"/>
    </row>
    <row r="731">
      <c r="O731" s="6"/>
      <c r="P731" s="7"/>
      <c r="Q731" s="8"/>
    </row>
    <row r="732">
      <c r="O732" s="6"/>
      <c r="P732" s="7"/>
      <c r="Q732" s="8"/>
    </row>
    <row r="733">
      <c r="O733" s="6"/>
      <c r="P733" s="7"/>
      <c r="Q733" s="8"/>
    </row>
    <row r="734">
      <c r="O734" s="6"/>
      <c r="P734" s="7"/>
      <c r="Q734" s="8"/>
    </row>
    <row r="735">
      <c r="O735" s="6"/>
      <c r="P735" s="7"/>
      <c r="Q735" s="8"/>
    </row>
    <row r="736">
      <c r="O736" s="6"/>
      <c r="P736" s="7"/>
      <c r="Q736" s="8"/>
    </row>
    <row r="737">
      <c r="O737" s="6"/>
      <c r="P737" s="7"/>
      <c r="Q737" s="8"/>
    </row>
    <row r="738">
      <c r="O738" s="6"/>
      <c r="P738" s="7"/>
      <c r="Q738" s="8"/>
    </row>
    <row r="739">
      <c r="O739" s="6"/>
      <c r="P739" s="7"/>
      <c r="Q739" s="8"/>
    </row>
    <row r="740">
      <c r="O740" s="6"/>
      <c r="P740" s="7"/>
      <c r="Q740" s="8"/>
    </row>
    <row r="741">
      <c r="O741" s="6"/>
      <c r="P741" s="7"/>
      <c r="Q741" s="8"/>
    </row>
    <row r="742">
      <c r="O742" s="6"/>
      <c r="P742" s="7"/>
      <c r="Q742" s="8"/>
    </row>
    <row r="743">
      <c r="O743" s="6"/>
      <c r="P743" s="7"/>
      <c r="Q743" s="8"/>
    </row>
    <row r="744">
      <c r="O744" s="6"/>
      <c r="P744" s="7"/>
      <c r="Q744" s="8"/>
    </row>
    <row r="745">
      <c r="O745" s="6"/>
      <c r="P745" s="7"/>
      <c r="Q745" s="8"/>
    </row>
    <row r="746">
      <c r="O746" s="6"/>
      <c r="P746" s="7"/>
      <c r="Q746" s="8"/>
    </row>
    <row r="747">
      <c r="O747" s="6"/>
      <c r="P747" s="7"/>
      <c r="Q747" s="8"/>
    </row>
    <row r="748">
      <c r="O748" s="6"/>
      <c r="P748" s="7"/>
      <c r="Q748" s="8"/>
    </row>
    <row r="749">
      <c r="O749" s="6"/>
      <c r="P749" s="7"/>
      <c r="Q749" s="8"/>
    </row>
    <row r="750">
      <c r="O750" s="6"/>
      <c r="P750" s="7"/>
      <c r="Q750" s="8"/>
    </row>
    <row r="751">
      <c r="O751" s="6"/>
      <c r="P751" s="7"/>
      <c r="Q751" s="8"/>
    </row>
    <row r="752">
      <c r="O752" s="6"/>
      <c r="P752" s="7"/>
      <c r="Q752" s="8"/>
    </row>
    <row r="753">
      <c r="O753" s="6"/>
      <c r="P753" s="7"/>
      <c r="Q753" s="8"/>
    </row>
    <row r="754">
      <c r="O754" s="6"/>
      <c r="P754" s="7"/>
      <c r="Q754" s="8"/>
    </row>
    <row r="755">
      <c r="O755" s="6"/>
      <c r="P755" s="7"/>
      <c r="Q755" s="8"/>
    </row>
    <row r="756">
      <c r="O756" s="6"/>
      <c r="P756" s="7"/>
      <c r="Q756" s="8"/>
    </row>
    <row r="757">
      <c r="O757" s="6"/>
      <c r="P757" s="7"/>
      <c r="Q757" s="8"/>
    </row>
    <row r="758">
      <c r="O758" s="6"/>
      <c r="P758" s="7"/>
      <c r="Q758" s="8"/>
    </row>
    <row r="759">
      <c r="O759" s="6"/>
      <c r="P759" s="7"/>
      <c r="Q759" s="8"/>
    </row>
    <row r="760">
      <c r="O760" s="6"/>
      <c r="P760" s="7"/>
      <c r="Q760" s="8"/>
    </row>
    <row r="761">
      <c r="O761" s="6"/>
      <c r="P761" s="7"/>
      <c r="Q761" s="8"/>
    </row>
    <row r="762">
      <c r="O762" s="6"/>
      <c r="P762" s="7"/>
      <c r="Q762" s="8"/>
    </row>
    <row r="763">
      <c r="O763" s="6"/>
      <c r="P763" s="7"/>
      <c r="Q763" s="8"/>
    </row>
    <row r="764">
      <c r="O764" s="6"/>
      <c r="P764" s="7"/>
      <c r="Q764" s="8"/>
    </row>
    <row r="765">
      <c r="O765" s="6"/>
      <c r="P765" s="7"/>
      <c r="Q765" s="8"/>
    </row>
    <row r="766">
      <c r="O766" s="6"/>
      <c r="P766" s="7"/>
      <c r="Q766" s="8"/>
    </row>
    <row r="767">
      <c r="O767" s="6"/>
      <c r="P767" s="7"/>
      <c r="Q767" s="8"/>
    </row>
    <row r="768">
      <c r="O768" s="6"/>
      <c r="P768" s="7"/>
      <c r="Q768" s="8"/>
    </row>
    <row r="769">
      <c r="O769" s="6"/>
      <c r="P769" s="7"/>
      <c r="Q769" s="8"/>
    </row>
    <row r="770">
      <c r="O770" s="6"/>
      <c r="P770" s="7"/>
      <c r="Q770" s="8"/>
    </row>
    <row r="771">
      <c r="O771" s="6"/>
      <c r="P771" s="7"/>
      <c r="Q771" s="8"/>
    </row>
    <row r="772">
      <c r="O772" s="6"/>
      <c r="P772" s="7"/>
      <c r="Q772" s="8"/>
    </row>
    <row r="773">
      <c r="O773" s="6"/>
      <c r="P773" s="7"/>
      <c r="Q773" s="8"/>
    </row>
    <row r="774">
      <c r="O774" s="6"/>
      <c r="P774" s="7"/>
      <c r="Q774" s="8"/>
    </row>
    <row r="775">
      <c r="O775" s="6"/>
      <c r="P775" s="7"/>
      <c r="Q775" s="8"/>
    </row>
    <row r="776">
      <c r="O776" s="6"/>
      <c r="P776" s="7"/>
      <c r="Q776" s="8"/>
    </row>
    <row r="777">
      <c r="O777" s="6"/>
      <c r="P777" s="7"/>
      <c r="Q777" s="8"/>
    </row>
    <row r="778">
      <c r="O778" s="6"/>
      <c r="P778" s="7"/>
      <c r="Q778" s="8"/>
    </row>
    <row r="779">
      <c r="O779" s="6"/>
      <c r="P779" s="7"/>
      <c r="Q779" s="8"/>
    </row>
    <row r="780">
      <c r="O780" s="6"/>
      <c r="P780" s="7"/>
      <c r="Q780" s="8"/>
    </row>
    <row r="781">
      <c r="O781" s="6"/>
      <c r="P781" s="7"/>
      <c r="Q781" s="8"/>
    </row>
    <row r="782">
      <c r="O782" s="6"/>
      <c r="P782" s="7"/>
      <c r="Q782" s="8"/>
    </row>
    <row r="783">
      <c r="O783" s="6"/>
      <c r="P783" s="7"/>
      <c r="Q783" s="8"/>
    </row>
    <row r="784">
      <c r="O784" s="6"/>
      <c r="P784" s="7"/>
      <c r="Q784" s="8"/>
    </row>
    <row r="785">
      <c r="O785" s="6"/>
      <c r="P785" s="7"/>
      <c r="Q785" s="8"/>
    </row>
    <row r="786">
      <c r="O786" s="6"/>
      <c r="P786" s="7"/>
      <c r="Q786" s="8"/>
    </row>
    <row r="787">
      <c r="O787" s="6"/>
      <c r="P787" s="7"/>
      <c r="Q787" s="8"/>
    </row>
    <row r="788">
      <c r="O788" s="6"/>
      <c r="P788" s="7"/>
      <c r="Q788" s="8"/>
    </row>
    <row r="789">
      <c r="O789" s="6"/>
      <c r="P789" s="7"/>
      <c r="Q789" s="8"/>
    </row>
    <row r="790">
      <c r="O790" s="6"/>
      <c r="P790" s="7"/>
      <c r="Q790" s="8"/>
    </row>
    <row r="791">
      <c r="O791" s="6"/>
      <c r="P791" s="7"/>
      <c r="Q791" s="8"/>
    </row>
    <row r="792">
      <c r="O792" s="6"/>
      <c r="P792" s="7"/>
      <c r="Q792" s="8"/>
    </row>
    <row r="793">
      <c r="O793" s="6"/>
      <c r="P793" s="7"/>
      <c r="Q793" s="8"/>
    </row>
    <row r="794">
      <c r="O794" s="6"/>
      <c r="P794" s="7"/>
      <c r="Q794" s="8"/>
    </row>
    <row r="795">
      <c r="O795" s="6"/>
      <c r="P795" s="7"/>
      <c r="Q795" s="8"/>
    </row>
    <row r="796">
      <c r="O796" s="6"/>
      <c r="P796" s="7"/>
      <c r="Q796" s="8"/>
    </row>
    <row r="797">
      <c r="O797" s="6"/>
      <c r="P797" s="7"/>
      <c r="Q797" s="8"/>
    </row>
    <row r="798">
      <c r="O798" s="6"/>
      <c r="P798" s="7"/>
      <c r="Q798" s="8"/>
    </row>
    <row r="799">
      <c r="O799" s="6"/>
      <c r="P799" s="7"/>
      <c r="Q799" s="8"/>
    </row>
    <row r="800">
      <c r="O800" s="6"/>
      <c r="P800" s="7"/>
      <c r="Q800" s="8"/>
    </row>
    <row r="801">
      <c r="O801" s="6"/>
      <c r="P801" s="7"/>
      <c r="Q801" s="8"/>
    </row>
    <row r="802">
      <c r="O802" s="6"/>
      <c r="P802" s="7"/>
      <c r="Q802" s="8"/>
    </row>
    <row r="803">
      <c r="O803" s="6"/>
      <c r="P803" s="7"/>
      <c r="Q803" s="8"/>
    </row>
    <row r="804">
      <c r="O804" s="6"/>
      <c r="P804" s="7"/>
      <c r="Q804" s="8"/>
    </row>
    <row r="805">
      <c r="O805" s="6"/>
      <c r="P805" s="7"/>
      <c r="Q805" s="8"/>
    </row>
    <row r="806">
      <c r="O806" s="6"/>
      <c r="P806" s="7"/>
      <c r="Q806" s="8"/>
    </row>
    <row r="807">
      <c r="O807" s="6"/>
      <c r="P807" s="7"/>
      <c r="Q807" s="8"/>
    </row>
    <row r="808">
      <c r="O808" s="6"/>
      <c r="P808" s="7"/>
      <c r="Q808" s="8"/>
    </row>
    <row r="809">
      <c r="O809" s="6"/>
      <c r="P809" s="7"/>
      <c r="Q809" s="8"/>
    </row>
    <row r="810">
      <c r="O810" s="6"/>
      <c r="P810" s="7"/>
      <c r="Q810" s="8"/>
    </row>
    <row r="811">
      <c r="O811" s="6"/>
      <c r="P811" s="7"/>
      <c r="Q811" s="8"/>
    </row>
    <row r="812">
      <c r="O812" s="6"/>
      <c r="P812" s="7"/>
      <c r="Q812" s="8"/>
    </row>
    <row r="813">
      <c r="O813" s="6"/>
      <c r="P813" s="7"/>
      <c r="Q813" s="8"/>
    </row>
    <row r="814">
      <c r="O814" s="6"/>
      <c r="P814" s="7"/>
      <c r="Q814" s="8"/>
    </row>
    <row r="815">
      <c r="O815" s="6"/>
      <c r="P815" s="7"/>
      <c r="Q815" s="8"/>
    </row>
    <row r="816">
      <c r="O816" s="6"/>
      <c r="P816" s="7"/>
      <c r="Q816" s="8"/>
    </row>
    <row r="817">
      <c r="O817" s="6"/>
      <c r="P817" s="7"/>
      <c r="Q817" s="8"/>
    </row>
    <row r="818">
      <c r="O818" s="6"/>
      <c r="P818" s="7"/>
      <c r="Q818" s="8"/>
    </row>
    <row r="819">
      <c r="O819" s="6"/>
      <c r="P819" s="7"/>
      <c r="Q819" s="8"/>
    </row>
    <row r="820">
      <c r="O820" s="6"/>
      <c r="P820" s="7"/>
      <c r="Q820" s="8"/>
    </row>
    <row r="821">
      <c r="O821" s="6"/>
      <c r="P821" s="7"/>
      <c r="Q821" s="8"/>
    </row>
    <row r="822">
      <c r="O822" s="6"/>
      <c r="P822" s="7"/>
      <c r="Q822" s="8"/>
    </row>
    <row r="823">
      <c r="O823" s="6"/>
      <c r="P823" s="7"/>
      <c r="Q823" s="8"/>
    </row>
    <row r="824">
      <c r="O824" s="6"/>
      <c r="P824" s="7"/>
      <c r="Q824" s="8"/>
    </row>
    <row r="825">
      <c r="O825" s="6"/>
      <c r="P825" s="7"/>
      <c r="Q825" s="8"/>
    </row>
    <row r="826">
      <c r="O826" s="6"/>
      <c r="P826" s="7"/>
      <c r="Q826" s="8"/>
    </row>
    <row r="827">
      <c r="O827" s="6"/>
      <c r="P827" s="7"/>
      <c r="Q827" s="8"/>
    </row>
    <row r="828">
      <c r="O828" s="6"/>
      <c r="P828" s="7"/>
      <c r="Q828" s="8"/>
    </row>
    <row r="829">
      <c r="O829" s="6"/>
      <c r="P829" s="7"/>
      <c r="Q829" s="8"/>
    </row>
    <row r="830">
      <c r="O830" s="6"/>
      <c r="P830" s="7"/>
      <c r="Q830" s="8"/>
    </row>
    <row r="831">
      <c r="O831" s="6"/>
      <c r="P831" s="7"/>
      <c r="Q831" s="8"/>
    </row>
    <row r="832">
      <c r="O832" s="6"/>
      <c r="P832" s="7"/>
      <c r="Q832" s="8"/>
    </row>
    <row r="833">
      <c r="O833" s="6"/>
      <c r="P833" s="7"/>
      <c r="Q833" s="8"/>
    </row>
    <row r="834">
      <c r="O834" s="6"/>
      <c r="P834" s="7"/>
      <c r="Q834" s="8"/>
    </row>
    <row r="835">
      <c r="O835" s="6"/>
      <c r="P835" s="7"/>
      <c r="Q835" s="8"/>
    </row>
    <row r="836">
      <c r="O836" s="6"/>
      <c r="P836" s="7"/>
      <c r="Q836" s="8"/>
    </row>
    <row r="837">
      <c r="O837" s="6"/>
      <c r="P837" s="7"/>
      <c r="Q837" s="8"/>
    </row>
    <row r="838">
      <c r="O838" s="6"/>
      <c r="P838" s="7"/>
      <c r="Q838" s="8"/>
    </row>
    <row r="839">
      <c r="O839" s="6"/>
      <c r="P839" s="7"/>
      <c r="Q839" s="8"/>
    </row>
    <row r="840">
      <c r="O840" s="6"/>
      <c r="P840" s="7"/>
      <c r="Q840" s="8"/>
    </row>
    <row r="841">
      <c r="O841" s="6"/>
      <c r="P841" s="7"/>
      <c r="Q841" s="8"/>
    </row>
    <row r="842">
      <c r="O842" s="6"/>
      <c r="P842" s="7"/>
      <c r="Q842" s="8"/>
    </row>
    <row r="843">
      <c r="O843" s="6"/>
      <c r="P843" s="7"/>
      <c r="Q843" s="8"/>
    </row>
    <row r="844">
      <c r="O844" s="6"/>
      <c r="P844" s="7"/>
      <c r="Q844" s="8"/>
    </row>
    <row r="845">
      <c r="O845" s="6"/>
      <c r="P845" s="7"/>
      <c r="Q845" s="8"/>
    </row>
    <row r="846">
      <c r="O846" s="6"/>
      <c r="P846" s="7"/>
      <c r="Q846" s="8"/>
    </row>
    <row r="847">
      <c r="O847" s="6"/>
      <c r="P847" s="7"/>
      <c r="Q847" s="8"/>
    </row>
    <row r="848">
      <c r="O848" s="6"/>
      <c r="P848" s="7"/>
      <c r="Q848" s="8"/>
    </row>
    <row r="849">
      <c r="O849" s="6"/>
      <c r="P849" s="7"/>
      <c r="Q849" s="8"/>
    </row>
    <row r="850">
      <c r="O850" s="6"/>
      <c r="P850" s="7"/>
      <c r="Q850" s="8"/>
    </row>
    <row r="851">
      <c r="O851" s="6"/>
      <c r="P851" s="7"/>
      <c r="Q851" s="8"/>
    </row>
    <row r="852">
      <c r="O852" s="6"/>
      <c r="P852" s="7"/>
      <c r="Q852" s="8"/>
    </row>
    <row r="853">
      <c r="O853" s="6"/>
      <c r="P853" s="7"/>
      <c r="Q853" s="8"/>
    </row>
    <row r="854">
      <c r="O854" s="6"/>
      <c r="P854" s="7"/>
      <c r="Q854" s="8"/>
    </row>
    <row r="855">
      <c r="O855" s="6"/>
      <c r="P855" s="7"/>
      <c r="Q855" s="8"/>
    </row>
    <row r="856">
      <c r="O856" s="6"/>
      <c r="P856" s="7"/>
      <c r="Q856" s="8"/>
    </row>
    <row r="857">
      <c r="O857" s="6"/>
      <c r="P857" s="7"/>
      <c r="Q857" s="8"/>
    </row>
    <row r="858">
      <c r="O858" s="6"/>
      <c r="P858" s="7"/>
      <c r="Q858" s="8"/>
    </row>
    <row r="859">
      <c r="O859" s="6"/>
      <c r="P859" s="7"/>
      <c r="Q859" s="8"/>
    </row>
    <row r="860">
      <c r="O860" s="6"/>
      <c r="P860" s="7"/>
      <c r="Q860" s="8"/>
    </row>
    <row r="861">
      <c r="O861" s="6"/>
      <c r="P861" s="7"/>
      <c r="Q861" s="8"/>
    </row>
    <row r="862">
      <c r="O862" s="6"/>
      <c r="P862" s="7"/>
      <c r="Q862" s="8"/>
    </row>
    <row r="863">
      <c r="O863" s="6"/>
      <c r="P863" s="7"/>
      <c r="Q863" s="8"/>
    </row>
    <row r="864">
      <c r="O864" s="6"/>
      <c r="P864" s="7"/>
      <c r="Q864" s="8"/>
    </row>
    <row r="865">
      <c r="O865" s="6"/>
      <c r="P865" s="7"/>
      <c r="Q865" s="8"/>
    </row>
    <row r="866">
      <c r="O866" s="6"/>
      <c r="P866" s="7"/>
      <c r="Q866" s="8"/>
    </row>
    <row r="867">
      <c r="O867" s="6"/>
      <c r="P867" s="7"/>
      <c r="Q867" s="8"/>
    </row>
    <row r="868">
      <c r="O868" s="6"/>
      <c r="P868" s="7"/>
      <c r="Q868" s="8"/>
    </row>
    <row r="869">
      <c r="O869" s="6"/>
      <c r="P869" s="7"/>
      <c r="Q869" s="8"/>
    </row>
    <row r="870">
      <c r="O870" s="6"/>
      <c r="P870" s="7"/>
      <c r="Q870" s="8"/>
    </row>
    <row r="871">
      <c r="O871" s="6"/>
      <c r="P871" s="7"/>
      <c r="Q871" s="8"/>
    </row>
    <row r="872">
      <c r="O872" s="6"/>
      <c r="P872" s="7"/>
      <c r="Q872" s="8"/>
    </row>
    <row r="873">
      <c r="O873" s="6"/>
      <c r="P873" s="7"/>
      <c r="Q873" s="8"/>
    </row>
    <row r="874">
      <c r="O874" s="6"/>
      <c r="P874" s="7"/>
      <c r="Q874" s="8"/>
    </row>
    <row r="875">
      <c r="O875" s="6"/>
      <c r="P875" s="7"/>
      <c r="Q875" s="8"/>
    </row>
    <row r="876">
      <c r="O876" s="6"/>
      <c r="P876" s="7"/>
      <c r="Q876" s="8"/>
    </row>
    <row r="877">
      <c r="O877" s="6"/>
      <c r="P877" s="7"/>
      <c r="Q877" s="8"/>
    </row>
    <row r="878">
      <c r="O878" s="6"/>
      <c r="P878" s="7"/>
      <c r="Q878" s="8"/>
    </row>
    <row r="879">
      <c r="O879" s="6"/>
      <c r="P879" s="7"/>
      <c r="Q879" s="8"/>
    </row>
    <row r="880">
      <c r="O880" s="6"/>
      <c r="P880" s="7"/>
      <c r="Q880" s="8"/>
    </row>
    <row r="881">
      <c r="O881" s="6"/>
      <c r="P881" s="7"/>
      <c r="Q881" s="8"/>
    </row>
    <row r="882">
      <c r="O882" s="6"/>
      <c r="P882" s="7"/>
      <c r="Q882" s="8"/>
    </row>
    <row r="883">
      <c r="O883" s="6"/>
      <c r="P883" s="7"/>
      <c r="Q883" s="8"/>
    </row>
    <row r="884">
      <c r="O884" s="6"/>
      <c r="P884" s="7"/>
      <c r="Q884" s="8"/>
    </row>
    <row r="885">
      <c r="O885" s="6"/>
      <c r="P885" s="7"/>
      <c r="Q885" s="8"/>
    </row>
    <row r="886">
      <c r="O886" s="6"/>
      <c r="P886" s="7"/>
      <c r="Q886" s="8"/>
    </row>
    <row r="887">
      <c r="O887" s="6"/>
      <c r="P887" s="7"/>
      <c r="Q887" s="8"/>
    </row>
    <row r="888">
      <c r="O888" s="6"/>
      <c r="P888" s="7"/>
      <c r="Q888" s="8"/>
    </row>
    <row r="889">
      <c r="O889" s="6"/>
      <c r="P889" s="7"/>
      <c r="Q889" s="8"/>
    </row>
    <row r="890">
      <c r="O890" s="6"/>
      <c r="P890" s="7"/>
      <c r="Q890" s="8"/>
    </row>
    <row r="891">
      <c r="O891" s="6"/>
      <c r="P891" s="7"/>
      <c r="Q891" s="8"/>
    </row>
    <row r="892">
      <c r="O892" s="6"/>
      <c r="P892" s="7"/>
      <c r="Q892" s="8"/>
    </row>
    <row r="893">
      <c r="O893" s="6"/>
      <c r="P893" s="7"/>
      <c r="Q893" s="8"/>
    </row>
    <row r="894">
      <c r="O894" s="6"/>
      <c r="P894" s="7"/>
      <c r="Q894" s="8"/>
    </row>
    <row r="895">
      <c r="O895" s="6"/>
      <c r="P895" s="7"/>
      <c r="Q895" s="8"/>
    </row>
    <row r="896">
      <c r="O896" s="6"/>
      <c r="P896" s="7"/>
      <c r="Q896" s="8"/>
    </row>
    <row r="897">
      <c r="O897" s="6"/>
      <c r="P897" s="7"/>
      <c r="Q897" s="8"/>
    </row>
    <row r="898">
      <c r="O898" s="6"/>
      <c r="P898" s="7"/>
      <c r="Q898" s="8"/>
    </row>
    <row r="899">
      <c r="O899" s="6"/>
      <c r="P899" s="7"/>
      <c r="Q899" s="8"/>
    </row>
    <row r="900">
      <c r="O900" s="6"/>
      <c r="P900" s="7"/>
      <c r="Q900" s="8"/>
    </row>
    <row r="901">
      <c r="O901" s="6"/>
      <c r="P901" s="7"/>
      <c r="Q901" s="8"/>
    </row>
    <row r="902">
      <c r="O902" s="6"/>
      <c r="P902" s="7"/>
      <c r="Q902" s="8"/>
    </row>
    <row r="903">
      <c r="O903" s="6"/>
      <c r="P903" s="7"/>
      <c r="Q903" s="8"/>
    </row>
    <row r="904">
      <c r="O904" s="6"/>
      <c r="P904" s="7"/>
      <c r="Q904" s="8"/>
    </row>
    <row r="905">
      <c r="O905" s="6"/>
      <c r="P905" s="7"/>
      <c r="Q905" s="8"/>
    </row>
    <row r="906">
      <c r="O906" s="6"/>
      <c r="P906" s="7"/>
      <c r="Q906" s="8"/>
    </row>
    <row r="907">
      <c r="O907" s="6"/>
      <c r="P907" s="7"/>
      <c r="Q907" s="8"/>
    </row>
    <row r="908">
      <c r="O908" s="6"/>
      <c r="P908" s="7"/>
      <c r="Q908" s="8"/>
    </row>
    <row r="909">
      <c r="O909" s="6"/>
      <c r="P909" s="7"/>
      <c r="Q909" s="8"/>
    </row>
    <row r="910">
      <c r="O910" s="6"/>
      <c r="P910" s="7"/>
      <c r="Q910" s="8"/>
    </row>
    <row r="911">
      <c r="O911" s="6"/>
      <c r="P911" s="7"/>
      <c r="Q911" s="8"/>
    </row>
    <row r="912">
      <c r="O912" s="6"/>
      <c r="P912" s="7"/>
      <c r="Q912" s="8"/>
    </row>
    <row r="913">
      <c r="O913" s="6"/>
      <c r="P913" s="7"/>
      <c r="Q913" s="8"/>
    </row>
    <row r="914">
      <c r="O914" s="6"/>
      <c r="P914" s="7"/>
      <c r="Q914" s="8"/>
    </row>
    <row r="915">
      <c r="O915" s="6"/>
      <c r="P915" s="7"/>
      <c r="Q915" s="8"/>
    </row>
    <row r="916">
      <c r="O916" s="6"/>
      <c r="P916" s="7"/>
      <c r="Q916" s="8"/>
    </row>
    <row r="917">
      <c r="O917" s="6"/>
      <c r="P917" s="7"/>
      <c r="Q917" s="8"/>
    </row>
    <row r="918">
      <c r="O918" s="6"/>
      <c r="P918" s="7"/>
      <c r="Q918" s="8"/>
    </row>
    <row r="919">
      <c r="O919" s="6"/>
      <c r="P919" s="7"/>
      <c r="Q919" s="8"/>
    </row>
    <row r="920">
      <c r="O920" s="6"/>
      <c r="P920" s="7"/>
      <c r="Q920" s="8"/>
    </row>
    <row r="921">
      <c r="O921" s="6"/>
      <c r="P921" s="7"/>
      <c r="Q921" s="8"/>
    </row>
    <row r="922">
      <c r="O922" s="6"/>
      <c r="P922" s="7"/>
      <c r="Q922" s="8"/>
    </row>
    <row r="923">
      <c r="O923" s="6"/>
      <c r="P923" s="7"/>
      <c r="Q923" s="8"/>
    </row>
    <row r="924">
      <c r="O924" s="6"/>
      <c r="P924" s="7"/>
      <c r="Q924" s="8"/>
    </row>
    <row r="925">
      <c r="O925" s="6"/>
      <c r="P925" s="7"/>
      <c r="Q925" s="8"/>
    </row>
    <row r="926">
      <c r="O926" s="6"/>
      <c r="P926" s="7"/>
      <c r="Q926" s="8"/>
    </row>
    <row r="927">
      <c r="O927" s="6"/>
      <c r="P927" s="7"/>
      <c r="Q927" s="8"/>
    </row>
    <row r="928">
      <c r="O928" s="6"/>
      <c r="P928" s="7"/>
      <c r="Q928" s="8"/>
    </row>
    <row r="929">
      <c r="O929" s="6"/>
      <c r="P929" s="7"/>
      <c r="Q929" s="8"/>
    </row>
    <row r="930">
      <c r="O930" s="6"/>
      <c r="P930" s="7"/>
      <c r="Q930" s="8"/>
    </row>
    <row r="931">
      <c r="O931" s="6"/>
      <c r="P931" s="7"/>
      <c r="Q931" s="8"/>
    </row>
    <row r="932">
      <c r="O932" s="6"/>
      <c r="P932" s="7"/>
      <c r="Q932" s="8"/>
    </row>
    <row r="933">
      <c r="O933" s="6"/>
      <c r="P933" s="7"/>
      <c r="Q933" s="8"/>
    </row>
    <row r="934">
      <c r="O934" s="6"/>
      <c r="P934" s="7"/>
      <c r="Q934" s="8"/>
    </row>
    <row r="935">
      <c r="O935" s="6"/>
      <c r="P935" s="7"/>
      <c r="Q935" s="8"/>
    </row>
    <row r="936">
      <c r="O936" s="6"/>
      <c r="P936" s="7"/>
      <c r="Q936" s="8"/>
    </row>
    <row r="937">
      <c r="O937" s="6"/>
      <c r="P937" s="7"/>
      <c r="Q937" s="8"/>
    </row>
    <row r="938">
      <c r="O938" s="6"/>
      <c r="P938" s="7"/>
      <c r="Q938" s="8"/>
    </row>
    <row r="939">
      <c r="O939" s="6"/>
      <c r="P939" s="7"/>
      <c r="Q939" s="8"/>
    </row>
    <row r="940">
      <c r="O940" s="6"/>
      <c r="P940" s="7"/>
      <c r="Q940" s="8"/>
    </row>
    <row r="941">
      <c r="O941" s="6"/>
      <c r="P941" s="7"/>
      <c r="Q941" s="8"/>
    </row>
    <row r="942">
      <c r="O942" s="6"/>
      <c r="P942" s="7"/>
      <c r="Q942" s="8"/>
    </row>
    <row r="943">
      <c r="O943" s="6"/>
      <c r="P943" s="7"/>
      <c r="Q943" s="8"/>
    </row>
    <row r="944">
      <c r="O944" s="6"/>
      <c r="P944" s="7"/>
      <c r="Q944" s="8"/>
    </row>
    <row r="945">
      <c r="O945" s="6"/>
      <c r="P945" s="7"/>
      <c r="Q945" s="8"/>
    </row>
  </sheetData>
  <mergeCells count="1114">
    <mergeCell ref="B205:H205"/>
    <mergeCell ref="B206:H206"/>
    <mergeCell ref="J206:N206"/>
    <mergeCell ref="A207:N207"/>
    <mergeCell ref="B208:F208"/>
    <mergeCell ref="G208:J208"/>
    <mergeCell ref="K208:N208"/>
    <mergeCell ref="A208:A209"/>
    <mergeCell ref="B209:C209"/>
    <mergeCell ref="D209:F209"/>
    <mergeCell ref="G209:H209"/>
    <mergeCell ref="I209:J209"/>
    <mergeCell ref="K209:L209"/>
    <mergeCell ref="M209:N209"/>
    <mergeCell ref="I211:J211"/>
    <mergeCell ref="K211:L211"/>
    <mergeCell ref="I212:J212"/>
    <mergeCell ref="K212:L212"/>
    <mergeCell ref="M212:N212"/>
    <mergeCell ref="I213:J213"/>
    <mergeCell ref="K213:L213"/>
    <mergeCell ref="M213:N213"/>
    <mergeCell ref="B210:C210"/>
    <mergeCell ref="D210:F210"/>
    <mergeCell ref="G210:H210"/>
    <mergeCell ref="I210:J210"/>
    <mergeCell ref="K210:L210"/>
    <mergeCell ref="M210:N210"/>
    <mergeCell ref="B211:C211"/>
    <mergeCell ref="M211:N211"/>
    <mergeCell ref="D211:F211"/>
    <mergeCell ref="G211:H211"/>
    <mergeCell ref="B212:C212"/>
    <mergeCell ref="D212:F212"/>
    <mergeCell ref="G212:H212"/>
    <mergeCell ref="D213:F213"/>
    <mergeCell ref="G213:H213"/>
    <mergeCell ref="B213:C213"/>
    <mergeCell ref="B214:C214"/>
    <mergeCell ref="D214:F214"/>
    <mergeCell ref="G214:H214"/>
    <mergeCell ref="I214:J214"/>
    <mergeCell ref="K214:L214"/>
    <mergeCell ref="M214:N214"/>
    <mergeCell ref="I216:J216"/>
    <mergeCell ref="K216:L216"/>
    <mergeCell ref="B215:C215"/>
    <mergeCell ref="D215:F215"/>
    <mergeCell ref="G215:H215"/>
    <mergeCell ref="I215:J215"/>
    <mergeCell ref="K215:L215"/>
    <mergeCell ref="M215:N215"/>
    <mergeCell ref="B216:C216"/>
    <mergeCell ref="M216:N216"/>
    <mergeCell ref="D216:F216"/>
    <mergeCell ref="G216:H216"/>
    <mergeCell ref="D217:F217"/>
    <mergeCell ref="G217:H217"/>
    <mergeCell ref="I217:J217"/>
    <mergeCell ref="K217:L217"/>
    <mergeCell ref="M217:N217"/>
    <mergeCell ref="B217:C217"/>
    <mergeCell ref="B218:C218"/>
    <mergeCell ref="D218:F218"/>
    <mergeCell ref="G218:H218"/>
    <mergeCell ref="I218:J218"/>
    <mergeCell ref="K218:L218"/>
    <mergeCell ref="M218:N218"/>
    <mergeCell ref="I220:J220"/>
    <mergeCell ref="K220:L220"/>
    <mergeCell ref="I221:J221"/>
    <mergeCell ref="K221:L221"/>
    <mergeCell ref="M221:N221"/>
    <mergeCell ref="I222:J222"/>
    <mergeCell ref="K222:L222"/>
    <mergeCell ref="M222:N222"/>
    <mergeCell ref="B219:C219"/>
    <mergeCell ref="D219:F219"/>
    <mergeCell ref="G219:H219"/>
    <mergeCell ref="I219:J219"/>
    <mergeCell ref="K219:L219"/>
    <mergeCell ref="M219:N219"/>
    <mergeCell ref="B220:C220"/>
    <mergeCell ref="M220:N220"/>
    <mergeCell ref="D220:F220"/>
    <mergeCell ref="G220:H220"/>
    <mergeCell ref="B221:C221"/>
    <mergeCell ref="D221:F221"/>
    <mergeCell ref="G221:H221"/>
    <mergeCell ref="D222:F222"/>
    <mergeCell ref="G222:H222"/>
    <mergeCell ref="B222:C222"/>
    <mergeCell ref="B223:C223"/>
    <mergeCell ref="D223:F223"/>
    <mergeCell ref="G223:H223"/>
    <mergeCell ref="I223:J223"/>
    <mergeCell ref="K223:L223"/>
    <mergeCell ref="M223:N223"/>
    <mergeCell ref="D151:F151"/>
    <mergeCell ref="G151:H151"/>
    <mergeCell ref="B152:C152"/>
    <mergeCell ref="D152:F152"/>
    <mergeCell ref="G152:H152"/>
    <mergeCell ref="D153:F153"/>
    <mergeCell ref="G153:H153"/>
    <mergeCell ref="B153:C153"/>
    <mergeCell ref="B154:C154"/>
    <mergeCell ref="D154:F154"/>
    <mergeCell ref="G154:H154"/>
    <mergeCell ref="I154:J154"/>
    <mergeCell ref="K154:L154"/>
    <mergeCell ref="M154:N154"/>
    <mergeCell ref="D176:F176"/>
    <mergeCell ref="G176:H176"/>
    <mergeCell ref="B175:C175"/>
    <mergeCell ref="D175:F175"/>
    <mergeCell ref="G175:H175"/>
    <mergeCell ref="I175:J175"/>
    <mergeCell ref="K175:L175"/>
    <mergeCell ref="M175:N175"/>
    <mergeCell ref="B176:C176"/>
    <mergeCell ref="M176:N176"/>
    <mergeCell ref="I176:J176"/>
    <mergeCell ref="K176:L176"/>
    <mergeCell ref="D177:F177"/>
    <mergeCell ref="G177:H177"/>
    <mergeCell ref="I177:J177"/>
    <mergeCell ref="K177:L177"/>
    <mergeCell ref="M177:N177"/>
    <mergeCell ref="B177:C177"/>
    <mergeCell ref="B178:C178"/>
    <mergeCell ref="D178:F178"/>
    <mergeCell ref="G178:H178"/>
    <mergeCell ref="I178:J178"/>
    <mergeCell ref="K178:L178"/>
    <mergeCell ref="M178:N178"/>
    <mergeCell ref="D180:F180"/>
    <mergeCell ref="G180:H180"/>
    <mergeCell ref="B179:C179"/>
    <mergeCell ref="D179:F179"/>
    <mergeCell ref="G179:H179"/>
    <mergeCell ref="I179:J179"/>
    <mergeCell ref="K179:L179"/>
    <mergeCell ref="M179:N179"/>
    <mergeCell ref="B180:C180"/>
    <mergeCell ref="M180:N180"/>
    <mergeCell ref="I146:J146"/>
    <mergeCell ref="K146:L146"/>
    <mergeCell ref="I147:J147"/>
    <mergeCell ref="K147:L147"/>
    <mergeCell ref="M147:N147"/>
    <mergeCell ref="I148:J148"/>
    <mergeCell ref="K148:L148"/>
    <mergeCell ref="M148:N148"/>
    <mergeCell ref="B145:C145"/>
    <mergeCell ref="D145:F145"/>
    <mergeCell ref="G145:H145"/>
    <mergeCell ref="I145:J145"/>
    <mergeCell ref="K145:L145"/>
    <mergeCell ref="M145:N145"/>
    <mergeCell ref="B146:C146"/>
    <mergeCell ref="M146:N146"/>
    <mergeCell ref="D146:F146"/>
    <mergeCell ref="G146:H146"/>
    <mergeCell ref="B147:C147"/>
    <mergeCell ref="D147:F147"/>
    <mergeCell ref="G147:H147"/>
    <mergeCell ref="D148:F148"/>
    <mergeCell ref="G148:H148"/>
    <mergeCell ref="B148:C148"/>
    <mergeCell ref="B149:C149"/>
    <mergeCell ref="D149:F149"/>
    <mergeCell ref="G149:H149"/>
    <mergeCell ref="I149:J149"/>
    <mergeCell ref="K149:L149"/>
    <mergeCell ref="M149:N149"/>
    <mergeCell ref="I151:J151"/>
    <mergeCell ref="K151:L151"/>
    <mergeCell ref="I152:J152"/>
    <mergeCell ref="K152:L152"/>
    <mergeCell ref="M152:N152"/>
    <mergeCell ref="I153:J153"/>
    <mergeCell ref="K153:L153"/>
    <mergeCell ref="M153:N153"/>
    <mergeCell ref="B150:C150"/>
    <mergeCell ref="D150:F150"/>
    <mergeCell ref="G150:H150"/>
    <mergeCell ref="I150:J150"/>
    <mergeCell ref="K150:L150"/>
    <mergeCell ref="M150:N150"/>
    <mergeCell ref="B151:C151"/>
    <mergeCell ref="M151:N151"/>
    <mergeCell ref="I180:J180"/>
    <mergeCell ref="K180:L180"/>
    <mergeCell ref="B183:H183"/>
    <mergeCell ref="J183:N183"/>
    <mergeCell ref="B184:H184"/>
    <mergeCell ref="J184:N184"/>
    <mergeCell ref="A185:N185"/>
    <mergeCell ref="I187:J187"/>
    <mergeCell ref="K187:L187"/>
    <mergeCell ref="A186:A187"/>
    <mergeCell ref="B186:F186"/>
    <mergeCell ref="G186:J186"/>
    <mergeCell ref="K186:N186"/>
    <mergeCell ref="D187:F187"/>
    <mergeCell ref="G187:H187"/>
    <mergeCell ref="M187:N187"/>
    <mergeCell ref="B187:C187"/>
    <mergeCell ref="B188:C188"/>
    <mergeCell ref="D188:F188"/>
    <mergeCell ref="G188:H188"/>
    <mergeCell ref="I188:J188"/>
    <mergeCell ref="K188:L188"/>
    <mergeCell ref="M188:N188"/>
    <mergeCell ref="I190:J190"/>
    <mergeCell ref="K190:L190"/>
    <mergeCell ref="I191:J191"/>
    <mergeCell ref="K191:L191"/>
    <mergeCell ref="M191:N191"/>
    <mergeCell ref="I192:J192"/>
    <mergeCell ref="K192:L192"/>
    <mergeCell ref="M192:N192"/>
    <mergeCell ref="B189:C189"/>
    <mergeCell ref="D189:F189"/>
    <mergeCell ref="G189:H189"/>
    <mergeCell ref="I189:J189"/>
    <mergeCell ref="K189:L189"/>
    <mergeCell ref="M189:N189"/>
    <mergeCell ref="B190:C190"/>
    <mergeCell ref="M190:N190"/>
    <mergeCell ref="D190:F190"/>
    <mergeCell ref="G190:H190"/>
    <mergeCell ref="B191:C191"/>
    <mergeCell ref="D191:F191"/>
    <mergeCell ref="G191:H191"/>
    <mergeCell ref="D192:F192"/>
    <mergeCell ref="G192:H192"/>
    <mergeCell ref="B192:C192"/>
    <mergeCell ref="B193:C193"/>
    <mergeCell ref="D193:F193"/>
    <mergeCell ref="G193:H193"/>
    <mergeCell ref="I193:J193"/>
    <mergeCell ref="K193:L193"/>
    <mergeCell ref="M193:N193"/>
    <mergeCell ref="D225:F225"/>
    <mergeCell ref="G225:H225"/>
    <mergeCell ref="I225:J225"/>
    <mergeCell ref="K225:L225"/>
    <mergeCell ref="B224:C224"/>
    <mergeCell ref="D224:F224"/>
    <mergeCell ref="G224:H224"/>
    <mergeCell ref="I224:J224"/>
    <mergeCell ref="K224:L224"/>
    <mergeCell ref="M224:N224"/>
    <mergeCell ref="B225:C225"/>
    <mergeCell ref="M225:N225"/>
    <mergeCell ref="I20:J20"/>
    <mergeCell ref="K20:L20"/>
    <mergeCell ref="M20:N20"/>
    <mergeCell ref="I21:J21"/>
    <mergeCell ref="K21:L21"/>
    <mergeCell ref="M21:N21"/>
    <mergeCell ref="I22:J22"/>
    <mergeCell ref="K22:L22"/>
    <mergeCell ref="M22:N22"/>
    <mergeCell ref="B24:H24"/>
    <mergeCell ref="J24:N24"/>
    <mergeCell ref="B25:H25"/>
    <mergeCell ref="J25:N25"/>
    <mergeCell ref="A26:N26"/>
    <mergeCell ref="G4:J4"/>
    <mergeCell ref="K4:N4"/>
    <mergeCell ref="B1:H1"/>
    <mergeCell ref="J1:N1"/>
    <mergeCell ref="B2:H2"/>
    <mergeCell ref="J2:N2"/>
    <mergeCell ref="A3:N3"/>
    <mergeCell ref="A4:A5"/>
    <mergeCell ref="B4:F4"/>
    <mergeCell ref="B8:C8"/>
    <mergeCell ref="B9:C9"/>
    <mergeCell ref="B10:C10"/>
    <mergeCell ref="G15:H15"/>
    <mergeCell ref="G16:H16"/>
    <mergeCell ref="G17:H17"/>
    <mergeCell ref="G18:H18"/>
    <mergeCell ref="G19:H19"/>
    <mergeCell ref="G20:H20"/>
    <mergeCell ref="G21:H21"/>
    <mergeCell ref="G22:H22"/>
    <mergeCell ref="G8:H8"/>
    <mergeCell ref="G9:H9"/>
    <mergeCell ref="G10:H10"/>
    <mergeCell ref="G11:H11"/>
    <mergeCell ref="G12:H12"/>
    <mergeCell ref="G13:H13"/>
    <mergeCell ref="G14:H14"/>
    <mergeCell ref="I9:J9"/>
    <mergeCell ref="I10:J10"/>
    <mergeCell ref="I11:J11"/>
    <mergeCell ref="I12:J12"/>
    <mergeCell ref="I13:J13"/>
    <mergeCell ref="I14:J14"/>
    <mergeCell ref="I15:J15"/>
    <mergeCell ref="B28:C28"/>
    <mergeCell ref="B29:C29"/>
    <mergeCell ref="D29:F29"/>
    <mergeCell ref="G29:H29"/>
    <mergeCell ref="I29:J29"/>
    <mergeCell ref="K29:L29"/>
    <mergeCell ref="M29:N29"/>
    <mergeCell ref="B5:C5"/>
    <mergeCell ref="D5:F5"/>
    <mergeCell ref="B6:C6"/>
    <mergeCell ref="D6:F6"/>
    <mergeCell ref="B7:C7"/>
    <mergeCell ref="D7:F7"/>
    <mergeCell ref="D8:F8"/>
    <mergeCell ref="D9:F9"/>
    <mergeCell ref="D10:F10"/>
    <mergeCell ref="B11:C11"/>
    <mergeCell ref="D11:F11"/>
    <mergeCell ref="B12:C12"/>
    <mergeCell ref="D12:F12"/>
    <mergeCell ref="D13:F13"/>
    <mergeCell ref="B20:C20"/>
    <mergeCell ref="B21:C21"/>
    <mergeCell ref="B22:C22"/>
    <mergeCell ref="B13:C13"/>
    <mergeCell ref="B14:C14"/>
    <mergeCell ref="B15:C15"/>
    <mergeCell ref="B16:C16"/>
    <mergeCell ref="B17:C17"/>
    <mergeCell ref="B18:C18"/>
    <mergeCell ref="B19:C19"/>
    <mergeCell ref="D21:F21"/>
    <mergeCell ref="D22:F22"/>
    <mergeCell ref="D14:F14"/>
    <mergeCell ref="D15:F15"/>
    <mergeCell ref="D16:F16"/>
    <mergeCell ref="D17:F17"/>
    <mergeCell ref="D18:F18"/>
    <mergeCell ref="D19:F19"/>
    <mergeCell ref="D20:F20"/>
    <mergeCell ref="G5:H5"/>
    <mergeCell ref="I5:J5"/>
    <mergeCell ref="G6:H6"/>
    <mergeCell ref="I6:J6"/>
    <mergeCell ref="G7:H7"/>
    <mergeCell ref="I7:J7"/>
    <mergeCell ref="I8:J8"/>
    <mergeCell ref="K5:L5"/>
    <mergeCell ref="M5:N5"/>
    <mergeCell ref="K6:L6"/>
    <mergeCell ref="M6:N6"/>
    <mergeCell ref="K7:L7"/>
    <mergeCell ref="M7:N7"/>
    <mergeCell ref="M8:N8"/>
    <mergeCell ref="K15:L15"/>
    <mergeCell ref="K16:L16"/>
    <mergeCell ref="K8:L8"/>
    <mergeCell ref="K9:L9"/>
    <mergeCell ref="K10:L10"/>
    <mergeCell ref="K11:L11"/>
    <mergeCell ref="K12:L12"/>
    <mergeCell ref="K13:L13"/>
    <mergeCell ref="K14:L14"/>
    <mergeCell ref="M16:N16"/>
    <mergeCell ref="M17:N17"/>
    <mergeCell ref="M9:N9"/>
    <mergeCell ref="M10:N10"/>
    <mergeCell ref="M11:N11"/>
    <mergeCell ref="M12:N12"/>
    <mergeCell ref="M13:N13"/>
    <mergeCell ref="M14:N14"/>
    <mergeCell ref="M15:N15"/>
    <mergeCell ref="K19:L19"/>
    <mergeCell ref="M19:N19"/>
    <mergeCell ref="I16:J16"/>
    <mergeCell ref="I17:J17"/>
    <mergeCell ref="K17:L17"/>
    <mergeCell ref="I18:J18"/>
    <mergeCell ref="K18:L18"/>
    <mergeCell ref="M18:N18"/>
    <mergeCell ref="I19:J19"/>
    <mergeCell ref="I28:J28"/>
    <mergeCell ref="K28:L28"/>
    <mergeCell ref="A27:A28"/>
    <mergeCell ref="B27:F27"/>
    <mergeCell ref="G27:J27"/>
    <mergeCell ref="K27:N27"/>
    <mergeCell ref="D28:F28"/>
    <mergeCell ref="G28:H28"/>
    <mergeCell ref="M28:N28"/>
    <mergeCell ref="D41:F41"/>
    <mergeCell ref="G41:H41"/>
    <mergeCell ref="B40:C40"/>
    <mergeCell ref="D40:F40"/>
    <mergeCell ref="G40:H40"/>
    <mergeCell ref="I40:J40"/>
    <mergeCell ref="K40:L40"/>
    <mergeCell ref="M40:N40"/>
    <mergeCell ref="B41:C41"/>
    <mergeCell ref="D36:F36"/>
    <mergeCell ref="G36:H36"/>
    <mergeCell ref="B37:C37"/>
    <mergeCell ref="D37:F37"/>
    <mergeCell ref="G37:H37"/>
    <mergeCell ref="D38:F38"/>
    <mergeCell ref="G38:H38"/>
    <mergeCell ref="B38:C38"/>
    <mergeCell ref="B39:C39"/>
    <mergeCell ref="D39:F39"/>
    <mergeCell ref="G39:H39"/>
    <mergeCell ref="I39:J39"/>
    <mergeCell ref="K39:L39"/>
    <mergeCell ref="M39:N39"/>
    <mergeCell ref="K42:L42"/>
    <mergeCell ref="M42:N42"/>
    <mergeCell ref="I41:J41"/>
    <mergeCell ref="K41:L41"/>
    <mergeCell ref="M41:N41"/>
    <mergeCell ref="B42:C42"/>
    <mergeCell ref="D42:F42"/>
    <mergeCell ref="G42:H42"/>
    <mergeCell ref="I42:J42"/>
    <mergeCell ref="D44:F44"/>
    <mergeCell ref="G44:H44"/>
    <mergeCell ref="B43:C43"/>
    <mergeCell ref="D43:F43"/>
    <mergeCell ref="G43:H43"/>
    <mergeCell ref="I43:J43"/>
    <mergeCell ref="K43:L43"/>
    <mergeCell ref="M43:N43"/>
    <mergeCell ref="B44:C44"/>
    <mergeCell ref="M44:N44"/>
    <mergeCell ref="I31:J31"/>
    <mergeCell ref="K31:L31"/>
    <mergeCell ref="I32:J32"/>
    <mergeCell ref="K32:L32"/>
    <mergeCell ref="M32:N32"/>
    <mergeCell ref="I33:J33"/>
    <mergeCell ref="K33:L33"/>
    <mergeCell ref="M33:N33"/>
    <mergeCell ref="B30:C30"/>
    <mergeCell ref="D30:F30"/>
    <mergeCell ref="G30:H30"/>
    <mergeCell ref="I30:J30"/>
    <mergeCell ref="K30:L30"/>
    <mergeCell ref="M30:N30"/>
    <mergeCell ref="B31:C31"/>
    <mergeCell ref="M31:N31"/>
    <mergeCell ref="D31:F31"/>
    <mergeCell ref="G31:H31"/>
    <mergeCell ref="B32:C32"/>
    <mergeCell ref="D32:F32"/>
    <mergeCell ref="G32:H32"/>
    <mergeCell ref="D33:F33"/>
    <mergeCell ref="G33:H33"/>
    <mergeCell ref="B33:C33"/>
    <mergeCell ref="B34:C34"/>
    <mergeCell ref="D34:F34"/>
    <mergeCell ref="G34:H34"/>
    <mergeCell ref="I34:J34"/>
    <mergeCell ref="K34:L34"/>
    <mergeCell ref="M34:N34"/>
    <mergeCell ref="I36:J36"/>
    <mergeCell ref="K36:L36"/>
    <mergeCell ref="I37:J37"/>
    <mergeCell ref="K37:L37"/>
    <mergeCell ref="M37:N37"/>
    <mergeCell ref="I38:J38"/>
    <mergeCell ref="K38:L38"/>
    <mergeCell ref="M38:N38"/>
    <mergeCell ref="B35:C35"/>
    <mergeCell ref="D35:F35"/>
    <mergeCell ref="G35:H35"/>
    <mergeCell ref="I35:J35"/>
    <mergeCell ref="K35:L35"/>
    <mergeCell ref="M35:N35"/>
    <mergeCell ref="B36:C36"/>
    <mergeCell ref="M36:N36"/>
    <mergeCell ref="I44:J44"/>
    <mergeCell ref="K44:L44"/>
    <mergeCell ref="B47:H47"/>
    <mergeCell ref="J47:N47"/>
    <mergeCell ref="B48:H48"/>
    <mergeCell ref="J48:N48"/>
    <mergeCell ref="A49:N49"/>
    <mergeCell ref="I51:J51"/>
    <mergeCell ref="K51:L51"/>
    <mergeCell ref="A50:A51"/>
    <mergeCell ref="B50:F50"/>
    <mergeCell ref="G50:J50"/>
    <mergeCell ref="K50:N50"/>
    <mergeCell ref="D51:F51"/>
    <mergeCell ref="G51:H51"/>
    <mergeCell ref="M51:N51"/>
    <mergeCell ref="B51:C51"/>
    <mergeCell ref="B52:C52"/>
    <mergeCell ref="D52:F52"/>
    <mergeCell ref="G52:H52"/>
    <mergeCell ref="I52:J52"/>
    <mergeCell ref="K52:L52"/>
    <mergeCell ref="M52:N52"/>
    <mergeCell ref="I54:J54"/>
    <mergeCell ref="K54:L54"/>
    <mergeCell ref="I55:J55"/>
    <mergeCell ref="K55:L55"/>
    <mergeCell ref="M55:N55"/>
    <mergeCell ref="I56:J56"/>
    <mergeCell ref="K56:L56"/>
    <mergeCell ref="M56:N56"/>
    <mergeCell ref="B53:C53"/>
    <mergeCell ref="D53:F53"/>
    <mergeCell ref="G53:H53"/>
    <mergeCell ref="I53:J53"/>
    <mergeCell ref="K53:L53"/>
    <mergeCell ref="M53:N53"/>
    <mergeCell ref="B54:C54"/>
    <mergeCell ref="M54:N54"/>
    <mergeCell ref="D54:F54"/>
    <mergeCell ref="G54:H54"/>
    <mergeCell ref="B55:C55"/>
    <mergeCell ref="D55:F55"/>
    <mergeCell ref="G55:H55"/>
    <mergeCell ref="D56:F56"/>
    <mergeCell ref="G56:H56"/>
    <mergeCell ref="B56:C56"/>
    <mergeCell ref="B57:C57"/>
    <mergeCell ref="D57:F57"/>
    <mergeCell ref="G57:H57"/>
    <mergeCell ref="I57:J57"/>
    <mergeCell ref="K57:L57"/>
    <mergeCell ref="M57:N57"/>
    <mergeCell ref="M66:N66"/>
    <mergeCell ref="J70:N70"/>
    <mergeCell ref="I64:J64"/>
    <mergeCell ref="K64:L64"/>
    <mergeCell ref="I65:J65"/>
    <mergeCell ref="K65:L65"/>
    <mergeCell ref="M65:N65"/>
    <mergeCell ref="I66:J66"/>
    <mergeCell ref="K66:L66"/>
    <mergeCell ref="I59:J59"/>
    <mergeCell ref="K59:L59"/>
    <mergeCell ref="I60:J60"/>
    <mergeCell ref="K60:L60"/>
    <mergeCell ref="M60:N60"/>
    <mergeCell ref="I61:J61"/>
    <mergeCell ref="K61:L61"/>
    <mergeCell ref="M61:N61"/>
    <mergeCell ref="B58:C58"/>
    <mergeCell ref="D58:F58"/>
    <mergeCell ref="G58:H58"/>
    <mergeCell ref="I58:J58"/>
    <mergeCell ref="K58:L58"/>
    <mergeCell ref="M58:N58"/>
    <mergeCell ref="B59:C59"/>
    <mergeCell ref="M59:N59"/>
    <mergeCell ref="D59:F59"/>
    <mergeCell ref="G59:H59"/>
    <mergeCell ref="B60:C60"/>
    <mergeCell ref="D60:F60"/>
    <mergeCell ref="G60:H60"/>
    <mergeCell ref="D61:F61"/>
    <mergeCell ref="G61:H61"/>
    <mergeCell ref="B61:C61"/>
    <mergeCell ref="B62:C62"/>
    <mergeCell ref="D62:F62"/>
    <mergeCell ref="G62:H62"/>
    <mergeCell ref="I62:J62"/>
    <mergeCell ref="K62:L62"/>
    <mergeCell ref="M62:N62"/>
    <mergeCell ref="B63:C63"/>
    <mergeCell ref="D63:F63"/>
    <mergeCell ref="G63:H63"/>
    <mergeCell ref="I63:J63"/>
    <mergeCell ref="K63:L63"/>
    <mergeCell ref="M63:N63"/>
    <mergeCell ref="B64:C64"/>
    <mergeCell ref="M64:N64"/>
    <mergeCell ref="B66:C66"/>
    <mergeCell ref="B67:C67"/>
    <mergeCell ref="D67:F67"/>
    <mergeCell ref="G67:H67"/>
    <mergeCell ref="I67:J67"/>
    <mergeCell ref="K67:L67"/>
    <mergeCell ref="M67:N67"/>
    <mergeCell ref="D64:F64"/>
    <mergeCell ref="G64:H64"/>
    <mergeCell ref="B65:C65"/>
    <mergeCell ref="D65:F65"/>
    <mergeCell ref="G65:H65"/>
    <mergeCell ref="D66:F66"/>
    <mergeCell ref="G66:H66"/>
    <mergeCell ref="B70:H70"/>
    <mergeCell ref="B71:H71"/>
    <mergeCell ref="J71:N71"/>
    <mergeCell ref="A72:N72"/>
    <mergeCell ref="B73:F73"/>
    <mergeCell ref="G73:J73"/>
    <mergeCell ref="K73:N73"/>
    <mergeCell ref="A73:A74"/>
    <mergeCell ref="B74:C74"/>
    <mergeCell ref="D74:F74"/>
    <mergeCell ref="G74:H74"/>
    <mergeCell ref="I74:J74"/>
    <mergeCell ref="K74:L74"/>
    <mergeCell ref="M74:N74"/>
    <mergeCell ref="I76:J76"/>
    <mergeCell ref="K76:L76"/>
    <mergeCell ref="I77:J77"/>
    <mergeCell ref="K77:L77"/>
    <mergeCell ref="M77:N77"/>
    <mergeCell ref="I78:J78"/>
    <mergeCell ref="K78:L78"/>
    <mergeCell ref="M78:N78"/>
    <mergeCell ref="B75:C75"/>
    <mergeCell ref="D75:F75"/>
    <mergeCell ref="G75:H75"/>
    <mergeCell ref="I75:J75"/>
    <mergeCell ref="K75:L75"/>
    <mergeCell ref="M75:N75"/>
    <mergeCell ref="B76:C76"/>
    <mergeCell ref="M76:N76"/>
    <mergeCell ref="D76:F76"/>
    <mergeCell ref="G76:H76"/>
    <mergeCell ref="B77:C77"/>
    <mergeCell ref="D77:F77"/>
    <mergeCell ref="G77:H77"/>
    <mergeCell ref="D78:F78"/>
    <mergeCell ref="G78:H78"/>
    <mergeCell ref="B78:C78"/>
    <mergeCell ref="B79:C79"/>
    <mergeCell ref="D79:F79"/>
    <mergeCell ref="G79:H79"/>
    <mergeCell ref="I79:J79"/>
    <mergeCell ref="K79:L79"/>
    <mergeCell ref="M79:N79"/>
    <mergeCell ref="I81:J81"/>
    <mergeCell ref="K81:L81"/>
    <mergeCell ref="B80:C80"/>
    <mergeCell ref="D80:F80"/>
    <mergeCell ref="G80:H80"/>
    <mergeCell ref="I80:J80"/>
    <mergeCell ref="K80:L80"/>
    <mergeCell ref="M80:N80"/>
    <mergeCell ref="B81:C81"/>
    <mergeCell ref="M81:N81"/>
    <mergeCell ref="D81:F81"/>
    <mergeCell ref="G81:H81"/>
    <mergeCell ref="D82:F82"/>
    <mergeCell ref="G82:H82"/>
    <mergeCell ref="I82:J82"/>
    <mergeCell ref="K82:L82"/>
    <mergeCell ref="M82:N82"/>
    <mergeCell ref="B82:C82"/>
    <mergeCell ref="B83:C83"/>
    <mergeCell ref="D83:F83"/>
    <mergeCell ref="G83:H83"/>
    <mergeCell ref="I83:J83"/>
    <mergeCell ref="K83:L83"/>
    <mergeCell ref="M83:N83"/>
    <mergeCell ref="I85:J85"/>
    <mergeCell ref="K85:L85"/>
    <mergeCell ref="I86:J86"/>
    <mergeCell ref="K86:L86"/>
    <mergeCell ref="M86:N86"/>
    <mergeCell ref="I87:J87"/>
    <mergeCell ref="K87:L87"/>
    <mergeCell ref="M87:N87"/>
    <mergeCell ref="B84:C84"/>
    <mergeCell ref="D84:F84"/>
    <mergeCell ref="G84:H84"/>
    <mergeCell ref="I84:J84"/>
    <mergeCell ref="K84:L84"/>
    <mergeCell ref="M84:N84"/>
    <mergeCell ref="B85:C85"/>
    <mergeCell ref="M85:N85"/>
    <mergeCell ref="D85:F85"/>
    <mergeCell ref="G85:H85"/>
    <mergeCell ref="B86:C86"/>
    <mergeCell ref="D86:F86"/>
    <mergeCell ref="G86:H86"/>
    <mergeCell ref="D87:F87"/>
    <mergeCell ref="G87:H87"/>
    <mergeCell ref="B87:C87"/>
    <mergeCell ref="B88:C88"/>
    <mergeCell ref="D88:F88"/>
    <mergeCell ref="G88:H88"/>
    <mergeCell ref="I88:J88"/>
    <mergeCell ref="K88:L88"/>
    <mergeCell ref="M88:N88"/>
    <mergeCell ref="G96:H96"/>
    <mergeCell ref="I96:J96"/>
    <mergeCell ref="G97:H97"/>
    <mergeCell ref="I97:J97"/>
    <mergeCell ref="G98:H98"/>
    <mergeCell ref="I98:J98"/>
    <mergeCell ref="I99:J99"/>
    <mergeCell ref="G107:H107"/>
    <mergeCell ref="G108:H108"/>
    <mergeCell ref="G109:H109"/>
    <mergeCell ref="G110:H110"/>
    <mergeCell ref="G111:H111"/>
    <mergeCell ref="G112:H112"/>
    <mergeCell ref="G99:H99"/>
    <mergeCell ref="G100:H100"/>
    <mergeCell ref="G102:H102"/>
    <mergeCell ref="G103:H103"/>
    <mergeCell ref="G104:H104"/>
    <mergeCell ref="G105:H105"/>
    <mergeCell ref="G106:H106"/>
    <mergeCell ref="I108:J108"/>
    <mergeCell ref="I109:J109"/>
    <mergeCell ref="I110:J110"/>
    <mergeCell ref="I111:J111"/>
    <mergeCell ref="I112:J112"/>
    <mergeCell ref="I100:J100"/>
    <mergeCell ref="I102:J102"/>
    <mergeCell ref="I103:J103"/>
    <mergeCell ref="I104:J104"/>
    <mergeCell ref="I105:J105"/>
    <mergeCell ref="I106:J106"/>
    <mergeCell ref="I107:J107"/>
    <mergeCell ref="K99:L99"/>
    <mergeCell ref="K100:L100"/>
    <mergeCell ref="G101:H101"/>
    <mergeCell ref="I101:J101"/>
    <mergeCell ref="K101:L101"/>
    <mergeCell ref="K102:L102"/>
    <mergeCell ref="K103:L103"/>
    <mergeCell ref="K111:L111"/>
    <mergeCell ref="K112:L112"/>
    <mergeCell ref="K104:L104"/>
    <mergeCell ref="K105:L105"/>
    <mergeCell ref="K106:L106"/>
    <mergeCell ref="K107:L107"/>
    <mergeCell ref="K108:L108"/>
    <mergeCell ref="K109:L109"/>
    <mergeCell ref="K110:L1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J115:N115"/>
    <mergeCell ref="D118:F118"/>
    <mergeCell ref="G118:H118"/>
    <mergeCell ref="B115:H115"/>
    <mergeCell ref="A116:N116"/>
    <mergeCell ref="A117:A118"/>
    <mergeCell ref="B117:F117"/>
    <mergeCell ref="G117:J117"/>
    <mergeCell ref="K117:N117"/>
    <mergeCell ref="B118:C118"/>
    <mergeCell ref="M118:N118"/>
    <mergeCell ref="I118:J118"/>
    <mergeCell ref="K118:L118"/>
    <mergeCell ref="D119:F119"/>
    <mergeCell ref="G119:H119"/>
    <mergeCell ref="I119:J119"/>
    <mergeCell ref="K119:L119"/>
    <mergeCell ref="M119:N119"/>
    <mergeCell ref="B119:C119"/>
    <mergeCell ref="B120:C120"/>
    <mergeCell ref="D120:F120"/>
    <mergeCell ref="G120:H120"/>
    <mergeCell ref="I120:J120"/>
    <mergeCell ref="K120:L120"/>
    <mergeCell ref="M120:N120"/>
    <mergeCell ref="B96:C96"/>
    <mergeCell ref="D96:F96"/>
    <mergeCell ref="B97:C97"/>
    <mergeCell ref="D97:F97"/>
    <mergeCell ref="B98:C98"/>
    <mergeCell ref="D98:F98"/>
    <mergeCell ref="D99:F99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00:F100"/>
    <mergeCell ref="D101:F101"/>
    <mergeCell ref="B102:C102"/>
    <mergeCell ref="D102:F102"/>
    <mergeCell ref="B103:C103"/>
    <mergeCell ref="D103:F103"/>
    <mergeCell ref="D104:F104"/>
    <mergeCell ref="B111:C111"/>
    <mergeCell ref="B112:C112"/>
    <mergeCell ref="B104:C104"/>
    <mergeCell ref="B105:C105"/>
    <mergeCell ref="B106:C106"/>
    <mergeCell ref="B107:C107"/>
    <mergeCell ref="B108:C108"/>
    <mergeCell ref="B109:C109"/>
    <mergeCell ref="B110:C110"/>
    <mergeCell ref="I90:J90"/>
    <mergeCell ref="K90:L90"/>
    <mergeCell ref="J92:N92"/>
    <mergeCell ref="J93:N93"/>
    <mergeCell ref="B89:C89"/>
    <mergeCell ref="D89:F89"/>
    <mergeCell ref="G89:H89"/>
    <mergeCell ref="I89:J89"/>
    <mergeCell ref="K89:L89"/>
    <mergeCell ref="M89:N89"/>
    <mergeCell ref="B90:C90"/>
    <mergeCell ref="M90:N90"/>
    <mergeCell ref="G95:J95"/>
    <mergeCell ref="K95:N95"/>
    <mergeCell ref="D90:F90"/>
    <mergeCell ref="G90:H90"/>
    <mergeCell ref="B92:H92"/>
    <mergeCell ref="B93:H93"/>
    <mergeCell ref="A94:N94"/>
    <mergeCell ref="A95:A96"/>
    <mergeCell ref="B95:F95"/>
    <mergeCell ref="B99:C99"/>
    <mergeCell ref="B100:C100"/>
    <mergeCell ref="B101:C101"/>
    <mergeCell ref="K96:L96"/>
    <mergeCell ref="M96:N96"/>
    <mergeCell ref="K97:L97"/>
    <mergeCell ref="M97:N97"/>
    <mergeCell ref="K98:L98"/>
    <mergeCell ref="M98:N98"/>
    <mergeCell ref="M99:N99"/>
    <mergeCell ref="I122:J122"/>
    <mergeCell ref="K122:L122"/>
    <mergeCell ref="B121:C121"/>
    <mergeCell ref="D121:F121"/>
    <mergeCell ref="G121:H121"/>
    <mergeCell ref="I121:J121"/>
    <mergeCell ref="K121:L121"/>
    <mergeCell ref="M121:N121"/>
    <mergeCell ref="B122:C122"/>
    <mergeCell ref="M122:N122"/>
    <mergeCell ref="D122:F122"/>
    <mergeCell ref="G122:H122"/>
    <mergeCell ref="D123:F123"/>
    <mergeCell ref="G123:H123"/>
    <mergeCell ref="I123:J123"/>
    <mergeCell ref="K123:L123"/>
    <mergeCell ref="M123:N123"/>
    <mergeCell ref="B123:C123"/>
    <mergeCell ref="B124:C124"/>
    <mergeCell ref="D124:F124"/>
    <mergeCell ref="G124:H124"/>
    <mergeCell ref="I124:J124"/>
    <mergeCell ref="K124:L124"/>
    <mergeCell ref="M124:N124"/>
    <mergeCell ref="I126:J126"/>
    <mergeCell ref="K126:L126"/>
    <mergeCell ref="I127:J127"/>
    <mergeCell ref="K127:L127"/>
    <mergeCell ref="M127:N127"/>
    <mergeCell ref="I128:J128"/>
    <mergeCell ref="K128:L128"/>
    <mergeCell ref="M128:N128"/>
    <mergeCell ref="B125:C125"/>
    <mergeCell ref="D125:F125"/>
    <mergeCell ref="G125:H125"/>
    <mergeCell ref="I125:J125"/>
    <mergeCell ref="K125:L125"/>
    <mergeCell ref="M125:N125"/>
    <mergeCell ref="B126:C126"/>
    <mergeCell ref="M126:N126"/>
    <mergeCell ref="D126:F126"/>
    <mergeCell ref="G126:H126"/>
    <mergeCell ref="B127:C127"/>
    <mergeCell ref="D127:F127"/>
    <mergeCell ref="G127:H127"/>
    <mergeCell ref="D128:F128"/>
    <mergeCell ref="G128:H128"/>
    <mergeCell ref="B128:C128"/>
    <mergeCell ref="B129:C129"/>
    <mergeCell ref="D129:F129"/>
    <mergeCell ref="G129:H129"/>
    <mergeCell ref="I129:J129"/>
    <mergeCell ref="K129:L129"/>
    <mergeCell ref="M129:N129"/>
    <mergeCell ref="B141:C141"/>
    <mergeCell ref="D141:F141"/>
    <mergeCell ref="B137:H137"/>
    <mergeCell ref="B138:H138"/>
    <mergeCell ref="A139:N139"/>
    <mergeCell ref="A140:A141"/>
    <mergeCell ref="B140:F140"/>
    <mergeCell ref="G140:J140"/>
    <mergeCell ref="K140:N140"/>
    <mergeCell ref="D143:F143"/>
    <mergeCell ref="G143:H143"/>
    <mergeCell ref="K143:L143"/>
    <mergeCell ref="M143:N143"/>
    <mergeCell ref="G141:H141"/>
    <mergeCell ref="I141:J141"/>
    <mergeCell ref="B142:C142"/>
    <mergeCell ref="D142:F142"/>
    <mergeCell ref="G142:H142"/>
    <mergeCell ref="I142:J142"/>
    <mergeCell ref="I143:J143"/>
    <mergeCell ref="B130:C130"/>
    <mergeCell ref="D130:F130"/>
    <mergeCell ref="G130:H130"/>
    <mergeCell ref="I130:J130"/>
    <mergeCell ref="K130:L130"/>
    <mergeCell ref="M130:N130"/>
    <mergeCell ref="B131:C131"/>
    <mergeCell ref="M131:N131"/>
    <mergeCell ref="B133:C133"/>
    <mergeCell ref="B134:C134"/>
    <mergeCell ref="D134:F134"/>
    <mergeCell ref="G134:H134"/>
    <mergeCell ref="I134:J134"/>
    <mergeCell ref="K134:L134"/>
    <mergeCell ref="M134:N134"/>
    <mergeCell ref="M133:N133"/>
    <mergeCell ref="J137:N137"/>
    <mergeCell ref="J138:N138"/>
    <mergeCell ref="I131:J131"/>
    <mergeCell ref="K131:L131"/>
    <mergeCell ref="I132:J132"/>
    <mergeCell ref="K132:L132"/>
    <mergeCell ref="M132:N132"/>
    <mergeCell ref="I133:J133"/>
    <mergeCell ref="K133:L133"/>
    <mergeCell ref="D131:F131"/>
    <mergeCell ref="G131:H131"/>
    <mergeCell ref="B132:C132"/>
    <mergeCell ref="D132:F132"/>
    <mergeCell ref="G132:H132"/>
    <mergeCell ref="D133:F133"/>
    <mergeCell ref="G133:H133"/>
    <mergeCell ref="K141:L141"/>
    <mergeCell ref="M141:N141"/>
    <mergeCell ref="K142:L142"/>
    <mergeCell ref="M142:N142"/>
    <mergeCell ref="B143:C143"/>
    <mergeCell ref="B144:C144"/>
    <mergeCell ref="D144:F144"/>
    <mergeCell ref="G144:H144"/>
    <mergeCell ref="I144:J144"/>
    <mergeCell ref="K144:L144"/>
    <mergeCell ref="M144:N144"/>
    <mergeCell ref="D156:F156"/>
    <mergeCell ref="G156:H156"/>
    <mergeCell ref="B155:C155"/>
    <mergeCell ref="D155:F155"/>
    <mergeCell ref="G155:H155"/>
    <mergeCell ref="I155:J155"/>
    <mergeCell ref="K155:L155"/>
    <mergeCell ref="M155:N155"/>
    <mergeCell ref="B156:C156"/>
    <mergeCell ref="K157:L157"/>
    <mergeCell ref="M157:N157"/>
    <mergeCell ref="I156:J156"/>
    <mergeCell ref="K156:L156"/>
    <mergeCell ref="M156:N156"/>
    <mergeCell ref="B157:C157"/>
    <mergeCell ref="D157:F157"/>
    <mergeCell ref="G157:H157"/>
    <mergeCell ref="I157:J157"/>
    <mergeCell ref="G163:J163"/>
    <mergeCell ref="K163:N163"/>
    <mergeCell ref="G164:H164"/>
    <mergeCell ref="I164:J164"/>
    <mergeCell ref="K164:L164"/>
    <mergeCell ref="M164:N164"/>
    <mergeCell ref="B160:H160"/>
    <mergeCell ref="J160:N160"/>
    <mergeCell ref="B161:H161"/>
    <mergeCell ref="J161:N161"/>
    <mergeCell ref="A162:N162"/>
    <mergeCell ref="A163:A164"/>
    <mergeCell ref="B163:F163"/>
    <mergeCell ref="B164:C164"/>
    <mergeCell ref="D164:F164"/>
    <mergeCell ref="D165:F165"/>
    <mergeCell ref="G165:H165"/>
    <mergeCell ref="I165:J165"/>
    <mergeCell ref="K165:L165"/>
    <mergeCell ref="M165:N165"/>
    <mergeCell ref="B165:C165"/>
    <mergeCell ref="B166:C166"/>
    <mergeCell ref="D166:F166"/>
    <mergeCell ref="G166:H166"/>
    <mergeCell ref="I166:J166"/>
    <mergeCell ref="K166:L166"/>
    <mergeCell ref="M166:N166"/>
    <mergeCell ref="D168:F168"/>
    <mergeCell ref="G168:H168"/>
    <mergeCell ref="B167:C167"/>
    <mergeCell ref="D167:F167"/>
    <mergeCell ref="G167:H167"/>
    <mergeCell ref="I167:J167"/>
    <mergeCell ref="K167:L167"/>
    <mergeCell ref="M167:N167"/>
    <mergeCell ref="B168:C168"/>
    <mergeCell ref="M168:N168"/>
    <mergeCell ref="I168:J168"/>
    <mergeCell ref="K168:L168"/>
    <mergeCell ref="D169:F169"/>
    <mergeCell ref="G169:H169"/>
    <mergeCell ref="I169:J169"/>
    <mergeCell ref="K169:L169"/>
    <mergeCell ref="M169:N169"/>
    <mergeCell ref="B169:C169"/>
    <mergeCell ref="B170:C170"/>
    <mergeCell ref="D170:F170"/>
    <mergeCell ref="G170:H170"/>
    <mergeCell ref="I170:J170"/>
    <mergeCell ref="K170:L170"/>
    <mergeCell ref="M170:N170"/>
    <mergeCell ref="D172:F172"/>
    <mergeCell ref="G172:H172"/>
    <mergeCell ref="B171:C171"/>
    <mergeCell ref="D171:F171"/>
    <mergeCell ref="G171:H171"/>
    <mergeCell ref="I171:J171"/>
    <mergeCell ref="K171:L171"/>
    <mergeCell ref="M171:N171"/>
    <mergeCell ref="B172:C172"/>
    <mergeCell ref="M172:N172"/>
    <mergeCell ref="I172:J172"/>
    <mergeCell ref="K172:L172"/>
    <mergeCell ref="D173:F173"/>
    <mergeCell ref="G173:H173"/>
    <mergeCell ref="I173:J173"/>
    <mergeCell ref="K173:L173"/>
    <mergeCell ref="M173:N173"/>
    <mergeCell ref="B173:C173"/>
    <mergeCell ref="B174:C174"/>
    <mergeCell ref="D174:F174"/>
    <mergeCell ref="G174:H174"/>
    <mergeCell ref="I174:J174"/>
    <mergeCell ref="K174:L174"/>
    <mergeCell ref="M174:N174"/>
    <mergeCell ref="M202:N202"/>
    <mergeCell ref="J205:N205"/>
    <mergeCell ref="I200:J200"/>
    <mergeCell ref="K200:L200"/>
    <mergeCell ref="I201:J201"/>
    <mergeCell ref="K201:L201"/>
    <mergeCell ref="M201:N201"/>
    <mergeCell ref="I202:J202"/>
    <mergeCell ref="K202:L202"/>
    <mergeCell ref="I195:J195"/>
    <mergeCell ref="K195:L195"/>
    <mergeCell ref="I196:J196"/>
    <mergeCell ref="K196:L196"/>
    <mergeCell ref="M196:N196"/>
    <mergeCell ref="I197:J197"/>
    <mergeCell ref="K197:L197"/>
    <mergeCell ref="M197:N197"/>
    <mergeCell ref="B194:C194"/>
    <mergeCell ref="D194:F194"/>
    <mergeCell ref="G194:H194"/>
    <mergeCell ref="I194:J194"/>
    <mergeCell ref="K194:L194"/>
    <mergeCell ref="M194:N194"/>
    <mergeCell ref="B195:C195"/>
    <mergeCell ref="M195:N195"/>
    <mergeCell ref="D195:F195"/>
    <mergeCell ref="G195:H195"/>
    <mergeCell ref="B196:C196"/>
    <mergeCell ref="D196:F196"/>
    <mergeCell ref="G196:H196"/>
    <mergeCell ref="D197:F197"/>
    <mergeCell ref="G197:H197"/>
    <mergeCell ref="B197:C197"/>
    <mergeCell ref="B198:C198"/>
    <mergeCell ref="D198:F198"/>
    <mergeCell ref="G198:H198"/>
    <mergeCell ref="I198:J198"/>
    <mergeCell ref="K198:L198"/>
    <mergeCell ref="M198:N198"/>
    <mergeCell ref="B199:C199"/>
    <mergeCell ref="D199:F199"/>
    <mergeCell ref="G199:H199"/>
    <mergeCell ref="I199:J199"/>
    <mergeCell ref="K199:L199"/>
    <mergeCell ref="M199:N199"/>
    <mergeCell ref="B200:C200"/>
    <mergeCell ref="M200:N200"/>
    <mergeCell ref="B202:C202"/>
    <mergeCell ref="B203:C203"/>
    <mergeCell ref="D203:F203"/>
    <mergeCell ref="G203:H203"/>
    <mergeCell ref="I203:J203"/>
    <mergeCell ref="K203:L203"/>
    <mergeCell ref="M203:N203"/>
    <mergeCell ref="D200:F200"/>
    <mergeCell ref="G200:H200"/>
    <mergeCell ref="B201:C201"/>
    <mergeCell ref="D201:F201"/>
    <mergeCell ref="G201:H201"/>
    <mergeCell ref="D202:F202"/>
    <mergeCell ref="G202:H20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4.88"/>
    <col customWidth="1" min="3" max="3" width="4.13"/>
    <col customWidth="1" min="4" max="4" width="4.5"/>
    <col customWidth="1" min="5" max="5" width="2.75"/>
    <col customWidth="1" min="6" max="6" width="2.0"/>
    <col customWidth="1" min="7" max="7" width="7.75"/>
    <col customWidth="1" min="8" max="8" width="0.38"/>
    <col customWidth="1" min="9" max="9" width="5.0"/>
    <col customWidth="1" min="10" max="10" width="5.13"/>
    <col customWidth="1" min="11" max="11" width="6.75"/>
    <col customWidth="1" min="12" max="12" width="0.38"/>
    <col customWidth="1" min="13" max="13" width="4.5"/>
    <col customWidth="1" min="14" max="14" width="2.25"/>
    <col customWidth="1" min="15" max="15" width="9.5"/>
    <col customWidth="1" min="16" max="16" width="9.38"/>
    <col customWidth="1" min="17" max="17" width="8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1" t="s">
        <v>2</v>
      </c>
      <c r="J1" s="5" t="s">
        <v>3</v>
      </c>
      <c r="K1" s="3"/>
      <c r="L1" s="3"/>
      <c r="M1" s="3"/>
      <c r="N1" s="4"/>
      <c r="O1" s="6"/>
      <c r="P1" s="7"/>
      <c r="Q1" s="8"/>
    </row>
    <row r="2">
      <c r="A2" s="1" t="s">
        <v>4</v>
      </c>
      <c r="B2" s="37" t="s">
        <v>42</v>
      </c>
      <c r="C2" s="3"/>
      <c r="D2" s="3"/>
      <c r="E2" s="3"/>
      <c r="F2" s="3"/>
      <c r="G2" s="3"/>
      <c r="H2" s="4"/>
      <c r="I2" s="1" t="s">
        <v>6</v>
      </c>
      <c r="J2" s="10">
        <v>2.0</v>
      </c>
      <c r="K2" s="3"/>
      <c r="L2" s="3"/>
      <c r="M2" s="3"/>
      <c r="N2" s="4"/>
      <c r="O2" s="6"/>
      <c r="P2" s="7"/>
      <c r="Q2" s="8"/>
    </row>
    <row r="3">
      <c r="A3" s="11" t="s">
        <v>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12" t="s">
        <v>8</v>
      </c>
      <c r="P3" s="13" t="s">
        <v>9</v>
      </c>
      <c r="Q3" s="14" t="s">
        <v>10</v>
      </c>
    </row>
    <row r="4">
      <c r="A4" s="15" t="s">
        <v>11</v>
      </c>
      <c r="B4" s="2" t="s">
        <v>12</v>
      </c>
      <c r="C4" s="3"/>
      <c r="D4" s="3"/>
      <c r="E4" s="3"/>
      <c r="F4" s="4"/>
      <c r="G4" s="2" t="s">
        <v>13</v>
      </c>
      <c r="H4" s="3"/>
      <c r="I4" s="3"/>
      <c r="J4" s="3"/>
      <c r="K4" s="10" t="s">
        <v>14</v>
      </c>
      <c r="L4" s="3"/>
      <c r="M4" s="3"/>
      <c r="N4" s="4"/>
      <c r="O4" s="6"/>
      <c r="P4" s="7"/>
      <c r="Q4" s="8"/>
    </row>
    <row r="5">
      <c r="A5" s="16"/>
      <c r="B5" s="17" t="s">
        <v>15</v>
      </c>
      <c r="C5" s="4"/>
      <c r="D5" s="17" t="s">
        <v>16</v>
      </c>
      <c r="E5" s="3"/>
      <c r="F5" s="4"/>
      <c r="G5" s="17" t="s">
        <v>15</v>
      </c>
      <c r="H5" s="4"/>
      <c r="I5" s="17" t="s">
        <v>16</v>
      </c>
      <c r="J5" s="4"/>
      <c r="K5" s="17" t="s">
        <v>15</v>
      </c>
      <c r="L5" s="4"/>
      <c r="M5" s="17" t="s">
        <v>16</v>
      </c>
      <c r="N5" s="4"/>
      <c r="O5" s="6"/>
      <c r="P5" s="7"/>
      <c r="Q5" s="8"/>
    </row>
    <row r="6">
      <c r="A6" s="18" t="s">
        <v>43</v>
      </c>
      <c r="B6" s="38"/>
      <c r="C6" s="39"/>
      <c r="D6" s="40"/>
      <c r="E6" s="41"/>
      <c r="F6" s="39"/>
      <c r="G6" s="19"/>
      <c r="H6" s="4"/>
      <c r="I6" s="19"/>
      <c r="J6" s="4"/>
      <c r="K6" s="19"/>
      <c r="L6" s="4"/>
      <c r="M6" s="20"/>
      <c r="N6" s="4"/>
      <c r="O6" s="6"/>
      <c r="P6" s="21">
        <v>0.375</v>
      </c>
      <c r="Q6" s="8"/>
    </row>
    <row r="7">
      <c r="A7" s="18" t="s">
        <v>44</v>
      </c>
      <c r="B7" s="42"/>
      <c r="C7" s="43"/>
      <c r="D7" s="42"/>
      <c r="E7" s="44"/>
      <c r="F7" s="43"/>
      <c r="G7" s="19"/>
      <c r="H7" s="4"/>
      <c r="I7" s="20"/>
      <c r="J7" s="4"/>
      <c r="K7" s="19"/>
      <c r="L7" s="4"/>
      <c r="M7" s="20"/>
      <c r="N7" s="4"/>
      <c r="O7" s="6"/>
      <c r="P7" s="21">
        <v>0.375</v>
      </c>
      <c r="Q7" s="8"/>
    </row>
    <row r="8">
      <c r="A8" s="22" t="s">
        <v>45</v>
      </c>
      <c r="B8" s="45"/>
      <c r="C8" s="46"/>
      <c r="D8" s="45"/>
      <c r="E8" s="47"/>
      <c r="F8" s="46"/>
      <c r="G8" s="19"/>
      <c r="H8" s="4"/>
      <c r="I8" s="20"/>
      <c r="J8" s="4"/>
      <c r="K8" s="19"/>
      <c r="L8" s="4"/>
      <c r="M8" s="19"/>
      <c r="N8" s="4"/>
      <c r="O8" s="6"/>
      <c r="P8" s="21">
        <v>0.375</v>
      </c>
      <c r="Q8" s="8"/>
    </row>
    <row r="9">
      <c r="A9" s="22" t="s">
        <v>46</v>
      </c>
      <c r="B9" s="20"/>
      <c r="C9" s="4"/>
      <c r="D9" s="20"/>
      <c r="E9" s="3"/>
      <c r="F9" s="4"/>
      <c r="G9" s="19"/>
      <c r="H9" s="4"/>
      <c r="I9" s="19"/>
      <c r="J9" s="4"/>
      <c r="K9" s="19"/>
      <c r="L9" s="4"/>
      <c r="M9" s="19"/>
      <c r="N9" s="4"/>
      <c r="O9" s="6"/>
      <c r="P9" s="21">
        <v>0.375</v>
      </c>
      <c r="Q9" s="8"/>
    </row>
    <row r="10">
      <c r="A10" s="18" t="s">
        <v>47</v>
      </c>
      <c r="B10" s="20"/>
      <c r="C10" s="4"/>
      <c r="D10" s="20"/>
      <c r="E10" s="3"/>
      <c r="F10" s="4"/>
      <c r="G10" s="19"/>
      <c r="H10" s="4"/>
      <c r="I10" s="19"/>
      <c r="J10" s="4"/>
      <c r="K10" s="19"/>
      <c r="L10" s="4"/>
      <c r="M10" s="19"/>
      <c r="N10" s="4"/>
      <c r="O10" s="6"/>
      <c r="P10" s="21"/>
      <c r="Q10" s="8"/>
    </row>
    <row r="11">
      <c r="A11" s="18" t="s">
        <v>48</v>
      </c>
      <c r="B11" s="20"/>
      <c r="C11" s="4"/>
      <c r="D11" s="20"/>
      <c r="E11" s="3"/>
      <c r="F11" s="4"/>
      <c r="G11" s="25"/>
      <c r="H11" s="3"/>
      <c r="I11" s="26"/>
      <c r="J11" s="3"/>
      <c r="K11" s="24"/>
      <c r="L11" s="3"/>
      <c r="M11" s="24"/>
      <c r="N11" s="4"/>
      <c r="O11" s="6"/>
      <c r="P11" s="21">
        <v>0.375</v>
      </c>
      <c r="Q11" s="8"/>
    </row>
    <row r="12">
      <c r="A12" s="18" t="s">
        <v>49</v>
      </c>
      <c r="B12" s="20"/>
      <c r="C12" s="4"/>
      <c r="D12" s="20"/>
      <c r="E12" s="3"/>
      <c r="F12" s="4"/>
      <c r="G12" s="19"/>
      <c r="H12" s="4"/>
      <c r="I12" s="19"/>
      <c r="J12" s="4"/>
      <c r="K12" s="19"/>
      <c r="L12" s="4"/>
      <c r="M12" s="20"/>
      <c r="N12" s="4"/>
      <c r="O12" s="6"/>
      <c r="P12" s="21"/>
      <c r="Q12" s="8"/>
    </row>
    <row r="13">
      <c r="A13" s="18" t="s">
        <v>50</v>
      </c>
      <c r="B13" s="20"/>
      <c r="C13" s="4"/>
      <c r="D13" s="20"/>
      <c r="E13" s="3"/>
      <c r="F13" s="4"/>
      <c r="G13" s="19"/>
      <c r="H13" s="4"/>
      <c r="I13" s="19"/>
      <c r="J13" s="4"/>
      <c r="K13" s="19"/>
      <c r="L13" s="4"/>
      <c r="M13" s="20"/>
      <c r="N13" s="4"/>
      <c r="O13" s="6"/>
      <c r="P13" s="21">
        <v>0.375</v>
      </c>
      <c r="Q13" s="8"/>
    </row>
    <row r="14">
      <c r="A14" s="18" t="s">
        <v>51</v>
      </c>
      <c r="B14" s="20"/>
      <c r="C14" s="4"/>
      <c r="D14" s="20"/>
      <c r="E14" s="3"/>
      <c r="F14" s="4"/>
      <c r="G14" s="19"/>
      <c r="H14" s="4"/>
      <c r="I14" s="19"/>
      <c r="J14" s="4"/>
      <c r="K14" s="20"/>
      <c r="L14" s="4"/>
      <c r="M14" s="19"/>
      <c r="N14" s="4"/>
      <c r="O14" s="6"/>
      <c r="P14" s="21">
        <v>0.375</v>
      </c>
      <c r="Q14" s="8"/>
    </row>
    <row r="15">
      <c r="A15" s="22" t="s">
        <v>52</v>
      </c>
      <c r="B15" s="20"/>
      <c r="C15" s="4"/>
      <c r="D15" s="20"/>
      <c r="E15" s="3"/>
      <c r="F15" s="4"/>
      <c r="G15" s="19"/>
      <c r="H15" s="4"/>
      <c r="I15" s="19"/>
      <c r="J15" s="4"/>
      <c r="K15" s="20"/>
      <c r="L15" s="4"/>
      <c r="M15" s="19"/>
      <c r="N15" s="4"/>
      <c r="O15" s="6"/>
      <c r="P15" s="21">
        <v>0.375</v>
      </c>
      <c r="Q15" s="8"/>
    </row>
    <row r="16">
      <c r="A16" s="22" t="s">
        <v>53</v>
      </c>
      <c r="B16" s="20"/>
      <c r="C16" s="4"/>
      <c r="D16" s="20"/>
      <c r="E16" s="3"/>
      <c r="F16" s="4"/>
      <c r="G16" s="19"/>
      <c r="H16" s="4"/>
      <c r="I16" s="19"/>
      <c r="J16" s="4"/>
      <c r="K16" s="19"/>
      <c r="L16" s="4"/>
      <c r="M16" s="19"/>
      <c r="N16" s="4"/>
      <c r="O16" s="6"/>
      <c r="P16" s="21">
        <v>0.375</v>
      </c>
      <c r="Q16" s="8"/>
    </row>
    <row r="17">
      <c r="A17" s="18" t="s">
        <v>54</v>
      </c>
      <c r="B17" s="20"/>
      <c r="C17" s="4"/>
      <c r="D17" s="20"/>
      <c r="E17" s="3"/>
      <c r="F17" s="4"/>
      <c r="G17" s="19"/>
      <c r="H17" s="4"/>
      <c r="I17" s="19"/>
      <c r="J17" s="4"/>
      <c r="K17" s="19"/>
      <c r="L17" s="4"/>
      <c r="M17" s="19"/>
      <c r="N17" s="4"/>
      <c r="O17" s="6"/>
      <c r="P17" s="21"/>
      <c r="Q17" s="8"/>
    </row>
    <row r="18">
      <c r="A18" s="18" t="s">
        <v>55</v>
      </c>
      <c r="B18" s="20"/>
      <c r="C18" s="4"/>
      <c r="D18" s="20"/>
      <c r="E18" s="3"/>
      <c r="F18" s="4"/>
      <c r="G18" s="19"/>
      <c r="H18" s="4"/>
      <c r="I18" s="19"/>
      <c r="J18" s="4"/>
      <c r="K18" s="19"/>
      <c r="L18" s="4"/>
      <c r="M18" s="20"/>
      <c r="N18" s="4"/>
      <c r="O18" s="6"/>
      <c r="P18" s="21"/>
      <c r="Q18" s="8"/>
    </row>
    <row r="19">
      <c r="A19" s="18" t="s">
        <v>56</v>
      </c>
      <c r="B19" s="20"/>
      <c r="C19" s="4"/>
      <c r="D19" s="20"/>
      <c r="E19" s="3"/>
      <c r="F19" s="4"/>
      <c r="G19" s="19"/>
      <c r="H19" s="4"/>
      <c r="I19" s="19"/>
      <c r="J19" s="4"/>
      <c r="K19" s="19"/>
      <c r="L19" s="4"/>
      <c r="M19" s="20"/>
      <c r="N19" s="4"/>
      <c r="O19" s="6"/>
      <c r="P19" s="21">
        <v>0.375</v>
      </c>
      <c r="Q19" s="8"/>
    </row>
    <row r="20">
      <c r="A20" s="18" t="s">
        <v>57</v>
      </c>
      <c r="B20" s="20"/>
      <c r="C20" s="4"/>
      <c r="D20" s="20"/>
      <c r="E20" s="3"/>
      <c r="F20" s="4"/>
      <c r="G20" s="19"/>
      <c r="H20" s="4"/>
      <c r="I20" s="19"/>
      <c r="J20" s="4"/>
      <c r="K20" s="19"/>
      <c r="L20" s="4"/>
      <c r="M20" s="20"/>
      <c r="N20" s="4"/>
      <c r="O20" s="6"/>
      <c r="P20" s="21">
        <v>0.375</v>
      </c>
      <c r="Q20" s="8"/>
    </row>
    <row r="21">
      <c r="A21" s="18" t="s">
        <v>58</v>
      </c>
      <c r="B21" s="20"/>
      <c r="C21" s="4"/>
      <c r="D21" s="20"/>
      <c r="E21" s="3"/>
      <c r="F21" s="4"/>
      <c r="G21" s="19"/>
      <c r="H21" s="4"/>
      <c r="I21" s="19"/>
      <c r="J21" s="4"/>
      <c r="K21" s="19"/>
      <c r="L21" s="4"/>
      <c r="M21" s="19"/>
      <c r="N21" s="4"/>
      <c r="O21" s="6"/>
      <c r="P21" s="21"/>
      <c r="Q21" s="8"/>
    </row>
    <row r="22">
      <c r="A22" s="22" t="s">
        <v>59</v>
      </c>
      <c r="B22" s="20"/>
      <c r="C22" s="4"/>
      <c r="D22" s="19"/>
      <c r="E22" s="3"/>
      <c r="F22" s="4"/>
      <c r="G22" s="19"/>
      <c r="H22" s="4"/>
      <c r="I22" s="19"/>
      <c r="J22" s="4"/>
      <c r="K22" s="19"/>
      <c r="L22" s="4"/>
      <c r="M22" s="19"/>
      <c r="N22" s="4"/>
      <c r="O22" s="28"/>
      <c r="P22" s="7"/>
      <c r="Q22" s="8"/>
    </row>
    <row r="23">
      <c r="O23" s="6"/>
      <c r="P23" s="7"/>
      <c r="Q23" s="8"/>
    </row>
    <row r="24">
      <c r="A24" s="1" t="s">
        <v>0</v>
      </c>
      <c r="B24" s="2" t="s">
        <v>1</v>
      </c>
      <c r="C24" s="3"/>
      <c r="D24" s="3"/>
      <c r="E24" s="3"/>
      <c r="F24" s="3"/>
      <c r="G24" s="3"/>
      <c r="H24" s="4"/>
      <c r="I24" s="1" t="s">
        <v>2</v>
      </c>
      <c r="J24" s="10" t="s">
        <v>60</v>
      </c>
      <c r="K24" s="3"/>
      <c r="L24" s="3"/>
      <c r="M24" s="3"/>
      <c r="N24" s="4"/>
      <c r="O24" s="6"/>
      <c r="P24" s="7"/>
      <c r="Q24" s="8"/>
    </row>
    <row r="25">
      <c r="A25" s="1" t="s">
        <v>4</v>
      </c>
      <c r="B25" s="37" t="s">
        <v>42</v>
      </c>
      <c r="C25" s="3"/>
      <c r="D25" s="3"/>
      <c r="E25" s="3"/>
      <c r="F25" s="3"/>
      <c r="G25" s="3"/>
      <c r="H25" s="4"/>
      <c r="I25" s="1" t="s">
        <v>6</v>
      </c>
      <c r="J25" s="10">
        <v>9.0</v>
      </c>
      <c r="K25" s="3"/>
      <c r="L25" s="3"/>
      <c r="M25" s="3"/>
      <c r="N25" s="4"/>
      <c r="O25" s="6"/>
      <c r="P25" s="7"/>
      <c r="Q25" s="8"/>
      <c r="S25" s="48" t="s">
        <v>61</v>
      </c>
    </row>
    <row r="26">
      <c r="A26" s="11" t="s">
        <v>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  <c r="O26" s="6"/>
      <c r="P26" s="7"/>
      <c r="Q26" s="8"/>
    </row>
    <row r="27">
      <c r="A27" s="15" t="s">
        <v>11</v>
      </c>
      <c r="B27" s="2" t="s">
        <v>12</v>
      </c>
      <c r="C27" s="3"/>
      <c r="D27" s="3"/>
      <c r="E27" s="3"/>
      <c r="F27" s="4"/>
      <c r="G27" s="2" t="s">
        <v>13</v>
      </c>
      <c r="H27" s="3"/>
      <c r="I27" s="3"/>
      <c r="J27" s="3"/>
      <c r="K27" s="10" t="s">
        <v>14</v>
      </c>
      <c r="L27" s="3"/>
      <c r="M27" s="3"/>
      <c r="N27" s="4"/>
      <c r="O27" s="12" t="s">
        <v>8</v>
      </c>
      <c r="P27" s="13" t="s">
        <v>9</v>
      </c>
      <c r="Q27" s="14" t="s">
        <v>10</v>
      </c>
    </row>
    <row r="28">
      <c r="A28" s="16"/>
      <c r="B28" s="17" t="s">
        <v>15</v>
      </c>
      <c r="C28" s="4"/>
      <c r="D28" s="17" t="s">
        <v>16</v>
      </c>
      <c r="E28" s="3"/>
      <c r="F28" s="4"/>
      <c r="G28" s="17" t="s">
        <v>15</v>
      </c>
      <c r="H28" s="4"/>
      <c r="I28" s="17" t="s">
        <v>16</v>
      </c>
      <c r="J28" s="4"/>
      <c r="K28" s="17" t="s">
        <v>15</v>
      </c>
      <c r="L28" s="4"/>
      <c r="M28" s="17" t="s">
        <v>16</v>
      </c>
      <c r="N28" s="4"/>
      <c r="O28" s="6"/>
      <c r="P28" s="7"/>
      <c r="Q28" s="8"/>
    </row>
    <row r="29">
      <c r="A29" s="18" t="s">
        <v>43</v>
      </c>
      <c r="B29" s="20"/>
      <c r="C29" s="4"/>
      <c r="D29" s="20"/>
      <c r="E29" s="3"/>
      <c r="F29" s="4"/>
      <c r="G29" s="19"/>
      <c r="H29" s="4"/>
      <c r="I29" s="19"/>
      <c r="J29" s="4"/>
      <c r="K29" s="19"/>
      <c r="L29" s="4"/>
      <c r="M29" s="20"/>
      <c r="N29" s="4"/>
      <c r="O29" s="6"/>
      <c r="P29" s="21">
        <v>0.3541666666666667</v>
      </c>
      <c r="Q29" s="8"/>
    </row>
    <row r="30">
      <c r="A30" s="18" t="s">
        <v>44</v>
      </c>
      <c r="B30" s="20"/>
      <c r="C30" s="4"/>
      <c r="D30" s="20"/>
      <c r="E30" s="3"/>
      <c r="F30" s="4"/>
      <c r="G30" s="19"/>
      <c r="H30" s="4"/>
      <c r="I30" s="19"/>
      <c r="J30" s="4"/>
      <c r="K30" s="19"/>
      <c r="L30" s="4"/>
      <c r="M30" s="20"/>
      <c r="N30" s="4"/>
      <c r="O30" s="6"/>
      <c r="P30" s="21">
        <v>0.3541666666666667</v>
      </c>
      <c r="Q30" s="8"/>
    </row>
    <row r="31">
      <c r="A31" s="22" t="s">
        <v>45</v>
      </c>
      <c r="B31" s="20"/>
      <c r="C31" s="4"/>
      <c r="D31" s="20"/>
      <c r="E31" s="3"/>
      <c r="F31" s="4"/>
      <c r="G31" s="19"/>
      <c r="H31" s="4"/>
      <c r="I31" s="19"/>
      <c r="J31" s="4"/>
      <c r="K31" s="19"/>
      <c r="L31" s="4"/>
      <c r="M31" s="20"/>
      <c r="N31" s="4"/>
      <c r="O31" s="6"/>
      <c r="P31" s="21">
        <v>0.3541666666666667</v>
      </c>
      <c r="Q31" s="8"/>
      <c r="R31" s="49"/>
    </row>
    <row r="32">
      <c r="A32" s="22" t="s">
        <v>46</v>
      </c>
      <c r="B32" s="29"/>
      <c r="C32" s="4"/>
      <c r="D32" s="29"/>
      <c r="E32" s="3"/>
      <c r="F32" s="4"/>
      <c r="G32" s="30"/>
      <c r="H32" s="4"/>
      <c r="I32" s="30"/>
      <c r="J32" s="4"/>
      <c r="K32" s="30"/>
      <c r="L32" s="4"/>
      <c r="M32" s="30"/>
      <c r="N32" s="4"/>
      <c r="O32" s="31"/>
      <c r="P32" s="32">
        <v>0.3541666666666667</v>
      </c>
      <c r="Q32" s="8"/>
    </row>
    <row r="33">
      <c r="A33" s="18" t="s">
        <v>47</v>
      </c>
      <c r="B33" s="20"/>
      <c r="C33" s="4"/>
      <c r="D33" s="20"/>
      <c r="E33" s="3"/>
      <c r="F33" s="4"/>
      <c r="G33" s="19"/>
      <c r="H33" s="4"/>
      <c r="I33" s="19"/>
      <c r="J33" s="4"/>
      <c r="K33" s="19"/>
      <c r="L33" s="4"/>
      <c r="M33" s="19"/>
      <c r="N33" s="4"/>
      <c r="O33" s="6"/>
      <c r="P33" s="21">
        <v>0.3541666666666667</v>
      </c>
      <c r="Q33" s="8"/>
    </row>
    <row r="34">
      <c r="A34" s="18" t="s">
        <v>48</v>
      </c>
      <c r="B34" s="20"/>
      <c r="C34" s="4"/>
      <c r="D34" s="20"/>
      <c r="E34" s="3"/>
      <c r="F34" s="4"/>
      <c r="G34" s="19"/>
      <c r="H34" s="4"/>
      <c r="I34" s="19"/>
      <c r="J34" s="4"/>
      <c r="K34" s="19"/>
      <c r="L34" s="4"/>
      <c r="M34" s="20"/>
      <c r="N34" s="4"/>
      <c r="O34" s="6"/>
      <c r="P34" s="21"/>
      <c r="Q34" s="8"/>
    </row>
    <row r="35">
      <c r="A35" s="18" t="s">
        <v>49</v>
      </c>
      <c r="B35" s="20"/>
      <c r="C35" s="4"/>
      <c r="D35" s="20"/>
      <c r="E35" s="3"/>
      <c r="F35" s="4"/>
      <c r="G35" s="19"/>
      <c r="H35" s="4"/>
      <c r="I35" s="19"/>
      <c r="J35" s="4"/>
      <c r="K35" s="20"/>
      <c r="L35" s="4"/>
      <c r="M35" s="19"/>
      <c r="N35" s="4"/>
      <c r="O35" s="6"/>
      <c r="P35" s="21"/>
      <c r="Q35" s="8"/>
    </row>
    <row r="36">
      <c r="A36" s="18" t="s">
        <v>50</v>
      </c>
      <c r="B36" s="20"/>
      <c r="C36" s="4"/>
      <c r="D36" s="19"/>
      <c r="E36" s="3"/>
      <c r="F36" s="4"/>
      <c r="G36" s="19"/>
      <c r="H36" s="4"/>
      <c r="I36" s="19"/>
      <c r="J36" s="4"/>
      <c r="K36" s="19"/>
      <c r="L36" s="4"/>
      <c r="M36" s="20"/>
      <c r="N36" s="4"/>
      <c r="O36" s="6"/>
      <c r="P36" s="21"/>
      <c r="Q36" s="8"/>
    </row>
    <row r="37">
      <c r="A37" s="18" t="s">
        <v>51</v>
      </c>
      <c r="B37" s="20"/>
      <c r="C37" s="4"/>
      <c r="D37" s="20"/>
      <c r="E37" s="3"/>
      <c r="F37" s="4"/>
      <c r="G37" s="19"/>
      <c r="H37" s="4"/>
      <c r="I37" s="20"/>
      <c r="J37" s="4"/>
      <c r="K37" s="19"/>
      <c r="L37" s="4"/>
      <c r="M37" s="19"/>
      <c r="N37" s="4"/>
      <c r="O37" s="6"/>
      <c r="P37" s="21"/>
      <c r="Q37" s="8"/>
    </row>
    <row r="38">
      <c r="A38" s="22" t="s">
        <v>52</v>
      </c>
      <c r="B38" s="20"/>
      <c r="C38" s="4"/>
      <c r="D38" s="19"/>
      <c r="E38" s="3"/>
      <c r="F38" s="4"/>
      <c r="G38" s="19"/>
      <c r="H38" s="4"/>
      <c r="I38" s="19"/>
      <c r="J38" s="4"/>
      <c r="K38" s="19"/>
      <c r="L38" s="4"/>
      <c r="M38" s="20"/>
      <c r="N38" s="4"/>
      <c r="O38" s="6"/>
      <c r="P38" s="21"/>
      <c r="Q38" s="8"/>
    </row>
    <row r="39">
      <c r="A39" s="22" t="s">
        <v>53</v>
      </c>
      <c r="B39" s="29"/>
      <c r="C39" s="4"/>
      <c r="D39" s="29"/>
      <c r="E39" s="3"/>
      <c r="F39" s="4"/>
      <c r="G39" s="30"/>
      <c r="H39" s="4"/>
      <c r="I39" s="30"/>
      <c r="J39" s="4"/>
      <c r="K39" s="30"/>
      <c r="L39" s="4"/>
      <c r="M39" s="30"/>
      <c r="N39" s="4"/>
      <c r="O39" s="31"/>
      <c r="P39" s="32"/>
      <c r="Q39" s="8"/>
    </row>
    <row r="40">
      <c r="A40" s="18" t="s">
        <v>54</v>
      </c>
      <c r="B40" s="29"/>
      <c r="C40" s="4"/>
      <c r="D40" s="29"/>
      <c r="E40" s="3"/>
      <c r="F40" s="4"/>
      <c r="G40" s="30"/>
      <c r="H40" s="4"/>
      <c r="I40" s="30"/>
      <c r="J40" s="4"/>
      <c r="K40" s="30"/>
      <c r="L40" s="4"/>
      <c r="M40" s="30"/>
      <c r="N40" s="4"/>
      <c r="O40" s="31"/>
      <c r="P40" s="32"/>
      <c r="Q40" s="8"/>
    </row>
    <row r="41">
      <c r="A41" s="18" t="s">
        <v>55</v>
      </c>
      <c r="B41" s="20"/>
      <c r="C41" s="4"/>
      <c r="D41" s="20"/>
      <c r="E41" s="3"/>
      <c r="F41" s="4"/>
      <c r="G41" s="19"/>
      <c r="H41" s="4"/>
      <c r="I41" s="19"/>
      <c r="J41" s="4"/>
      <c r="K41" s="19"/>
      <c r="L41" s="4"/>
      <c r="M41" s="20"/>
      <c r="N41" s="4"/>
      <c r="O41" s="6"/>
      <c r="P41" s="21"/>
      <c r="Q41" s="8"/>
    </row>
    <row r="42">
      <c r="A42" s="18" t="s">
        <v>56</v>
      </c>
      <c r="B42" s="20">
        <v>0.39166666666666666</v>
      </c>
      <c r="C42" s="4"/>
      <c r="D42" s="20">
        <v>0.8048611111111111</v>
      </c>
      <c r="E42" s="3"/>
      <c r="F42" s="4"/>
      <c r="G42" s="19"/>
      <c r="H42" s="4"/>
      <c r="I42" s="19"/>
      <c r="J42" s="4"/>
      <c r="K42" s="19"/>
      <c r="L42" s="4"/>
      <c r="M42" s="20"/>
      <c r="N42" s="4"/>
      <c r="O42" s="6">
        <f>D42-B42</f>
        <v>0.4131944444</v>
      </c>
      <c r="P42" s="21">
        <v>0.3541666666666667</v>
      </c>
      <c r="Q42" s="8">
        <f>O42-P42</f>
        <v>0.05902777778</v>
      </c>
    </row>
    <row r="43">
      <c r="A43" s="18" t="s">
        <v>57</v>
      </c>
      <c r="B43" s="20"/>
      <c r="C43" s="4"/>
      <c r="D43" s="19"/>
      <c r="E43" s="3"/>
      <c r="F43" s="4"/>
      <c r="G43" s="19"/>
      <c r="H43" s="4"/>
      <c r="I43" s="19"/>
      <c r="J43" s="4"/>
      <c r="K43" s="19"/>
      <c r="L43" s="4"/>
      <c r="M43" s="20"/>
      <c r="N43" s="4"/>
      <c r="O43" s="6"/>
      <c r="P43" s="21"/>
      <c r="Q43" s="8"/>
    </row>
    <row r="44">
      <c r="A44" s="18" t="s">
        <v>58</v>
      </c>
      <c r="B44" s="33">
        <v>0.3902777777777778</v>
      </c>
      <c r="C44" s="4"/>
      <c r="D44" s="34">
        <v>0.8020833333333334</v>
      </c>
      <c r="E44" s="3"/>
      <c r="F44" s="3"/>
      <c r="G44" s="25"/>
      <c r="H44" s="3"/>
      <c r="I44" s="26"/>
      <c r="J44" s="3"/>
      <c r="K44" s="24"/>
      <c r="L44" s="3"/>
      <c r="M44" s="24"/>
      <c r="N44" s="4"/>
      <c r="O44" s="6">
        <f>D44-B44</f>
        <v>0.4118055556</v>
      </c>
      <c r="P44" s="21">
        <v>0.3541666666666667</v>
      </c>
      <c r="Q44" s="8">
        <f>O44-P44</f>
        <v>0.05763888889</v>
      </c>
    </row>
    <row r="45">
      <c r="A45" s="22" t="s">
        <v>59</v>
      </c>
      <c r="O45" s="28"/>
      <c r="P45" s="7"/>
      <c r="Q45" s="8">
        <f>Q42+Q44</f>
        <v>0.1166666667</v>
      </c>
    </row>
    <row r="46">
      <c r="O46" s="6"/>
      <c r="P46" s="7"/>
      <c r="Q46" s="8"/>
    </row>
    <row r="47">
      <c r="A47" s="1" t="s">
        <v>0</v>
      </c>
      <c r="B47" s="2" t="s">
        <v>1</v>
      </c>
      <c r="C47" s="3"/>
      <c r="D47" s="3"/>
      <c r="E47" s="3"/>
      <c r="F47" s="3"/>
      <c r="G47" s="3"/>
      <c r="H47" s="4"/>
      <c r="I47" s="1" t="s">
        <v>2</v>
      </c>
      <c r="J47" s="10" t="s">
        <v>62</v>
      </c>
      <c r="K47" s="3"/>
      <c r="L47" s="3"/>
      <c r="M47" s="3"/>
      <c r="N47" s="4"/>
      <c r="O47" s="6"/>
      <c r="P47" s="7"/>
      <c r="Q47" s="8"/>
    </row>
    <row r="48">
      <c r="A48" s="1" t="s">
        <v>4</v>
      </c>
      <c r="B48" s="37" t="s">
        <v>42</v>
      </c>
      <c r="C48" s="3"/>
      <c r="D48" s="3"/>
      <c r="E48" s="3"/>
      <c r="F48" s="3"/>
      <c r="G48" s="3"/>
      <c r="H48" s="4"/>
      <c r="I48" s="1" t="s">
        <v>6</v>
      </c>
      <c r="J48" s="10">
        <v>10.0</v>
      </c>
      <c r="K48" s="3"/>
      <c r="L48" s="3"/>
      <c r="M48" s="3"/>
      <c r="N48" s="4"/>
      <c r="O48" s="6"/>
      <c r="P48" s="7"/>
      <c r="Q48" s="8"/>
    </row>
    <row r="49">
      <c r="A49" s="11" t="s">
        <v>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4"/>
      <c r="O49" s="12" t="s">
        <v>8</v>
      </c>
      <c r="P49" s="13" t="s">
        <v>9</v>
      </c>
      <c r="Q49" s="14" t="s">
        <v>10</v>
      </c>
    </row>
    <row r="50">
      <c r="A50" s="15" t="s">
        <v>11</v>
      </c>
      <c r="B50" s="2" t="s">
        <v>12</v>
      </c>
      <c r="C50" s="3"/>
      <c r="D50" s="3"/>
      <c r="E50" s="3"/>
      <c r="F50" s="4"/>
      <c r="G50" s="2" t="s">
        <v>13</v>
      </c>
      <c r="H50" s="3"/>
      <c r="I50" s="3"/>
      <c r="J50" s="3"/>
      <c r="K50" s="10" t="s">
        <v>14</v>
      </c>
      <c r="L50" s="3"/>
      <c r="M50" s="3"/>
      <c r="N50" s="4"/>
      <c r="O50" s="6"/>
      <c r="P50" s="7"/>
      <c r="Q50" s="8"/>
    </row>
    <row r="51">
      <c r="A51" s="16"/>
      <c r="B51" s="17" t="s">
        <v>15</v>
      </c>
      <c r="C51" s="4"/>
      <c r="D51" s="17" t="s">
        <v>16</v>
      </c>
      <c r="E51" s="3"/>
      <c r="F51" s="4"/>
      <c r="G51" s="17" t="s">
        <v>15</v>
      </c>
      <c r="H51" s="4"/>
      <c r="I51" s="17" t="s">
        <v>16</v>
      </c>
      <c r="J51" s="4"/>
      <c r="K51" s="17" t="s">
        <v>15</v>
      </c>
      <c r="L51" s="4"/>
      <c r="M51" s="17" t="s">
        <v>16</v>
      </c>
      <c r="N51" s="4"/>
      <c r="O51" s="6"/>
      <c r="P51" s="7"/>
      <c r="Q51" s="8"/>
    </row>
    <row r="52">
      <c r="A52" s="18" t="s">
        <v>43</v>
      </c>
      <c r="B52" s="20">
        <v>0.3138888888888889</v>
      </c>
      <c r="C52" s="4"/>
      <c r="D52" s="20">
        <v>0.7729166666666667</v>
      </c>
      <c r="E52" s="3"/>
      <c r="F52" s="4"/>
      <c r="G52" s="20"/>
      <c r="H52" s="4"/>
      <c r="I52" s="19"/>
      <c r="J52" s="4"/>
      <c r="K52" s="19"/>
      <c r="L52" s="4"/>
      <c r="M52" s="20"/>
      <c r="N52" s="4"/>
      <c r="O52" s="6">
        <f t="shared" ref="O52:O54" si="1">D52-B52</f>
        <v>0.4590277778</v>
      </c>
      <c r="P52" s="21">
        <v>0.375</v>
      </c>
      <c r="Q52" s="8">
        <f t="shared" ref="Q52:Q54" si="2">O52-P52</f>
        <v>0.08402777778</v>
      </c>
    </row>
    <row r="53">
      <c r="A53" s="18" t="s">
        <v>44</v>
      </c>
      <c r="B53" s="20">
        <v>0.3763888888888889</v>
      </c>
      <c r="C53" s="4"/>
      <c r="D53" s="20">
        <v>0.8152777777777778</v>
      </c>
      <c r="E53" s="3"/>
      <c r="F53" s="4"/>
      <c r="G53" s="19"/>
      <c r="H53" s="4"/>
      <c r="I53" s="19"/>
      <c r="J53" s="4"/>
      <c r="K53" s="19"/>
      <c r="L53" s="4"/>
      <c r="M53" s="20"/>
      <c r="N53" s="4"/>
      <c r="O53" s="6">
        <f t="shared" si="1"/>
        <v>0.4388888889</v>
      </c>
      <c r="P53" s="21">
        <v>0.375</v>
      </c>
      <c r="Q53" s="8">
        <f t="shared" si="2"/>
        <v>0.06388888889</v>
      </c>
    </row>
    <row r="54">
      <c r="A54" s="22" t="s">
        <v>45</v>
      </c>
      <c r="B54" s="20">
        <v>0.32222222222222224</v>
      </c>
      <c r="C54" s="4"/>
      <c r="D54" s="20">
        <v>0.8027777777777778</v>
      </c>
      <c r="E54" s="3"/>
      <c r="F54" s="4"/>
      <c r="G54" s="19"/>
      <c r="H54" s="4"/>
      <c r="I54" s="19"/>
      <c r="J54" s="4"/>
      <c r="K54" s="20"/>
      <c r="L54" s="4"/>
      <c r="M54" s="19"/>
      <c r="N54" s="4"/>
      <c r="O54" s="6">
        <f t="shared" si="1"/>
        <v>0.4805555556</v>
      </c>
      <c r="P54" s="21">
        <v>0.375</v>
      </c>
      <c r="Q54" s="8">
        <f t="shared" si="2"/>
        <v>0.1055555556</v>
      </c>
    </row>
    <row r="55">
      <c r="A55" s="22" t="s">
        <v>46</v>
      </c>
      <c r="B55" s="20"/>
      <c r="C55" s="4"/>
      <c r="D55" s="20"/>
      <c r="E55" s="3"/>
      <c r="F55" s="4"/>
      <c r="G55" s="19"/>
      <c r="H55" s="4"/>
      <c r="I55" s="19"/>
      <c r="J55" s="4"/>
      <c r="K55" s="19"/>
      <c r="L55" s="4"/>
      <c r="M55" s="19"/>
      <c r="N55" s="4"/>
      <c r="O55" s="6"/>
      <c r="P55" s="21"/>
      <c r="Q55" s="8"/>
    </row>
    <row r="56">
      <c r="A56" s="18" t="s">
        <v>47</v>
      </c>
      <c r="B56" s="20">
        <v>0.29375</v>
      </c>
      <c r="C56" s="4"/>
      <c r="D56" s="20">
        <v>0.8277777777777777</v>
      </c>
      <c r="E56" s="3"/>
      <c r="F56" s="4"/>
      <c r="G56" s="19"/>
      <c r="H56" s="4"/>
      <c r="I56" s="19"/>
      <c r="J56" s="4"/>
      <c r="K56" s="19"/>
      <c r="L56" s="4"/>
      <c r="M56" s="19"/>
      <c r="N56" s="4"/>
      <c r="O56" s="6">
        <f t="shared" ref="O56:O61" si="3">D56-B56</f>
        <v>0.5340277778</v>
      </c>
      <c r="P56" s="21">
        <v>0.375</v>
      </c>
      <c r="Q56" s="8">
        <f t="shared" ref="Q56:Q61" si="4">O56-P56</f>
        <v>0.1590277778</v>
      </c>
    </row>
    <row r="57">
      <c r="A57" s="18" t="s">
        <v>48</v>
      </c>
      <c r="B57" s="33">
        <v>0.2125</v>
      </c>
      <c r="C57" s="4"/>
      <c r="D57" s="34">
        <v>0.7930555555555555</v>
      </c>
      <c r="E57" s="3"/>
      <c r="F57" s="3"/>
      <c r="G57" s="25"/>
      <c r="H57" s="3"/>
      <c r="I57" s="26"/>
      <c r="J57" s="3"/>
      <c r="K57" s="24"/>
      <c r="L57" s="3"/>
      <c r="M57" s="24"/>
      <c r="N57" s="4"/>
      <c r="O57" s="6">
        <f t="shared" si="3"/>
        <v>0.5805555556</v>
      </c>
      <c r="P57" s="21">
        <v>0.375</v>
      </c>
      <c r="Q57" s="8">
        <f t="shared" si="4"/>
        <v>0.2055555556</v>
      </c>
    </row>
    <row r="58">
      <c r="A58" s="18" t="s">
        <v>49</v>
      </c>
      <c r="B58" s="20">
        <v>0.38055555555555554</v>
      </c>
      <c r="C58" s="4"/>
      <c r="D58" s="20">
        <v>0.8041666666666667</v>
      </c>
      <c r="E58" s="3"/>
      <c r="F58" s="4"/>
      <c r="G58" s="19"/>
      <c r="H58" s="4"/>
      <c r="I58" s="19"/>
      <c r="J58" s="4"/>
      <c r="K58" s="20"/>
      <c r="L58" s="4"/>
      <c r="M58" s="19"/>
      <c r="N58" s="4"/>
      <c r="O58" s="6">
        <f t="shared" si="3"/>
        <v>0.4236111111</v>
      </c>
      <c r="P58" s="21">
        <v>0.375</v>
      </c>
      <c r="Q58" s="8">
        <f t="shared" si="4"/>
        <v>0.04861111111</v>
      </c>
    </row>
    <row r="59">
      <c r="A59" s="18" t="s">
        <v>50</v>
      </c>
      <c r="B59" s="20">
        <v>0.38055555555555554</v>
      </c>
      <c r="C59" s="4"/>
      <c r="D59" s="20">
        <v>0.8125</v>
      </c>
      <c r="E59" s="3"/>
      <c r="F59" s="4"/>
      <c r="G59" s="20"/>
      <c r="H59" s="4"/>
      <c r="I59" s="19"/>
      <c r="J59" s="4"/>
      <c r="K59" s="20"/>
      <c r="L59" s="4"/>
      <c r="M59" s="19"/>
      <c r="N59" s="4"/>
      <c r="O59" s="6">
        <f t="shared" si="3"/>
        <v>0.4319444444</v>
      </c>
      <c r="P59" s="21">
        <v>0.375</v>
      </c>
      <c r="Q59" s="8">
        <f t="shared" si="4"/>
        <v>0.05694444444</v>
      </c>
    </row>
    <row r="60">
      <c r="A60" s="18" t="s">
        <v>51</v>
      </c>
      <c r="B60" s="20">
        <v>0.2625</v>
      </c>
      <c r="C60" s="4"/>
      <c r="D60" s="20">
        <v>0.84375</v>
      </c>
      <c r="E60" s="3"/>
      <c r="F60" s="4"/>
      <c r="G60" s="19"/>
      <c r="H60" s="4"/>
      <c r="I60" s="20"/>
      <c r="J60" s="4"/>
      <c r="K60" s="19"/>
      <c r="L60" s="4"/>
      <c r="M60" s="19"/>
      <c r="N60" s="4"/>
      <c r="O60" s="6">
        <f t="shared" si="3"/>
        <v>0.58125</v>
      </c>
      <c r="P60" s="21">
        <v>0.375</v>
      </c>
      <c r="Q60" s="8">
        <f t="shared" si="4"/>
        <v>0.20625</v>
      </c>
      <c r="R60" s="48">
        <v>78.79</v>
      </c>
    </row>
    <row r="61">
      <c r="A61" s="22" t="s">
        <v>52</v>
      </c>
      <c r="B61" s="20">
        <v>0.3680555555555556</v>
      </c>
      <c r="C61" s="4"/>
      <c r="D61" s="20">
        <v>0.8118055555555556</v>
      </c>
      <c r="E61" s="3"/>
      <c r="F61" s="4"/>
      <c r="G61" s="19"/>
      <c r="H61" s="4"/>
      <c r="I61" s="19"/>
      <c r="J61" s="4"/>
      <c r="K61" s="19"/>
      <c r="L61" s="4"/>
      <c r="M61" s="20"/>
      <c r="N61" s="4"/>
      <c r="O61" s="6">
        <f t="shared" si="3"/>
        <v>0.44375</v>
      </c>
      <c r="P61" s="21">
        <v>0.375</v>
      </c>
      <c r="Q61" s="8">
        <f t="shared" si="4"/>
        <v>0.06875</v>
      </c>
    </row>
    <row r="62">
      <c r="A62" s="22" t="s">
        <v>53</v>
      </c>
      <c r="B62" s="19"/>
      <c r="C62" s="4"/>
      <c r="D62" s="19"/>
      <c r="E62" s="3"/>
      <c r="F62" s="4"/>
      <c r="G62" s="19"/>
      <c r="H62" s="4"/>
      <c r="I62" s="19"/>
      <c r="J62" s="4"/>
      <c r="K62" s="19"/>
      <c r="L62" s="4"/>
      <c r="M62" s="19"/>
      <c r="N62" s="4"/>
      <c r="O62" s="6"/>
      <c r="P62" s="7"/>
      <c r="Q62" s="8"/>
    </row>
    <row r="63">
      <c r="A63" s="18" t="s">
        <v>54</v>
      </c>
      <c r="B63" s="20">
        <v>0.2513888888888889</v>
      </c>
      <c r="C63" s="4"/>
      <c r="D63" s="20">
        <v>0.8333333333333334</v>
      </c>
      <c r="E63" s="3"/>
      <c r="F63" s="4"/>
      <c r="G63" s="19"/>
      <c r="H63" s="4"/>
      <c r="I63" s="19"/>
      <c r="J63" s="4"/>
      <c r="K63" s="19"/>
      <c r="L63" s="4"/>
      <c r="M63" s="19"/>
      <c r="N63" s="4"/>
      <c r="O63" s="6">
        <f t="shared" ref="O63:O67" si="5">D63-B63</f>
        <v>0.5819444444</v>
      </c>
      <c r="P63" s="21">
        <v>0.375</v>
      </c>
      <c r="Q63" s="8">
        <f t="shared" ref="Q63:Q67" si="6">O63-P63</f>
        <v>0.2069444444</v>
      </c>
    </row>
    <row r="64">
      <c r="A64" s="18" t="s">
        <v>55</v>
      </c>
      <c r="B64" s="20">
        <v>0.2847222222222222</v>
      </c>
      <c r="C64" s="4"/>
      <c r="D64" s="20">
        <v>0.825</v>
      </c>
      <c r="E64" s="3"/>
      <c r="F64" s="4"/>
      <c r="G64" s="19"/>
      <c r="H64" s="4"/>
      <c r="I64" s="20"/>
      <c r="J64" s="4"/>
      <c r="K64" s="19"/>
      <c r="L64" s="4"/>
      <c r="M64" s="19"/>
      <c r="N64" s="4"/>
      <c r="O64" s="6">
        <f t="shared" si="5"/>
        <v>0.5402777778</v>
      </c>
      <c r="P64" s="21">
        <v>0.375</v>
      </c>
      <c r="Q64" s="8">
        <f t="shared" si="6"/>
        <v>0.1652777778</v>
      </c>
    </row>
    <row r="65">
      <c r="A65" s="18" t="s">
        <v>56</v>
      </c>
      <c r="B65" s="20">
        <v>0.29583333333333334</v>
      </c>
      <c r="C65" s="4"/>
      <c r="D65" s="20">
        <v>0.8305555555555556</v>
      </c>
      <c r="E65" s="3"/>
      <c r="F65" s="4"/>
      <c r="G65" s="19"/>
      <c r="H65" s="4"/>
      <c r="I65" s="19"/>
      <c r="J65" s="4"/>
      <c r="K65" s="19"/>
      <c r="L65" s="4"/>
      <c r="M65" s="20"/>
      <c r="N65" s="4"/>
      <c r="O65" s="6">
        <f t="shared" si="5"/>
        <v>0.5347222222</v>
      </c>
      <c r="P65" s="21">
        <v>0.375</v>
      </c>
      <c r="Q65" s="8">
        <f t="shared" si="6"/>
        <v>0.1597222222</v>
      </c>
    </row>
    <row r="66">
      <c r="A66" s="18" t="s">
        <v>57</v>
      </c>
      <c r="B66" s="20">
        <v>0.375</v>
      </c>
      <c r="C66" s="4"/>
      <c r="D66" s="20">
        <v>0.8125</v>
      </c>
      <c r="E66" s="3"/>
      <c r="F66" s="4"/>
      <c r="G66" s="19"/>
      <c r="H66" s="4"/>
      <c r="I66" s="19"/>
      <c r="J66" s="4"/>
      <c r="K66" s="19"/>
      <c r="L66" s="4"/>
      <c r="M66" s="20"/>
      <c r="N66" s="4"/>
      <c r="O66" s="6">
        <f t="shared" si="5"/>
        <v>0.4375</v>
      </c>
      <c r="P66" s="21">
        <v>0.375</v>
      </c>
      <c r="Q66" s="8">
        <f t="shared" si="6"/>
        <v>0.0625</v>
      </c>
    </row>
    <row r="67">
      <c r="A67" s="18" t="s">
        <v>58</v>
      </c>
      <c r="B67" s="33">
        <v>0.18263888888888888</v>
      </c>
      <c r="C67" s="4"/>
      <c r="D67" s="34">
        <v>0.8125</v>
      </c>
      <c r="E67" s="3"/>
      <c r="F67" s="3"/>
      <c r="G67" s="25"/>
      <c r="H67" s="3"/>
      <c r="I67" s="26"/>
      <c r="J67" s="3"/>
      <c r="K67" s="24"/>
      <c r="L67" s="3"/>
      <c r="M67" s="24"/>
      <c r="N67" s="4"/>
      <c r="O67" s="6">
        <f t="shared" si="5"/>
        <v>0.6298611111</v>
      </c>
      <c r="P67" s="21">
        <v>0.375</v>
      </c>
      <c r="Q67" s="8">
        <f t="shared" si="6"/>
        <v>0.2548611111</v>
      </c>
    </row>
    <row r="68">
      <c r="A68" s="22" t="s">
        <v>59</v>
      </c>
      <c r="O68" s="28" t="s">
        <v>10</v>
      </c>
      <c r="P68" s="7"/>
      <c r="Q68" s="8">
        <f>Q52+Q53+Q54+Q56+Q57+Q58+Q59+Q60+Q61+Q63+Q64+Q65+Q66+Q67</f>
        <v>1.847916667</v>
      </c>
      <c r="R68" s="50">
        <f>R52+R55+R56+R67+S52</f>
        <v>0</v>
      </c>
    </row>
    <row r="69">
      <c r="O69" s="6"/>
      <c r="P69" s="7"/>
      <c r="Q69" s="8"/>
    </row>
    <row r="70">
      <c r="A70" s="1" t="s">
        <v>0</v>
      </c>
      <c r="B70" s="2" t="s">
        <v>1</v>
      </c>
      <c r="C70" s="3"/>
      <c r="D70" s="3"/>
      <c r="E70" s="3"/>
      <c r="F70" s="3"/>
      <c r="G70" s="3"/>
      <c r="H70" s="4"/>
      <c r="I70" s="1" t="s">
        <v>2</v>
      </c>
      <c r="J70" s="10" t="s">
        <v>63</v>
      </c>
      <c r="K70" s="3"/>
      <c r="L70" s="3"/>
      <c r="M70" s="3"/>
      <c r="N70" s="4"/>
      <c r="O70" s="6"/>
      <c r="P70" s="7"/>
      <c r="Q70" s="8"/>
    </row>
    <row r="71">
      <c r="A71" s="1" t="s">
        <v>4</v>
      </c>
      <c r="B71" s="37" t="s">
        <v>64</v>
      </c>
      <c r="C71" s="3"/>
      <c r="D71" s="3"/>
      <c r="E71" s="3"/>
      <c r="F71" s="3"/>
      <c r="G71" s="3"/>
      <c r="H71" s="4"/>
      <c r="I71" s="1" t="s">
        <v>6</v>
      </c>
      <c r="J71" s="10">
        <v>8.0</v>
      </c>
      <c r="K71" s="3"/>
      <c r="L71" s="3"/>
      <c r="M71" s="3"/>
      <c r="N71" s="4"/>
      <c r="O71" s="6"/>
      <c r="P71" s="7"/>
      <c r="Q71" s="8"/>
    </row>
    <row r="72">
      <c r="A72" s="11" t="s">
        <v>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4"/>
      <c r="O72" s="12" t="s">
        <v>8</v>
      </c>
      <c r="P72" s="13" t="s">
        <v>9</v>
      </c>
      <c r="Q72" s="14" t="s">
        <v>10</v>
      </c>
    </row>
    <row r="73">
      <c r="A73" s="15" t="s">
        <v>11</v>
      </c>
      <c r="B73" s="2" t="s">
        <v>12</v>
      </c>
      <c r="C73" s="3"/>
      <c r="D73" s="3"/>
      <c r="E73" s="3"/>
      <c r="F73" s="4"/>
      <c r="G73" s="2" t="s">
        <v>13</v>
      </c>
      <c r="H73" s="3"/>
      <c r="I73" s="3"/>
      <c r="J73" s="3"/>
      <c r="K73" s="10" t="s">
        <v>14</v>
      </c>
      <c r="L73" s="3"/>
      <c r="M73" s="3"/>
      <c r="N73" s="4"/>
      <c r="O73" s="6"/>
      <c r="P73" s="7"/>
      <c r="Q73" s="8"/>
    </row>
    <row r="74">
      <c r="A74" s="16"/>
      <c r="B74" s="17" t="s">
        <v>15</v>
      </c>
      <c r="C74" s="4"/>
      <c r="D74" s="17" t="s">
        <v>16</v>
      </c>
      <c r="E74" s="3"/>
      <c r="F74" s="4"/>
      <c r="G74" s="17" t="s">
        <v>15</v>
      </c>
      <c r="H74" s="4"/>
      <c r="I74" s="17" t="s">
        <v>16</v>
      </c>
      <c r="J74" s="4"/>
      <c r="K74" s="17" t="s">
        <v>15</v>
      </c>
      <c r="L74" s="4"/>
      <c r="M74" s="17" t="s">
        <v>16</v>
      </c>
      <c r="N74" s="4"/>
      <c r="O74" s="6"/>
      <c r="P74" s="7"/>
      <c r="Q74" s="8"/>
    </row>
    <row r="75">
      <c r="A75" s="18" t="s">
        <v>65</v>
      </c>
      <c r="B75" s="20">
        <v>0.40902777777777777</v>
      </c>
      <c r="C75" s="4"/>
      <c r="D75" s="20">
        <v>0.8270833333333333</v>
      </c>
      <c r="E75" s="3"/>
      <c r="F75" s="4"/>
      <c r="G75" s="19"/>
      <c r="H75" s="4"/>
      <c r="I75" s="19"/>
      <c r="J75" s="4"/>
      <c r="K75" s="20"/>
      <c r="L75" s="4"/>
      <c r="M75" s="19"/>
      <c r="N75" s="4"/>
      <c r="O75" s="6">
        <f>D75-B75</f>
        <v>0.4180555556</v>
      </c>
      <c r="P75" s="21">
        <v>0.3541666666666667</v>
      </c>
      <c r="Q75" s="8">
        <f>O75-P75</f>
        <v>0.06388888889</v>
      </c>
      <c r="R75" s="48">
        <v>136.54</v>
      </c>
      <c r="S75" s="50">
        <f>R75</f>
        <v>136.54</v>
      </c>
    </row>
    <row r="76">
      <c r="A76" s="18" t="s">
        <v>66</v>
      </c>
      <c r="B76" s="33"/>
      <c r="C76" s="4"/>
      <c r="D76" s="34"/>
      <c r="E76" s="3"/>
      <c r="F76" s="3"/>
      <c r="G76" s="25"/>
      <c r="H76" s="3"/>
      <c r="I76" s="26"/>
      <c r="J76" s="3"/>
      <c r="K76" s="24"/>
      <c r="L76" s="3"/>
      <c r="M76" s="24"/>
      <c r="N76" s="4"/>
      <c r="O76" s="6"/>
      <c r="P76" s="21"/>
      <c r="Q76" s="8"/>
    </row>
    <row r="77">
      <c r="A77" s="18" t="s">
        <v>67</v>
      </c>
      <c r="B77" s="20"/>
      <c r="C77" s="4"/>
      <c r="D77" s="20"/>
      <c r="E77" s="3"/>
      <c r="F77" s="4"/>
      <c r="G77" s="19"/>
      <c r="H77" s="4"/>
      <c r="I77" s="20"/>
      <c r="J77" s="4"/>
      <c r="K77" s="19"/>
      <c r="L77" s="4"/>
      <c r="M77" s="19"/>
      <c r="N77" s="4"/>
      <c r="O77" s="6"/>
      <c r="P77" s="21"/>
      <c r="Q77" s="8"/>
    </row>
    <row r="78">
      <c r="A78" s="18" t="s">
        <v>68</v>
      </c>
      <c r="B78" s="20">
        <v>0.3638888888888889</v>
      </c>
      <c r="C78" s="4"/>
      <c r="D78" s="20">
        <v>0.8513888888888889</v>
      </c>
      <c r="E78" s="3"/>
      <c r="F78" s="4"/>
      <c r="G78" s="19"/>
      <c r="H78" s="4"/>
      <c r="I78" s="19"/>
      <c r="J78" s="4"/>
      <c r="K78" s="19"/>
      <c r="L78" s="4"/>
      <c r="M78" s="19"/>
      <c r="N78" s="4"/>
      <c r="O78" s="6">
        <f>D78-B78</f>
        <v>0.4875</v>
      </c>
      <c r="P78" s="21">
        <v>0.3541666666666667</v>
      </c>
      <c r="Q78" s="8">
        <f>O78-P78</f>
        <v>0.1333333333</v>
      </c>
      <c r="R78" s="48">
        <v>322.73</v>
      </c>
    </row>
    <row r="79">
      <c r="A79" s="22" t="s">
        <v>69</v>
      </c>
      <c r="B79" s="20"/>
      <c r="C79" s="4"/>
      <c r="D79" s="20"/>
      <c r="E79" s="3"/>
      <c r="F79" s="4"/>
      <c r="G79" s="19"/>
      <c r="H79" s="4"/>
      <c r="I79" s="19"/>
      <c r="J79" s="4"/>
      <c r="K79" s="19"/>
      <c r="L79" s="4"/>
      <c r="M79" s="19"/>
      <c r="N79" s="4"/>
      <c r="O79" s="6"/>
      <c r="P79" s="21"/>
      <c r="Q79" s="8"/>
    </row>
    <row r="80">
      <c r="A80" s="22" t="s">
        <v>70</v>
      </c>
      <c r="B80" s="20"/>
      <c r="C80" s="4"/>
      <c r="D80" s="20"/>
      <c r="E80" s="3"/>
      <c r="F80" s="4"/>
      <c r="G80" s="19"/>
      <c r="H80" s="4"/>
      <c r="I80" s="20"/>
      <c r="J80" s="4"/>
      <c r="K80" s="19"/>
      <c r="L80" s="4"/>
      <c r="M80" s="19"/>
      <c r="N80" s="4"/>
      <c r="O80" s="6"/>
      <c r="P80" s="21"/>
      <c r="Q80" s="8"/>
    </row>
    <row r="81">
      <c r="A81" s="18" t="s">
        <v>71</v>
      </c>
      <c r="B81" s="20"/>
      <c r="C81" s="4"/>
      <c r="D81" s="19"/>
      <c r="E81" s="3"/>
      <c r="F81" s="4"/>
      <c r="G81" s="19"/>
      <c r="H81" s="4"/>
      <c r="I81" s="19"/>
      <c r="J81" s="4"/>
      <c r="K81" s="20"/>
      <c r="L81" s="4"/>
      <c r="M81" s="19"/>
      <c r="N81" s="4"/>
      <c r="O81" s="6"/>
      <c r="P81" s="21"/>
      <c r="Q81" s="8"/>
    </row>
    <row r="82">
      <c r="A82" s="18" t="s">
        <v>72</v>
      </c>
      <c r="B82" s="20"/>
      <c r="C82" s="4"/>
      <c r="D82" s="19"/>
      <c r="E82" s="3"/>
      <c r="F82" s="4"/>
      <c r="G82" s="19"/>
      <c r="H82" s="4"/>
      <c r="I82" s="19"/>
      <c r="J82" s="4"/>
      <c r="K82" s="20"/>
      <c r="L82" s="4"/>
      <c r="M82" s="19"/>
      <c r="N82" s="4"/>
      <c r="O82" s="6"/>
      <c r="P82" s="21"/>
      <c r="Q82" s="8"/>
    </row>
    <row r="83">
      <c r="A83" s="18" t="s">
        <v>73</v>
      </c>
      <c r="B83" s="20"/>
      <c r="C83" s="4"/>
      <c r="D83" s="20"/>
      <c r="E83" s="3"/>
      <c r="F83" s="4"/>
      <c r="G83" s="19"/>
      <c r="H83" s="4"/>
      <c r="I83" s="20"/>
      <c r="J83" s="4"/>
      <c r="K83" s="19"/>
      <c r="L83" s="4"/>
      <c r="M83" s="19"/>
      <c r="N83" s="4"/>
      <c r="O83" s="6"/>
      <c r="P83" s="21"/>
      <c r="Q83" s="8"/>
    </row>
    <row r="84">
      <c r="A84" s="18" t="s">
        <v>74</v>
      </c>
      <c r="B84" s="20">
        <v>0.3840277777777778</v>
      </c>
      <c r="C84" s="4"/>
      <c r="D84" s="20">
        <v>0.7916666666666666</v>
      </c>
      <c r="E84" s="3"/>
      <c r="F84" s="4"/>
      <c r="G84" s="19"/>
      <c r="H84" s="4"/>
      <c r="I84" s="20"/>
      <c r="J84" s="4"/>
      <c r="K84" s="19"/>
      <c r="L84" s="4"/>
      <c r="M84" s="19"/>
      <c r="N84" s="4"/>
      <c r="O84" s="6">
        <f>D84-B84</f>
        <v>0.4076388889</v>
      </c>
      <c r="P84" s="21">
        <v>0.3541666666666667</v>
      </c>
      <c r="Q84" s="8">
        <f>O84-P84</f>
        <v>0.05347222222</v>
      </c>
      <c r="R84" s="48">
        <v>121.02</v>
      </c>
    </row>
    <row r="85">
      <c r="A85" s="18" t="s">
        <v>75</v>
      </c>
      <c r="B85" s="20"/>
      <c r="C85" s="4"/>
      <c r="D85" s="20"/>
      <c r="E85" s="3"/>
      <c r="F85" s="4"/>
      <c r="G85" s="19"/>
      <c r="H85" s="4"/>
      <c r="I85" s="19"/>
      <c r="J85" s="4"/>
      <c r="K85" s="19"/>
      <c r="L85" s="4"/>
      <c r="M85" s="19"/>
      <c r="N85" s="4"/>
      <c r="O85" s="6"/>
      <c r="P85" s="21"/>
      <c r="Q85" s="8"/>
    </row>
    <row r="86">
      <c r="A86" s="22" t="s">
        <v>76</v>
      </c>
      <c r="B86" s="20"/>
      <c r="C86" s="4"/>
      <c r="D86" s="20"/>
      <c r="E86" s="3"/>
      <c r="F86" s="4"/>
      <c r="G86" s="19"/>
      <c r="H86" s="4"/>
      <c r="I86" s="19"/>
      <c r="J86" s="4"/>
      <c r="K86" s="19"/>
      <c r="L86" s="4"/>
      <c r="M86" s="19"/>
      <c r="N86" s="4"/>
      <c r="O86" s="6"/>
      <c r="P86" s="21"/>
      <c r="Q86" s="8"/>
    </row>
    <row r="87">
      <c r="A87" s="22" t="s">
        <v>77</v>
      </c>
      <c r="B87" s="20"/>
      <c r="C87" s="4"/>
      <c r="D87" s="20"/>
      <c r="E87" s="3"/>
      <c r="F87" s="4"/>
      <c r="G87" s="19"/>
      <c r="H87" s="4"/>
      <c r="I87" s="20"/>
      <c r="J87" s="4"/>
      <c r="K87" s="19"/>
      <c r="L87" s="4"/>
      <c r="M87" s="19"/>
      <c r="N87" s="4"/>
      <c r="O87" s="6"/>
      <c r="P87" s="21"/>
      <c r="Q87" s="8"/>
    </row>
    <row r="88">
      <c r="A88" s="18" t="s">
        <v>78</v>
      </c>
      <c r="B88" s="19"/>
      <c r="C88" s="4"/>
      <c r="D88" s="20"/>
      <c r="E88" s="3"/>
      <c r="F88" s="4"/>
      <c r="G88" s="19"/>
      <c r="H88" s="4"/>
      <c r="I88" s="19"/>
      <c r="J88" s="4"/>
      <c r="K88" s="19"/>
      <c r="L88" s="4"/>
      <c r="M88" s="20"/>
      <c r="N88" s="4"/>
      <c r="O88" s="6"/>
      <c r="P88" s="21"/>
      <c r="Q88" s="8"/>
    </row>
    <row r="89">
      <c r="A89" s="18" t="s">
        <v>79</v>
      </c>
      <c r="B89" s="20"/>
      <c r="C89" s="4"/>
      <c r="D89" s="19"/>
      <c r="E89" s="3"/>
      <c r="F89" s="4"/>
      <c r="G89" s="19"/>
      <c r="H89" s="4"/>
      <c r="I89" s="19"/>
      <c r="J89" s="4"/>
      <c r="K89" s="20"/>
      <c r="L89" s="4"/>
      <c r="M89" s="19"/>
      <c r="N89" s="4"/>
      <c r="O89" s="6"/>
      <c r="P89" s="21"/>
      <c r="Q89" s="8">
        <f>Q75+Q78+Q84</f>
        <v>0.2506944444</v>
      </c>
      <c r="R89" s="50">
        <f>R75+R78+R84+S75</f>
        <v>716.83</v>
      </c>
    </row>
    <row r="90">
      <c r="A90" s="18" t="s">
        <v>80</v>
      </c>
      <c r="B90" s="23"/>
      <c r="C90" s="4"/>
      <c r="D90" s="24"/>
      <c r="E90" s="3"/>
      <c r="F90" s="3"/>
      <c r="G90" s="25"/>
      <c r="H90" s="3"/>
      <c r="I90" s="26"/>
      <c r="J90" s="3"/>
      <c r="K90" s="24"/>
      <c r="L90" s="3"/>
      <c r="M90" s="24"/>
      <c r="N90" s="4"/>
      <c r="O90" s="6"/>
      <c r="P90" s="7"/>
      <c r="Q90" s="8"/>
    </row>
    <row r="91">
      <c r="A91" s="18" t="s">
        <v>43</v>
      </c>
      <c r="O91" s="6"/>
      <c r="P91" s="7"/>
      <c r="Q91" s="8"/>
    </row>
    <row r="92">
      <c r="A92" s="1" t="s">
        <v>0</v>
      </c>
      <c r="B92" s="2" t="s">
        <v>1</v>
      </c>
      <c r="C92" s="3"/>
      <c r="D92" s="3"/>
      <c r="E92" s="3"/>
      <c r="F92" s="3"/>
      <c r="G92" s="3"/>
      <c r="H92" s="4"/>
      <c r="I92" s="1" t="s">
        <v>2</v>
      </c>
      <c r="J92" s="10" t="s">
        <v>81</v>
      </c>
      <c r="K92" s="3"/>
      <c r="L92" s="3"/>
      <c r="M92" s="3"/>
      <c r="N92" s="4"/>
      <c r="O92" s="6"/>
      <c r="P92" s="7"/>
      <c r="Q92" s="8"/>
    </row>
    <row r="93">
      <c r="A93" s="1" t="s">
        <v>4</v>
      </c>
      <c r="B93" s="37" t="s">
        <v>64</v>
      </c>
      <c r="C93" s="3"/>
      <c r="D93" s="3"/>
      <c r="E93" s="3"/>
      <c r="F93" s="3"/>
      <c r="G93" s="3"/>
      <c r="H93" s="4"/>
      <c r="I93" s="1" t="s">
        <v>6</v>
      </c>
      <c r="J93" s="10">
        <v>9.0</v>
      </c>
      <c r="K93" s="3"/>
      <c r="L93" s="3"/>
      <c r="M93" s="3"/>
      <c r="N93" s="4"/>
      <c r="O93" s="6"/>
      <c r="P93" s="7"/>
      <c r="Q93" s="8"/>
    </row>
    <row r="94">
      <c r="A94" s="11" t="s">
        <v>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4"/>
      <c r="O94" s="12" t="s">
        <v>8</v>
      </c>
      <c r="P94" s="13" t="s">
        <v>9</v>
      </c>
      <c r="Q94" s="14" t="s">
        <v>10</v>
      </c>
    </row>
    <row r="95">
      <c r="A95" s="15" t="s">
        <v>11</v>
      </c>
      <c r="B95" s="2" t="s">
        <v>12</v>
      </c>
      <c r="C95" s="3"/>
      <c r="D95" s="3"/>
      <c r="E95" s="3"/>
      <c r="F95" s="4"/>
      <c r="G95" s="2" t="s">
        <v>13</v>
      </c>
      <c r="H95" s="3"/>
      <c r="I95" s="3"/>
      <c r="J95" s="3"/>
      <c r="K95" s="10" t="s">
        <v>14</v>
      </c>
      <c r="L95" s="3"/>
      <c r="M95" s="3"/>
      <c r="N95" s="4"/>
      <c r="O95" s="6"/>
      <c r="P95" s="7"/>
      <c r="Q95" s="8"/>
    </row>
    <row r="96">
      <c r="A96" s="16"/>
      <c r="B96" s="17" t="s">
        <v>15</v>
      </c>
      <c r="C96" s="4"/>
      <c r="D96" s="17" t="s">
        <v>16</v>
      </c>
      <c r="E96" s="3"/>
      <c r="F96" s="4"/>
      <c r="G96" s="17" t="s">
        <v>15</v>
      </c>
      <c r="H96" s="4"/>
      <c r="I96" s="17" t="s">
        <v>16</v>
      </c>
      <c r="J96" s="4"/>
      <c r="K96" s="17" t="s">
        <v>15</v>
      </c>
      <c r="L96" s="4"/>
      <c r="M96" s="17" t="s">
        <v>16</v>
      </c>
      <c r="N96" s="4"/>
      <c r="O96" s="6"/>
      <c r="P96" s="7"/>
      <c r="Q96" s="8"/>
    </row>
    <row r="97">
      <c r="A97" s="18" t="s">
        <v>65</v>
      </c>
      <c r="B97" s="20"/>
      <c r="C97" s="4"/>
      <c r="D97" s="19"/>
      <c r="E97" s="3"/>
      <c r="F97" s="4"/>
      <c r="G97" s="19"/>
      <c r="H97" s="4"/>
      <c r="I97" s="19"/>
      <c r="J97" s="4"/>
      <c r="K97" s="19"/>
      <c r="L97" s="4"/>
      <c r="M97" s="20"/>
      <c r="N97" s="4"/>
      <c r="O97" s="6"/>
      <c r="P97" s="21"/>
      <c r="Q97" s="8"/>
    </row>
    <row r="98">
      <c r="A98" s="18" t="s">
        <v>66</v>
      </c>
      <c r="B98" s="23"/>
      <c r="C98" s="4"/>
      <c r="D98" s="24"/>
      <c r="E98" s="3"/>
      <c r="F98" s="3"/>
      <c r="G98" s="25"/>
      <c r="H98" s="3"/>
      <c r="I98" s="26"/>
      <c r="J98" s="3"/>
      <c r="K98" s="24"/>
      <c r="L98" s="3"/>
      <c r="M98" s="24"/>
      <c r="N98" s="4"/>
      <c r="O98" s="6"/>
      <c r="P98" s="7"/>
      <c r="Q98" s="8"/>
    </row>
    <row r="99">
      <c r="A99" s="18" t="s">
        <v>67</v>
      </c>
      <c r="B99" s="20"/>
      <c r="C99" s="4"/>
      <c r="D99" s="19"/>
      <c r="E99" s="3"/>
      <c r="F99" s="4"/>
      <c r="G99" s="19"/>
      <c r="H99" s="4"/>
      <c r="I99" s="20"/>
      <c r="J99" s="4"/>
      <c r="K99" s="19"/>
      <c r="L99" s="4"/>
      <c r="M99" s="19"/>
      <c r="N99" s="4"/>
      <c r="O99" s="6"/>
      <c r="P99" s="21"/>
      <c r="Q99" s="8"/>
    </row>
    <row r="100">
      <c r="A100" s="18" t="s">
        <v>68</v>
      </c>
      <c r="B100" s="20"/>
      <c r="C100" s="4"/>
      <c r="D100" s="20"/>
      <c r="E100" s="3"/>
      <c r="F100" s="4"/>
      <c r="G100" s="19"/>
      <c r="H100" s="4"/>
      <c r="I100" s="19"/>
      <c r="J100" s="4"/>
      <c r="K100" s="19"/>
      <c r="L100" s="4"/>
      <c r="M100" s="19"/>
      <c r="N100" s="4"/>
      <c r="O100" s="6"/>
      <c r="P100" s="21"/>
      <c r="Q100" s="8"/>
    </row>
    <row r="101">
      <c r="A101" s="22" t="s">
        <v>69</v>
      </c>
      <c r="B101" s="19"/>
      <c r="C101" s="4"/>
      <c r="D101" s="19"/>
      <c r="E101" s="3"/>
      <c r="F101" s="4"/>
      <c r="G101" s="19"/>
      <c r="H101" s="4"/>
      <c r="I101" s="19"/>
      <c r="J101" s="4"/>
      <c r="K101" s="19"/>
      <c r="L101" s="4"/>
      <c r="M101" s="19"/>
      <c r="N101" s="4"/>
      <c r="O101" s="6"/>
      <c r="P101" s="7"/>
      <c r="Q101" s="8"/>
    </row>
    <row r="102">
      <c r="A102" s="22" t="s">
        <v>70</v>
      </c>
      <c r="B102" s="20"/>
      <c r="C102" s="4"/>
      <c r="D102" s="19"/>
      <c r="E102" s="3"/>
      <c r="F102" s="4"/>
      <c r="G102" s="20"/>
      <c r="H102" s="4"/>
      <c r="I102" s="19"/>
      <c r="J102" s="4"/>
      <c r="K102" s="19"/>
      <c r="L102" s="4"/>
      <c r="M102" s="19"/>
      <c r="N102" s="4"/>
      <c r="O102" s="6"/>
      <c r="P102" s="21"/>
      <c r="Q102" s="8"/>
    </row>
    <row r="103">
      <c r="A103" s="18" t="s">
        <v>71</v>
      </c>
      <c r="B103" s="20">
        <v>0.18333333333333332</v>
      </c>
      <c r="C103" s="4"/>
      <c r="D103" s="20">
        <v>0.8895833333333333</v>
      </c>
      <c r="E103" s="3"/>
      <c r="F103" s="4"/>
      <c r="G103" s="20"/>
      <c r="H103" s="4"/>
      <c r="I103" s="19"/>
      <c r="J103" s="4"/>
      <c r="K103" s="19"/>
      <c r="L103" s="4"/>
      <c r="M103" s="19"/>
      <c r="N103" s="4"/>
      <c r="O103" s="6">
        <f t="shared" ref="O103:O108" si="7">D103-B103</f>
        <v>0.70625</v>
      </c>
      <c r="P103" s="21">
        <v>0.3541666666666667</v>
      </c>
      <c r="Q103" s="8">
        <f t="shared" ref="Q103:Q107" si="8">O103-P103</f>
        <v>0.3520833333</v>
      </c>
      <c r="R103" s="48">
        <v>760.42</v>
      </c>
    </row>
    <row r="104">
      <c r="A104" s="18" t="s">
        <v>72</v>
      </c>
      <c r="B104" s="20">
        <v>0.18472222222222223</v>
      </c>
      <c r="C104" s="4"/>
      <c r="D104" s="20">
        <v>0.8131944444444444</v>
      </c>
      <c r="E104" s="3"/>
      <c r="F104" s="4"/>
      <c r="G104" s="19"/>
      <c r="H104" s="4"/>
      <c r="I104" s="19"/>
      <c r="J104" s="4"/>
      <c r="K104" s="20"/>
      <c r="L104" s="4"/>
      <c r="M104" s="19"/>
      <c r="N104" s="4"/>
      <c r="O104" s="6">
        <f t="shared" si="7"/>
        <v>0.6284722222</v>
      </c>
      <c r="P104" s="21">
        <v>0.3541666666666667</v>
      </c>
      <c r="Q104" s="8">
        <f t="shared" si="8"/>
        <v>0.2743055556</v>
      </c>
      <c r="R104" s="48">
        <v>583.88</v>
      </c>
    </row>
    <row r="105">
      <c r="A105" s="18" t="s">
        <v>73</v>
      </c>
      <c r="B105" s="33">
        <v>0.18541666666666667</v>
      </c>
      <c r="C105" s="4"/>
      <c r="D105" s="34">
        <v>0.8347222222222223</v>
      </c>
      <c r="E105" s="3"/>
      <c r="F105" s="3"/>
      <c r="G105" s="25"/>
      <c r="H105" s="3"/>
      <c r="I105" s="26"/>
      <c r="J105" s="3"/>
      <c r="K105" s="24"/>
      <c r="L105" s="3"/>
      <c r="M105" s="24"/>
      <c r="N105" s="4"/>
      <c r="O105" s="6">
        <f t="shared" si="7"/>
        <v>0.6493055556</v>
      </c>
      <c r="P105" s="21">
        <v>0.3541666666666667</v>
      </c>
      <c r="Q105" s="8">
        <f t="shared" si="8"/>
        <v>0.2951388889</v>
      </c>
      <c r="R105" s="48">
        <v>648.24</v>
      </c>
    </row>
    <row r="106">
      <c r="A106" s="18" t="s">
        <v>74</v>
      </c>
      <c r="B106" s="20">
        <v>0.18333333333333332</v>
      </c>
      <c r="C106" s="4"/>
      <c r="D106" s="20">
        <v>0.7708333333333334</v>
      </c>
      <c r="E106" s="3"/>
      <c r="F106" s="4"/>
      <c r="G106" s="20"/>
      <c r="H106" s="4"/>
      <c r="I106" s="19"/>
      <c r="J106" s="4"/>
      <c r="K106" s="19"/>
      <c r="L106" s="4"/>
      <c r="M106" s="19"/>
      <c r="N106" s="4"/>
      <c r="O106" s="6">
        <f t="shared" si="7"/>
        <v>0.5875</v>
      </c>
      <c r="P106" s="21">
        <v>0.3541666666666667</v>
      </c>
      <c r="Q106" s="8">
        <f t="shared" si="8"/>
        <v>0.2333333333</v>
      </c>
      <c r="R106" s="48">
        <v>492.85</v>
      </c>
    </row>
    <row r="107">
      <c r="A107" s="18" t="s">
        <v>75</v>
      </c>
      <c r="B107" s="20">
        <v>0.18333333333333332</v>
      </c>
      <c r="C107" s="4"/>
      <c r="D107" s="20">
        <v>0.8333333333333334</v>
      </c>
      <c r="E107" s="3"/>
      <c r="F107" s="4"/>
      <c r="G107" s="19"/>
      <c r="H107" s="4"/>
      <c r="I107" s="19"/>
      <c r="J107" s="4"/>
      <c r="K107" s="19"/>
      <c r="L107" s="4"/>
      <c r="M107" s="19"/>
      <c r="N107" s="4"/>
      <c r="O107" s="6">
        <f t="shared" si="7"/>
        <v>0.65</v>
      </c>
      <c r="P107" s="21">
        <v>0.3541666666666667</v>
      </c>
      <c r="Q107" s="8">
        <f t="shared" si="8"/>
        <v>0.2958333333</v>
      </c>
      <c r="R107" s="48">
        <v>649.16</v>
      </c>
    </row>
    <row r="108">
      <c r="A108" s="22" t="s">
        <v>76</v>
      </c>
      <c r="B108" s="20">
        <v>0.1840277777777778</v>
      </c>
      <c r="C108" s="4"/>
      <c r="D108" s="20">
        <v>0.5423611111111111</v>
      </c>
      <c r="E108" s="3"/>
      <c r="F108" s="4"/>
      <c r="G108" s="19"/>
      <c r="H108" s="4"/>
      <c r="I108" s="19"/>
      <c r="J108" s="4"/>
      <c r="K108" s="19"/>
      <c r="L108" s="4"/>
      <c r="M108" s="19"/>
      <c r="N108" s="4"/>
      <c r="O108" s="6">
        <f t="shared" si="7"/>
        <v>0.3583333333</v>
      </c>
      <c r="P108" s="21">
        <v>0.3541666666666667</v>
      </c>
      <c r="Q108" s="8">
        <f>O108</f>
        <v>0.3583333333</v>
      </c>
      <c r="R108" s="48">
        <v>768.7</v>
      </c>
    </row>
    <row r="109">
      <c r="A109" s="22" t="s">
        <v>77</v>
      </c>
      <c r="B109" s="20"/>
      <c r="C109" s="4"/>
      <c r="D109" s="19"/>
      <c r="E109" s="3"/>
      <c r="F109" s="4"/>
      <c r="G109" s="19"/>
      <c r="H109" s="4"/>
      <c r="I109" s="19"/>
      <c r="J109" s="4"/>
      <c r="K109" s="20"/>
      <c r="L109" s="4"/>
      <c r="M109" s="19"/>
      <c r="N109" s="4"/>
      <c r="O109" s="6"/>
      <c r="P109" s="21"/>
      <c r="Q109" s="8"/>
    </row>
    <row r="110">
      <c r="A110" s="18" t="s">
        <v>78</v>
      </c>
      <c r="B110" s="19"/>
      <c r="C110" s="4"/>
      <c r="D110" s="20"/>
      <c r="E110" s="3"/>
      <c r="F110" s="4"/>
      <c r="G110" s="19"/>
      <c r="H110" s="4"/>
      <c r="I110" s="19"/>
      <c r="J110" s="4"/>
      <c r="K110" s="19"/>
      <c r="L110" s="4"/>
      <c r="M110" s="20"/>
      <c r="N110" s="4"/>
      <c r="O110" s="6"/>
      <c r="P110" s="21"/>
      <c r="Q110" s="8"/>
    </row>
    <row r="111">
      <c r="A111" s="18" t="s">
        <v>79</v>
      </c>
      <c r="B111" s="20">
        <v>0.20555555555555555</v>
      </c>
      <c r="C111" s="4"/>
      <c r="D111" s="20">
        <v>0.825</v>
      </c>
      <c r="E111" s="3"/>
      <c r="F111" s="4"/>
      <c r="G111" s="19"/>
      <c r="H111" s="4"/>
      <c r="I111" s="19"/>
      <c r="J111" s="4"/>
      <c r="K111" s="20"/>
      <c r="L111" s="4"/>
      <c r="M111" s="19"/>
      <c r="N111" s="4"/>
      <c r="O111" s="6">
        <f t="shared" ref="O111:O112" si="9">D111-B111</f>
        <v>0.6194444444</v>
      </c>
      <c r="P111" s="21">
        <v>0.3541666666666667</v>
      </c>
      <c r="Q111" s="8">
        <f t="shared" ref="Q111:Q112" si="10">O111-P111</f>
        <v>0.2652777778</v>
      </c>
      <c r="R111" s="48">
        <v>571.92</v>
      </c>
    </row>
    <row r="112">
      <c r="A112" s="18" t="s">
        <v>80</v>
      </c>
      <c r="B112" s="33">
        <v>0.18263888888888888</v>
      </c>
      <c r="C112" s="4"/>
      <c r="D112" s="34">
        <v>0.8125</v>
      </c>
      <c r="E112" s="3"/>
      <c r="F112" s="3"/>
      <c r="G112" s="25"/>
      <c r="H112" s="3"/>
      <c r="I112" s="26"/>
      <c r="J112" s="3"/>
      <c r="K112" s="24"/>
      <c r="L112" s="3"/>
      <c r="M112" s="24"/>
      <c r="N112" s="4"/>
      <c r="O112" s="6">
        <f t="shared" si="9"/>
        <v>0.6298611111</v>
      </c>
      <c r="P112" s="21">
        <v>0.3541666666666667</v>
      </c>
      <c r="Q112" s="8">
        <f t="shared" si="10"/>
        <v>0.2756944444</v>
      </c>
      <c r="R112" s="48">
        <v>585.72</v>
      </c>
    </row>
    <row r="113">
      <c r="A113" s="18" t="s">
        <v>43</v>
      </c>
      <c r="O113" s="28" t="s">
        <v>10</v>
      </c>
      <c r="P113" s="7"/>
      <c r="Q113" s="8">
        <f t="shared" ref="Q113:R113" si="11">Q103+Q104+Q105+Q106+Q107+Q108+Q111+Q112</f>
        <v>2.35</v>
      </c>
      <c r="R113" s="51">
        <f t="shared" si="11"/>
        <v>5060.89</v>
      </c>
    </row>
    <row r="114">
      <c r="O114" s="6"/>
      <c r="P114" s="7"/>
      <c r="Q114" s="8"/>
    </row>
    <row r="115">
      <c r="A115" s="1" t="s">
        <v>0</v>
      </c>
      <c r="B115" s="2" t="s">
        <v>1</v>
      </c>
      <c r="C115" s="3"/>
      <c r="D115" s="3"/>
      <c r="E115" s="3"/>
      <c r="F115" s="3"/>
      <c r="G115" s="3"/>
      <c r="H115" s="4"/>
      <c r="I115" s="1" t="s">
        <v>2</v>
      </c>
      <c r="J115" s="10" t="s">
        <v>37</v>
      </c>
      <c r="K115" s="3"/>
      <c r="L115" s="3"/>
      <c r="M115" s="3"/>
      <c r="N115" s="4"/>
      <c r="O115" s="6"/>
      <c r="P115" s="7"/>
      <c r="Q115" s="8"/>
    </row>
    <row r="116">
      <c r="A116" s="11" t="s">
        <v>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4"/>
      <c r="O116" s="12" t="s">
        <v>8</v>
      </c>
      <c r="P116" s="13" t="s">
        <v>9</v>
      </c>
      <c r="Q116" s="14" t="s">
        <v>10</v>
      </c>
    </row>
    <row r="117">
      <c r="A117" s="15" t="s">
        <v>11</v>
      </c>
      <c r="B117" s="2" t="s">
        <v>12</v>
      </c>
      <c r="C117" s="3"/>
      <c r="D117" s="3"/>
      <c r="E117" s="3"/>
      <c r="F117" s="4"/>
      <c r="G117" s="2" t="s">
        <v>13</v>
      </c>
      <c r="H117" s="3"/>
      <c r="I117" s="3"/>
      <c r="J117" s="3"/>
      <c r="K117" s="10" t="s">
        <v>14</v>
      </c>
      <c r="L117" s="3"/>
      <c r="M117" s="3"/>
      <c r="N117" s="4"/>
      <c r="O117" s="6"/>
      <c r="P117" s="7"/>
      <c r="Q117" s="8"/>
    </row>
    <row r="118">
      <c r="A118" s="16"/>
      <c r="B118" s="17" t="s">
        <v>15</v>
      </c>
      <c r="C118" s="4"/>
      <c r="D118" s="17" t="s">
        <v>16</v>
      </c>
      <c r="E118" s="3"/>
      <c r="F118" s="4"/>
      <c r="G118" s="17" t="s">
        <v>15</v>
      </c>
      <c r="H118" s="4"/>
      <c r="I118" s="17" t="s">
        <v>16</v>
      </c>
      <c r="J118" s="4"/>
      <c r="K118" s="17" t="s">
        <v>15</v>
      </c>
      <c r="L118" s="4"/>
      <c r="M118" s="17" t="s">
        <v>16</v>
      </c>
      <c r="N118" s="4"/>
      <c r="O118" s="6"/>
      <c r="P118" s="7"/>
      <c r="Q118" s="8"/>
    </row>
    <row r="119">
      <c r="A119" s="18" t="s">
        <v>65</v>
      </c>
      <c r="B119" s="33">
        <v>0.3375</v>
      </c>
      <c r="C119" s="4"/>
      <c r="D119" s="34">
        <v>0.8430555555555556</v>
      </c>
      <c r="E119" s="3"/>
      <c r="F119" s="3"/>
      <c r="G119" s="25"/>
      <c r="H119" s="3"/>
      <c r="I119" s="26"/>
      <c r="J119" s="3"/>
      <c r="K119" s="24"/>
      <c r="L119" s="3"/>
      <c r="M119" s="34"/>
      <c r="N119" s="4"/>
      <c r="O119" s="6">
        <f t="shared" ref="O119:O120" si="12">D119-B119</f>
        <v>0.5055555556</v>
      </c>
      <c r="P119" s="21">
        <v>0.3541666666666667</v>
      </c>
      <c r="Q119" s="8">
        <f t="shared" ref="Q119:Q120" si="13">O119-P119</f>
        <v>0.1513888889</v>
      </c>
    </row>
    <row r="120">
      <c r="A120" s="18" t="s">
        <v>66</v>
      </c>
      <c r="B120" s="20">
        <v>0.30833333333333335</v>
      </c>
      <c r="C120" s="4"/>
      <c r="D120" s="20">
        <v>0.7708333333333334</v>
      </c>
      <c r="E120" s="3"/>
      <c r="F120" s="4"/>
      <c r="G120" s="19"/>
      <c r="H120" s="4"/>
      <c r="I120" s="19"/>
      <c r="J120" s="4"/>
      <c r="K120" s="19"/>
      <c r="L120" s="4"/>
      <c r="M120" s="20"/>
      <c r="N120" s="4"/>
      <c r="O120" s="6">
        <f t="shared" si="12"/>
        <v>0.4625</v>
      </c>
      <c r="P120" s="21">
        <v>0.3541666666666667</v>
      </c>
      <c r="Q120" s="8">
        <f t="shared" si="13"/>
        <v>0.1083333333</v>
      </c>
    </row>
    <row r="121">
      <c r="A121" s="18" t="s">
        <v>67</v>
      </c>
      <c r="B121" s="20"/>
      <c r="C121" s="4"/>
      <c r="D121" s="20"/>
      <c r="E121" s="3"/>
      <c r="F121" s="4"/>
      <c r="G121" s="19"/>
      <c r="H121" s="4"/>
      <c r="I121" s="19"/>
      <c r="J121" s="4"/>
      <c r="K121" s="19"/>
      <c r="L121" s="4"/>
      <c r="M121" s="20"/>
      <c r="N121" s="4"/>
      <c r="O121" s="6"/>
      <c r="P121" s="21"/>
      <c r="Q121" s="8"/>
    </row>
    <row r="122">
      <c r="A122" s="18" t="s">
        <v>68</v>
      </c>
      <c r="B122" s="20">
        <v>0.34444444444444444</v>
      </c>
      <c r="C122" s="4"/>
      <c r="D122" s="20">
        <v>0.8722222222222222</v>
      </c>
      <c r="E122" s="3"/>
      <c r="F122" s="4"/>
      <c r="G122" s="19"/>
      <c r="H122" s="4"/>
      <c r="I122" s="19"/>
      <c r="J122" s="4"/>
      <c r="K122" s="19"/>
      <c r="L122" s="4"/>
      <c r="M122" s="20"/>
      <c r="N122" s="4"/>
      <c r="O122" s="35">
        <f t="shared" ref="O122:O130" si="14">D122-B122</f>
        <v>0.5277777778</v>
      </c>
      <c r="P122" s="21">
        <v>0.3541666666666667</v>
      </c>
      <c r="Q122" s="8">
        <f>O122-P122</f>
        <v>0.1736111111</v>
      </c>
    </row>
    <row r="123">
      <c r="A123" s="22" t="s">
        <v>69</v>
      </c>
      <c r="B123" s="20">
        <v>0.3888888888888889</v>
      </c>
      <c r="C123" s="4"/>
      <c r="D123" s="20">
        <v>0.8319444444444445</v>
      </c>
      <c r="E123" s="3"/>
      <c r="F123" s="4"/>
      <c r="G123" s="19"/>
      <c r="H123" s="4"/>
      <c r="I123" s="19"/>
      <c r="J123" s="4"/>
      <c r="K123" s="19"/>
      <c r="L123" s="4"/>
      <c r="M123" s="19"/>
      <c r="N123" s="4"/>
      <c r="O123" s="6">
        <f t="shared" si="14"/>
        <v>0.4430555556</v>
      </c>
      <c r="P123" s="21">
        <v>0.3541666666666667</v>
      </c>
      <c r="Q123" s="8">
        <f t="shared" ref="Q123:Q124" si="15">O123</f>
        <v>0.4430555556</v>
      </c>
    </row>
    <row r="124">
      <c r="A124" s="22" t="s">
        <v>70</v>
      </c>
      <c r="B124" s="20">
        <v>0.4027777777777778</v>
      </c>
      <c r="C124" s="4"/>
      <c r="D124" s="20">
        <v>0.6194444444444445</v>
      </c>
      <c r="E124" s="3"/>
      <c r="F124" s="4"/>
      <c r="G124" s="19"/>
      <c r="H124" s="4"/>
      <c r="I124" s="19"/>
      <c r="J124" s="4"/>
      <c r="K124" s="19"/>
      <c r="L124" s="4"/>
      <c r="M124" s="20"/>
      <c r="N124" s="4"/>
      <c r="O124" s="6">
        <f t="shared" si="14"/>
        <v>0.2166666667</v>
      </c>
      <c r="P124" s="21">
        <v>0.3541666666666667</v>
      </c>
      <c r="Q124" s="8">
        <f t="shared" si="15"/>
        <v>0.2166666667</v>
      </c>
    </row>
    <row r="125">
      <c r="A125" s="18" t="s">
        <v>71</v>
      </c>
      <c r="B125" s="20">
        <v>0.3902777777777778</v>
      </c>
      <c r="C125" s="4"/>
      <c r="D125" s="20">
        <v>0.8902777777777777</v>
      </c>
      <c r="E125" s="3"/>
      <c r="F125" s="4"/>
      <c r="G125" s="19"/>
      <c r="H125" s="4"/>
      <c r="I125" s="19"/>
      <c r="J125" s="4"/>
      <c r="K125" s="19"/>
      <c r="L125" s="4"/>
      <c r="M125" s="20"/>
      <c r="N125" s="4"/>
      <c r="O125" s="6">
        <f t="shared" si="14"/>
        <v>0.5</v>
      </c>
      <c r="P125" s="21">
        <v>0.3541666666666667</v>
      </c>
      <c r="Q125" s="8">
        <f t="shared" ref="Q125:Q129" si="16">O125-P125</f>
        <v>0.1458333333</v>
      </c>
    </row>
    <row r="126">
      <c r="A126" s="18" t="s">
        <v>72</v>
      </c>
      <c r="B126" s="33">
        <v>0.3840277777777778</v>
      </c>
      <c r="C126" s="4"/>
      <c r="D126" s="34">
        <v>0.8236111111111111</v>
      </c>
      <c r="E126" s="3"/>
      <c r="F126" s="3"/>
      <c r="G126" s="25"/>
      <c r="H126" s="3"/>
      <c r="I126" s="26"/>
      <c r="J126" s="3"/>
      <c r="K126" s="24"/>
      <c r="L126" s="3"/>
      <c r="M126" s="34"/>
      <c r="N126" s="4"/>
      <c r="O126" s="6">
        <f t="shared" si="14"/>
        <v>0.4395833333</v>
      </c>
      <c r="P126" s="21">
        <v>0.3541666666666667</v>
      </c>
      <c r="Q126" s="8">
        <f t="shared" si="16"/>
        <v>0.08541666667</v>
      </c>
    </row>
    <row r="127">
      <c r="A127" s="18" t="s">
        <v>73</v>
      </c>
      <c r="B127" s="20">
        <v>0.40694444444444444</v>
      </c>
      <c r="C127" s="4"/>
      <c r="D127" s="20">
        <v>0.8368055555555556</v>
      </c>
      <c r="E127" s="3"/>
      <c r="F127" s="4"/>
      <c r="G127" s="19"/>
      <c r="H127" s="4"/>
      <c r="I127" s="19"/>
      <c r="J127" s="4"/>
      <c r="K127" s="19"/>
      <c r="L127" s="4"/>
      <c r="M127" s="20"/>
      <c r="N127" s="4"/>
      <c r="O127" s="6">
        <f t="shared" si="14"/>
        <v>0.4298611111</v>
      </c>
      <c r="P127" s="21">
        <v>0.3541666666666667</v>
      </c>
      <c r="Q127" s="8">
        <f t="shared" si="16"/>
        <v>0.07569444444</v>
      </c>
    </row>
    <row r="128">
      <c r="A128" s="18" t="s">
        <v>74</v>
      </c>
      <c r="B128" s="20">
        <v>0.3645833333333333</v>
      </c>
      <c r="C128" s="4"/>
      <c r="D128" s="20">
        <v>0.7708333333333334</v>
      </c>
      <c r="E128" s="3"/>
      <c r="F128" s="4"/>
      <c r="G128" s="19"/>
      <c r="H128" s="4"/>
      <c r="I128" s="19"/>
      <c r="J128" s="4"/>
      <c r="K128" s="19"/>
      <c r="L128" s="4"/>
      <c r="M128" s="20"/>
      <c r="N128" s="4"/>
      <c r="O128" s="6">
        <f t="shared" si="14"/>
        <v>0.40625</v>
      </c>
      <c r="P128" s="21">
        <v>0.3541666666666667</v>
      </c>
      <c r="Q128" s="8">
        <f t="shared" si="16"/>
        <v>0.05208333333</v>
      </c>
    </row>
    <row r="129">
      <c r="A129" s="18" t="s">
        <v>75</v>
      </c>
      <c r="B129" s="20">
        <v>0.36527777777777776</v>
      </c>
      <c r="C129" s="4"/>
      <c r="D129" s="20">
        <v>0.8333333333333334</v>
      </c>
      <c r="E129" s="3"/>
      <c r="F129" s="4"/>
      <c r="G129" s="19"/>
      <c r="H129" s="4"/>
      <c r="I129" s="19"/>
      <c r="J129" s="4"/>
      <c r="K129" s="19"/>
      <c r="L129" s="4"/>
      <c r="M129" s="20"/>
      <c r="N129" s="4"/>
      <c r="O129" s="36">
        <f t="shared" si="14"/>
        <v>0.4680555556</v>
      </c>
      <c r="P129" s="21">
        <v>0.3541666666666667</v>
      </c>
      <c r="Q129" s="8">
        <f t="shared" si="16"/>
        <v>0.1138888889</v>
      </c>
    </row>
    <row r="130">
      <c r="A130" s="22" t="s">
        <v>76</v>
      </c>
      <c r="B130" s="20">
        <v>0.32569444444444445</v>
      </c>
      <c r="C130" s="4"/>
      <c r="D130" s="20">
        <v>0.8125</v>
      </c>
      <c r="E130" s="3"/>
      <c r="F130" s="4"/>
      <c r="G130" s="19"/>
      <c r="H130" s="4"/>
      <c r="I130" s="19"/>
      <c r="J130" s="4"/>
      <c r="K130" s="19"/>
      <c r="L130" s="4"/>
      <c r="M130" s="19"/>
      <c r="N130" s="4"/>
      <c r="O130" s="6">
        <f t="shared" si="14"/>
        <v>0.4868055556</v>
      </c>
      <c r="P130" s="21">
        <v>0.3541666666666667</v>
      </c>
      <c r="Q130" s="8">
        <f>O130</f>
        <v>0.4868055556</v>
      </c>
    </row>
    <row r="131">
      <c r="A131" s="22" t="s">
        <v>77</v>
      </c>
      <c r="B131" s="20"/>
      <c r="C131" s="4"/>
      <c r="D131" s="20"/>
      <c r="E131" s="3"/>
      <c r="F131" s="4"/>
      <c r="G131" s="19"/>
      <c r="H131" s="4"/>
      <c r="I131" s="19"/>
      <c r="J131" s="4"/>
      <c r="K131" s="19"/>
      <c r="L131" s="4"/>
      <c r="M131" s="20"/>
      <c r="N131" s="4"/>
      <c r="O131" s="6"/>
      <c r="P131" s="21"/>
      <c r="Q131" s="8"/>
    </row>
    <row r="132">
      <c r="A132" s="18" t="s">
        <v>78</v>
      </c>
      <c r="B132" s="33">
        <v>0.31666666666666665</v>
      </c>
      <c r="C132" s="4"/>
      <c r="D132" s="34">
        <v>0.8458333333333333</v>
      </c>
      <c r="E132" s="3"/>
      <c r="F132" s="3"/>
      <c r="G132" s="25"/>
      <c r="H132" s="3"/>
      <c r="I132" s="26"/>
      <c r="J132" s="3"/>
      <c r="K132" s="24"/>
      <c r="L132" s="3"/>
      <c r="M132" s="34"/>
      <c r="N132" s="4"/>
      <c r="O132" s="6">
        <f t="shared" ref="O132:O134" si="17">D132-B132</f>
        <v>0.5291666667</v>
      </c>
      <c r="P132" s="21">
        <v>0.3541666666666667</v>
      </c>
      <c r="Q132" s="8">
        <f t="shared" ref="Q132:Q134" si="18">O132-P132</f>
        <v>0.175</v>
      </c>
    </row>
    <row r="133">
      <c r="A133" s="18" t="s">
        <v>79</v>
      </c>
      <c r="B133" s="20">
        <v>0.3576388888888889</v>
      </c>
      <c r="C133" s="4"/>
      <c r="D133" s="20">
        <v>0.8444444444444444</v>
      </c>
      <c r="E133" s="3"/>
      <c r="F133" s="4"/>
      <c r="G133" s="19"/>
      <c r="H133" s="4"/>
      <c r="I133" s="19"/>
      <c r="J133" s="4"/>
      <c r="K133" s="19"/>
      <c r="L133" s="4"/>
      <c r="M133" s="20"/>
      <c r="N133" s="4"/>
      <c r="O133" s="6">
        <f t="shared" si="17"/>
        <v>0.4868055556</v>
      </c>
      <c r="P133" s="21">
        <v>0.3541666666666667</v>
      </c>
      <c r="Q133" s="8">
        <f t="shared" si="18"/>
        <v>0.1326388889</v>
      </c>
    </row>
    <row r="134">
      <c r="A134" s="18" t="s">
        <v>80</v>
      </c>
      <c r="B134" s="33">
        <v>0.3923611111111111</v>
      </c>
      <c r="C134" s="4"/>
      <c r="D134" s="34">
        <v>0.8243055555555555</v>
      </c>
      <c r="E134" s="3"/>
      <c r="F134" s="3"/>
      <c r="G134" s="25"/>
      <c r="H134" s="3"/>
      <c r="I134" s="26"/>
      <c r="J134" s="3"/>
      <c r="K134" s="24"/>
      <c r="L134" s="3"/>
      <c r="M134" s="24"/>
      <c r="N134" s="4"/>
      <c r="O134" s="6">
        <f t="shared" si="17"/>
        <v>0.4319444444</v>
      </c>
      <c r="P134" s="21">
        <v>0.3541666666666667</v>
      </c>
      <c r="Q134" s="8">
        <f t="shared" si="18"/>
        <v>0.07777777778</v>
      </c>
    </row>
    <row r="135">
      <c r="A135" s="18" t="s">
        <v>43</v>
      </c>
      <c r="O135" s="28" t="s">
        <v>10</v>
      </c>
      <c r="P135" s="7"/>
      <c r="Q135" s="14">
        <f>Q120+Q121+Q122+Q123+Q124+Q126+Q127+Q128+Q130+Q131+Q132+Q133</f>
        <v>1.949305556</v>
      </c>
    </row>
    <row r="136">
      <c r="O136" s="6"/>
      <c r="P136" s="7"/>
      <c r="Q136" s="8"/>
    </row>
    <row r="137">
      <c r="A137" s="1"/>
      <c r="B137" s="2"/>
      <c r="C137" s="3"/>
      <c r="D137" s="3"/>
      <c r="E137" s="3"/>
      <c r="F137" s="3"/>
      <c r="G137" s="3"/>
      <c r="H137" s="4"/>
      <c r="I137" s="1"/>
      <c r="J137" s="10"/>
      <c r="K137" s="3"/>
      <c r="L137" s="3"/>
      <c r="M137" s="3"/>
      <c r="N137" s="4"/>
      <c r="O137" s="6"/>
      <c r="P137" s="7"/>
      <c r="Q137" s="8"/>
    </row>
    <row r="138">
      <c r="A138" s="1"/>
      <c r="B138" s="37"/>
      <c r="C138" s="3"/>
      <c r="D138" s="3"/>
      <c r="E138" s="3"/>
      <c r="F138" s="3"/>
      <c r="G138" s="3"/>
      <c r="H138" s="4"/>
      <c r="I138" s="1"/>
      <c r="J138" s="10"/>
      <c r="K138" s="3"/>
      <c r="L138" s="3"/>
      <c r="M138" s="3"/>
      <c r="N138" s="4"/>
      <c r="O138" s="6"/>
      <c r="P138" s="7"/>
      <c r="Q138" s="8"/>
    </row>
    <row r="139">
      <c r="A139" s="1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4"/>
      <c r="O139" s="12"/>
      <c r="P139" s="13"/>
      <c r="Q139" s="14"/>
    </row>
    <row r="140">
      <c r="A140" s="15"/>
      <c r="B140" s="2"/>
      <c r="C140" s="3"/>
      <c r="D140" s="3"/>
      <c r="E140" s="3"/>
      <c r="F140" s="4"/>
      <c r="G140" s="2"/>
      <c r="H140" s="3"/>
      <c r="I140" s="3"/>
      <c r="J140" s="3"/>
      <c r="K140" s="10"/>
      <c r="L140" s="3"/>
      <c r="M140" s="3"/>
      <c r="N140" s="4"/>
      <c r="O140" s="6"/>
      <c r="P140" s="7"/>
      <c r="Q140" s="8"/>
    </row>
    <row r="141">
      <c r="A141" s="16"/>
      <c r="B141" s="17"/>
      <c r="C141" s="4"/>
      <c r="D141" s="17"/>
      <c r="E141" s="3"/>
      <c r="F141" s="4"/>
      <c r="G141" s="17"/>
      <c r="H141" s="4"/>
      <c r="I141" s="17"/>
      <c r="J141" s="4"/>
      <c r="K141" s="17"/>
      <c r="L141" s="4"/>
      <c r="M141" s="17"/>
      <c r="N141" s="4"/>
      <c r="O141" s="6"/>
      <c r="P141" s="7"/>
      <c r="Q141" s="8"/>
    </row>
    <row r="142">
      <c r="A142" s="18"/>
      <c r="B142" s="20"/>
      <c r="C142" s="4"/>
      <c r="D142" s="20"/>
      <c r="E142" s="3"/>
      <c r="F142" s="4"/>
      <c r="G142" s="19"/>
      <c r="H142" s="4"/>
      <c r="I142" s="20"/>
      <c r="J142" s="4"/>
      <c r="K142" s="19"/>
      <c r="L142" s="4"/>
      <c r="M142" s="19"/>
      <c r="N142" s="4"/>
      <c r="O142" s="6"/>
      <c r="P142" s="21"/>
      <c r="Q142" s="8"/>
    </row>
    <row r="143">
      <c r="A143" s="37"/>
      <c r="B143" s="20"/>
      <c r="C143" s="4"/>
      <c r="D143" s="19"/>
      <c r="E143" s="3"/>
      <c r="F143" s="4"/>
      <c r="G143" s="19"/>
      <c r="H143" s="4"/>
      <c r="I143" s="19"/>
      <c r="J143" s="4"/>
      <c r="K143" s="19"/>
      <c r="L143" s="4"/>
      <c r="M143" s="20"/>
      <c r="N143" s="4"/>
      <c r="O143" s="6"/>
      <c r="P143" s="21"/>
      <c r="Q143" s="8"/>
    </row>
    <row r="144">
      <c r="A144" s="18"/>
      <c r="B144" s="23"/>
      <c r="C144" s="4"/>
      <c r="D144" s="24"/>
      <c r="E144" s="3"/>
      <c r="F144" s="3"/>
      <c r="G144" s="25"/>
      <c r="H144" s="3"/>
      <c r="I144" s="26"/>
      <c r="J144" s="3"/>
      <c r="K144" s="24"/>
      <c r="L144" s="3"/>
      <c r="M144" s="24"/>
      <c r="N144" s="4"/>
      <c r="O144" s="6"/>
      <c r="P144" s="7"/>
      <c r="Q144" s="8"/>
    </row>
    <row r="145">
      <c r="A145" s="18"/>
      <c r="B145" s="20"/>
      <c r="C145" s="4"/>
      <c r="D145" s="20"/>
      <c r="E145" s="3"/>
      <c r="F145" s="4"/>
      <c r="G145" s="19"/>
      <c r="H145" s="4"/>
      <c r="I145" s="19"/>
      <c r="J145" s="4"/>
      <c r="K145" s="19"/>
      <c r="L145" s="4"/>
      <c r="M145" s="19"/>
      <c r="N145" s="4"/>
      <c r="O145" s="6"/>
      <c r="P145" s="21"/>
      <c r="Q145" s="8"/>
    </row>
    <row r="146">
      <c r="A146" s="18"/>
      <c r="B146" s="19"/>
      <c r="C146" s="4"/>
      <c r="D146" s="19"/>
      <c r="E146" s="3"/>
      <c r="F146" s="4"/>
      <c r="G146" s="19"/>
      <c r="H146" s="4"/>
      <c r="I146" s="19"/>
      <c r="J146" s="4"/>
      <c r="K146" s="19"/>
      <c r="L146" s="4"/>
      <c r="M146" s="19"/>
      <c r="N146" s="4"/>
      <c r="O146" s="6"/>
      <c r="P146" s="7"/>
      <c r="Q146" s="8"/>
    </row>
    <row r="147">
      <c r="A147" s="22"/>
      <c r="B147" s="20"/>
      <c r="C147" s="4"/>
      <c r="D147" s="20"/>
      <c r="E147" s="3"/>
      <c r="F147" s="4"/>
      <c r="G147" s="19"/>
      <c r="H147" s="4"/>
      <c r="I147" s="19"/>
      <c r="J147" s="4"/>
      <c r="K147" s="19"/>
      <c r="L147" s="4"/>
      <c r="M147" s="20"/>
      <c r="N147" s="4"/>
      <c r="O147" s="6"/>
      <c r="P147" s="21"/>
      <c r="Q147" s="8"/>
    </row>
    <row r="148">
      <c r="A148" s="22"/>
      <c r="B148" s="20"/>
      <c r="C148" s="4"/>
      <c r="D148" s="19"/>
      <c r="E148" s="3"/>
      <c r="F148" s="4"/>
      <c r="G148" s="19"/>
      <c r="H148" s="4"/>
      <c r="I148" s="19"/>
      <c r="J148" s="4"/>
      <c r="K148" s="20"/>
      <c r="L148" s="4"/>
      <c r="M148" s="19"/>
      <c r="N148" s="4"/>
      <c r="O148" s="6"/>
      <c r="P148" s="21"/>
      <c r="Q148" s="8"/>
    </row>
    <row r="149">
      <c r="A149" s="18"/>
      <c r="B149" s="20"/>
      <c r="C149" s="4"/>
      <c r="D149" s="20"/>
      <c r="E149" s="3"/>
      <c r="F149" s="4"/>
      <c r="G149" s="20"/>
      <c r="H149" s="4"/>
      <c r="I149" s="19"/>
      <c r="J149" s="4"/>
      <c r="K149" s="19"/>
      <c r="L149" s="4"/>
      <c r="M149" s="19"/>
      <c r="N149" s="4"/>
      <c r="O149" s="6"/>
      <c r="P149" s="21"/>
      <c r="Q149" s="8"/>
    </row>
    <row r="150">
      <c r="A150" s="18"/>
      <c r="B150" s="20"/>
      <c r="C150" s="4"/>
      <c r="D150" s="19"/>
      <c r="E150" s="3"/>
      <c r="F150" s="4"/>
      <c r="G150" s="20"/>
      <c r="H150" s="4"/>
      <c r="I150" s="19"/>
      <c r="J150" s="4"/>
      <c r="K150" s="19"/>
      <c r="L150" s="4"/>
      <c r="M150" s="19"/>
      <c r="N150" s="4"/>
      <c r="O150" s="6"/>
      <c r="P150" s="21"/>
      <c r="Q150" s="8"/>
    </row>
    <row r="151">
      <c r="A151" s="18"/>
      <c r="B151" s="23"/>
      <c r="C151" s="4"/>
      <c r="D151" s="24"/>
      <c r="E151" s="3"/>
      <c r="F151" s="3"/>
      <c r="G151" s="25"/>
      <c r="H151" s="3"/>
      <c r="I151" s="26"/>
      <c r="J151" s="3"/>
      <c r="K151" s="24"/>
      <c r="L151" s="3"/>
      <c r="M151" s="24"/>
      <c r="N151" s="4"/>
      <c r="O151" s="6"/>
      <c r="P151" s="7"/>
      <c r="Q151" s="8"/>
    </row>
    <row r="152">
      <c r="A152" s="18"/>
      <c r="B152" s="20"/>
      <c r="C152" s="4"/>
      <c r="D152" s="20"/>
      <c r="E152" s="3"/>
      <c r="F152" s="4"/>
      <c r="G152" s="19"/>
      <c r="H152" s="4"/>
      <c r="I152" s="19"/>
      <c r="J152" s="4"/>
      <c r="K152" s="19"/>
      <c r="L152" s="4"/>
      <c r="M152" s="19"/>
      <c r="N152" s="4"/>
      <c r="O152" s="6"/>
      <c r="P152" s="21"/>
      <c r="Q152" s="8"/>
    </row>
    <row r="153">
      <c r="A153" s="18"/>
      <c r="B153" s="19"/>
      <c r="C153" s="4"/>
      <c r="D153" s="19"/>
      <c r="E153" s="3"/>
      <c r="F153" s="4"/>
      <c r="G153" s="19"/>
      <c r="H153" s="4"/>
      <c r="I153" s="19"/>
      <c r="J153" s="4"/>
      <c r="K153" s="19"/>
      <c r="L153" s="4"/>
      <c r="M153" s="19"/>
      <c r="N153" s="4"/>
      <c r="O153" s="6"/>
      <c r="P153" s="7"/>
      <c r="Q153" s="8"/>
    </row>
    <row r="154">
      <c r="A154" s="22"/>
      <c r="B154" s="20"/>
      <c r="C154" s="4"/>
      <c r="D154" s="20"/>
      <c r="E154" s="3"/>
      <c r="F154" s="4"/>
      <c r="G154" s="20"/>
      <c r="H154" s="4"/>
      <c r="I154" s="19"/>
      <c r="J154" s="4"/>
      <c r="K154" s="19"/>
      <c r="L154" s="4"/>
      <c r="M154" s="19"/>
      <c r="N154" s="4"/>
      <c r="O154" s="6"/>
      <c r="P154" s="21"/>
      <c r="Q154" s="8"/>
    </row>
    <row r="155">
      <c r="A155" s="22"/>
      <c r="B155" s="33"/>
      <c r="C155" s="4"/>
      <c r="D155" s="34"/>
      <c r="E155" s="3"/>
      <c r="F155" s="3"/>
      <c r="G155" s="25"/>
      <c r="H155" s="3"/>
      <c r="I155" s="26"/>
      <c r="J155" s="3"/>
      <c r="K155" s="24"/>
      <c r="L155" s="3"/>
      <c r="M155" s="24"/>
      <c r="N155" s="4"/>
      <c r="O155" s="6"/>
      <c r="P155" s="21"/>
      <c r="Q155" s="8"/>
    </row>
    <row r="156">
      <c r="A156" s="18"/>
      <c r="B156" s="20"/>
      <c r="C156" s="4"/>
      <c r="D156" s="19"/>
      <c r="E156" s="3"/>
      <c r="F156" s="4"/>
      <c r="G156" s="20"/>
      <c r="H156" s="4"/>
      <c r="I156" s="19"/>
      <c r="J156" s="4"/>
      <c r="K156" s="19"/>
      <c r="L156" s="4"/>
      <c r="M156" s="19"/>
      <c r="N156" s="4"/>
      <c r="O156" s="6"/>
      <c r="P156" s="21"/>
      <c r="Q156" s="8"/>
    </row>
    <row r="157">
      <c r="A157" s="18"/>
      <c r="B157" s="20"/>
      <c r="C157" s="4"/>
      <c r="D157" s="19"/>
      <c r="E157" s="3"/>
      <c r="F157" s="4"/>
      <c r="G157" s="19"/>
      <c r="H157" s="4"/>
      <c r="I157" s="19"/>
      <c r="J157" s="4"/>
      <c r="K157" s="19"/>
      <c r="L157" s="4"/>
      <c r="M157" s="19"/>
      <c r="N157" s="4"/>
      <c r="O157" s="6"/>
      <c r="P157" s="21"/>
      <c r="Q157" s="8"/>
    </row>
    <row r="158">
      <c r="O158" s="28"/>
      <c r="P158" s="7"/>
      <c r="Q158" s="8"/>
    </row>
    <row r="159">
      <c r="O159" s="6"/>
      <c r="P159" s="7"/>
      <c r="Q159" s="8"/>
    </row>
    <row r="160">
      <c r="A160" s="1"/>
      <c r="B160" s="2"/>
      <c r="C160" s="3"/>
      <c r="D160" s="3"/>
      <c r="E160" s="3"/>
      <c r="F160" s="3"/>
      <c r="G160" s="3"/>
      <c r="H160" s="4"/>
      <c r="I160" s="1"/>
      <c r="J160" s="10"/>
      <c r="K160" s="3"/>
      <c r="L160" s="3"/>
      <c r="M160" s="3"/>
      <c r="N160" s="4"/>
      <c r="O160" s="6"/>
      <c r="P160" s="7"/>
      <c r="Q160" s="8"/>
    </row>
    <row r="161">
      <c r="A161" s="1"/>
      <c r="B161" s="37"/>
      <c r="C161" s="3"/>
      <c r="D161" s="3"/>
      <c r="E161" s="3"/>
      <c r="F161" s="3"/>
      <c r="G161" s="3"/>
      <c r="H161" s="4"/>
      <c r="I161" s="1"/>
      <c r="J161" s="10"/>
      <c r="K161" s="3"/>
      <c r="L161" s="3"/>
      <c r="M161" s="3"/>
      <c r="N161" s="4"/>
      <c r="O161" s="6"/>
      <c r="P161" s="7"/>
      <c r="Q161" s="8"/>
    </row>
    <row r="162">
      <c r="A162" s="1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4"/>
      <c r="O162" s="12"/>
      <c r="P162" s="13"/>
      <c r="Q162" s="14"/>
    </row>
    <row r="163">
      <c r="A163" s="15"/>
      <c r="B163" s="2"/>
      <c r="C163" s="3"/>
      <c r="D163" s="3"/>
      <c r="E163" s="3"/>
      <c r="F163" s="4"/>
      <c r="G163" s="2"/>
      <c r="H163" s="3"/>
      <c r="I163" s="3"/>
      <c r="J163" s="3"/>
      <c r="K163" s="10"/>
      <c r="L163" s="3"/>
      <c r="M163" s="3"/>
      <c r="N163" s="4"/>
      <c r="O163" s="6"/>
      <c r="P163" s="7"/>
      <c r="Q163" s="8"/>
    </row>
    <row r="164">
      <c r="A164" s="16"/>
      <c r="B164" s="17"/>
      <c r="C164" s="4"/>
      <c r="D164" s="17"/>
      <c r="E164" s="3"/>
      <c r="F164" s="4"/>
      <c r="G164" s="17"/>
      <c r="H164" s="4"/>
      <c r="I164" s="17"/>
      <c r="J164" s="4"/>
      <c r="K164" s="17"/>
      <c r="L164" s="4"/>
      <c r="M164" s="17"/>
      <c r="N164" s="4"/>
      <c r="O164" s="6"/>
      <c r="P164" s="7"/>
      <c r="Q164" s="8"/>
    </row>
    <row r="165">
      <c r="A165" s="18"/>
      <c r="B165" s="33"/>
      <c r="C165" s="4"/>
      <c r="D165" s="34"/>
      <c r="E165" s="3"/>
      <c r="F165" s="3"/>
      <c r="G165" s="25"/>
      <c r="H165" s="3"/>
      <c r="I165" s="26"/>
      <c r="J165" s="3"/>
      <c r="K165" s="24"/>
      <c r="L165" s="3"/>
      <c r="M165" s="24"/>
      <c r="N165" s="4"/>
      <c r="O165" s="6"/>
      <c r="P165" s="21"/>
      <c r="Q165" s="8"/>
    </row>
    <row r="166">
      <c r="A166" s="37"/>
      <c r="B166" s="20"/>
      <c r="C166" s="4"/>
      <c r="D166" s="19"/>
      <c r="E166" s="3"/>
      <c r="F166" s="4"/>
      <c r="G166" s="20"/>
      <c r="H166" s="4"/>
      <c r="I166" s="19"/>
      <c r="J166" s="4"/>
      <c r="K166" s="19"/>
      <c r="L166" s="4"/>
      <c r="M166" s="19"/>
      <c r="N166" s="4"/>
      <c r="O166" s="6"/>
      <c r="P166" s="21"/>
      <c r="Q166" s="8"/>
    </row>
    <row r="167">
      <c r="A167" s="18"/>
      <c r="B167" s="20"/>
      <c r="C167" s="4"/>
      <c r="D167" s="19"/>
      <c r="E167" s="3"/>
      <c r="F167" s="4"/>
      <c r="G167" s="20"/>
      <c r="H167" s="4"/>
      <c r="I167" s="19"/>
      <c r="J167" s="4"/>
      <c r="K167" s="19"/>
      <c r="L167" s="4"/>
      <c r="M167" s="19"/>
      <c r="N167" s="4"/>
      <c r="O167" s="6"/>
      <c r="P167" s="21"/>
      <c r="Q167" s="8"/>
    </row>
    <row r="168">
      <c r="A168" s="18"/>
      <c r="B168" s="20"/>
      <c r="C168" s="4"/>
      <c r="D168" s="20"/>
      <c r="E168" s="3"/>
      <c r="F168" s="4"/>
      <c r="G168" s="19"/>
      <c r="H168" s="4"/>
      <c r="I168" s="19"/>
      <c r="J168" s="4"/>
      <c r="K168" s="19"/>
      <c r="L168" s="4"/>
      <c r="M168" s="19"/>
      <c r="N168" s="4"/>
      <c r="O168" s="6"/>
      <c r="P168" s="21"/>
      <c r="Q168" s="8"/>
    </row>
    <row r="169">
      <c r="A169" s="18"/>
      <c r="B169" s="19"/>
      <c r="C169" s="4"/>
      <c r="D169" s="19"/>
      <c r="E169" s="3"/>
      <c r="F169" s="4"/>
      <c r="G169" s="19"/>
      <c r="H169" s="4"/>
      <c r="I169" s="19"/>
      <c r="J169" s="4"/>
      <c r="K169" s="19"/>
      <c r="L169" s="4"/>
      <c r="M169" s="19"/>
      <c r="N169" s="4"/>
      <c r="O169" s="6"/>
      <c r="P169" s="7"/>
      <c r="Q169" s="8"/>
    </row>
    <row r="170">
      <c r="A170" s="22"/>
      <c r="B170" s="20"/>
      <c r="C170" s="4"/>
      <c r="D170" s="19"/>
      <c r="E170" s="3"/>
      <c r="F170" s="4"/>
      <c r="G170" s="20"/>
      <c r="H170" s="4"/>
      <c r="I170" s="19"/>
      <c r="J170" s="4"/>
      <c r="K170" s="19"/>
      <c r="L170" s="4"/>
      <c r="M170" s="19"/>
      <c r="N170" s="4"/>
      <c r="O170" s="6"/>
      <c r="P170" s="21"/>
      <c r="Q170" s="8"/>
    </row>
    <row r="171">
      <c r="A171" s="22"/>
      <c r="B171" s="20"/>
      <c r="C171" s="4"/>
      <c r="D171" s="19"/>
      <c r="E171" s="3"/>
      <c r="F171" s="4"/>
      <c r="G171" s="20"/>
      <c r="H171" s="4"/>
      <c r="I171" s="19"/>
      <c r="J171" s="4"/>
      <c r="K171" s="19"/>
      <c r="L171" s="4"/>
      <c r="M171" s="19"/>
      <c r="N171" s="4"/>
      <c r="O171" s="6"/>
      <c r="P171" s="21"/>
      <c r="Q171" s="8"/>
    </row>
    <row r="172">
      <c r="A172" s="18"/>
      <c r="B172" s="20"/>
      <c r="C172" s="4"/>
      <c r="D172" s="19"/>
      <c r="E172" s="3"/>
      <c r="F172" s="4"/>
      <c r="G172" s="19"/>
      <c r="H172" s="4"/>
      <c r="I172" s="20"/>
      <c r="J172" s="4"/>
      <c r="K172" s="19"/>
      <c r="L172" s="4"/>
      <c r="M172" s="19"/>
      <c r="N172" s="4"/>
      <c r="O172" s="6"/>
      <c r="P172" s="21"/>
      <c r="Q172" s="8"/>
    </row>
    <row r="173">
      <c r="A173" s="18"/>
      <c r="B173" s="20"/>
      <c r="C173" s="4"/>
      <c r="D173" s="20"/>
      <c r="E173" s="3"/>
      <c r="F173" s="4"/>
      <c r="G173" s="19"/>
      <c r="H173" s="4"/>
      <c r="I173" s="20"/>
      <c r="J173" s="4"/>
      <c r="K173" s="19"/>
      <c r="L173" s="4"/>
      <c r="M173" s="19"/>
      <c r="N173" s="4"/>
      <c r="O173" s="6"/>
      <c r="P173" s="21"/>
      <c r="Q173" s="8"/>
    </row>
    <row r="174">
      <c r="A174" s="18"/>
      <c r="B174" s="19"/>
      <c r="C174" s="4"/>
      <c r="D174" s="20"/>
      <c r="E174" s="3"/>
      <c r="F174" s="4"/>
      <c r="G174" s="19"/>
      <c r="H174" s="4"/>
      <c r="I174" s="19"/>
      <c r="J174" s="4"/>
      <c r="K174" s="19"/>
      <c r="L174" s="4"/>
      <c r="M174" s="20"/>
      <c r="N174" s="4"/>
      <c r="O174" s="6"/>
      <c r="P174" s="21"/>
      <c r="Q174" s="8"/>
    </row>
    <row r="175">
      <c r="A175" s="18"/>
      <c r="B175" s="19"/>
      <c r="C175" s="4"/>
      <c r="D175" s="19"/>
      <c r="E175" s="3"/>
      <c r="F175" s="4"/>
      <c r="G175" s="19"/>
      <c r="H175" s="4"/>
      <c r="I175" s="19"/>
      <c r="J175" s="4"/>
      <c r="K175" s="19"/>
      <c r="L175" s="4"/>
      <c r="M175" s="19"/>
      <c r="N175" s="4"/>
      <c r="O175" s="6"/>
      <c r="P175" s="21"/>
      <c r="Q175" s="8"/>
    </row>
    <row r="176">
      <c r="A176" s="18"/>
      <c r="B176" s="19"/>
      <c r="C176" s="4"/>
      <c r="D176" s="19"/>
      <c r="E176" s="3"/>
      <c r="F176" s="4"/>
      <c r="G176" s="19"/>
      <c r="H176" s="4"/>
      <c r="I176" s="19"/>
      <c r="J176" s="4"/>
      <c r="K176" s="19"/>
      <c r="L176" s="4"/>
      <c r="M176" s="19"/>
      <c r="N176" s="4"/>
      <c r="O176" s="6"/>
      <c r="P176" s="7"/>
      <c r="Q176" s="8"/>
    </row>
    <row r="177">
      <c r="A177" s="22"/>
      <c r="B177" s="20"/>
      <c r="C177" s="4"/>
      <c r="D177" s="19"/>
      <c r="E177" s="3"/>
      <c r="F177" s="4"/>
      <c r="G177" s="19"/>
      <c r="H177" s="4"/>
      <c r="I177" s="19"/>
      <c r="J177" s="4"/>
      <c r="K177" s="20"/>
      <c r="L177" s="4"/>
      <c r="M177" s="19"/>
      <c r="N177" s="4"/>
      <c r="O177" s="6"/>
      <c r="P177" s="21"/>
      <c r="Q177" s="8"/>
    </row>
    <row r="178">
      <c r="A178" s="22"/>
      <c r="B178" s="20"/>
      <c r="C178" s="4"/>
      <c r="D178" s="19"/>
      <c r="E178" s="3"/>
      <c r="F178" s="4"/>
      <c r="G178" s="19"/>
      <c r="H178" s="4"/>
      <c r="I178" s="20"/>
      <c r="J178" s="4"/>
      <c r="K178" s="19"/>
      <c r="L178" s="4"/>
      <c r="M178" s="19"/>
      <c r="N178" s="4"/>
      <c r="O178" s="6"/>
      <c r="P178" s="21"/>
      <c r="Q178" s="8"/>
    </row>
    <row r="179">
      <c r="A179" s="18"/>
      <c r="B179" s="19"/>
      <c r="C179" s="4"/>
      <c r="D179" s="20"/>
      <c r="E179" s="3"/>
      <c r="F179" s="4"/>
      <c r="G179" s="19"/>
      <c r="H179" s="4"/>
      <c r="I179" s="19"/>
      <c r="J179" s="4"/>
      <c r="K179" s="19"/>
      <c r="L179" s="4"/>
      <c r="M179" s="20"/>
      <c r="N179" s="4"/>
      <c r="O179" s="6"/>
      <c r="P179" s="21"/>
      <c r="Q179" s="8"/>
    </row>
    <row r="180">
      <c r="A180" s="18"/>
      <c r="B180" s="23"/>
      <c r="C180" s="4"/>
      <c r="D180" s="24"/>
      <c r="E180" s="3"/>
      <c r="F180" s="3"/>
      <c r="G180" s="25"/>
      <c r="H180" s="3"/>
      <c r="I180" s="26"/>
      <c r="J180" s="3"/>
      <c r="K180" s="24"/>
      <c r="L180" s="3"/>
      <c r="M180" s="24"/>
      <c r="N180" s="4"/>
      <c r="O180" s="6"/>
      <c r="P180" s="7"/>
      <c r="Q180" s="8"/>
    </row>
    <row r="181">
      <c r="O181" s="28"/>
      <c r="P181" s="7"/>
      <c r="Q181" s="8"/>
    </row>
    <row r="182">
      <c r="O182" s="6"/>
      <c r="P182" s="7"/>
      <c r="Q182" s="8"/>
    </row>
    <row r="183">
      <c r="A183" s="1"/>
      <c r="B183" s="2"/>
      <c r="C183" s="3"/>
      <c r="D183" s="3"/>
      <c r="E183" s="3"/>
      <c r="F183" s="3"/>
      <c r="G183" s="3"/>
      <c r="H183" s="4"/>
      <c r="I183" s="1"/>
      <c r="J183" s="10"/>
      <c r="K183" s="3"/>
      <c r="L183" s="3"/>
      <c r="M183" s="3"/>
      <c r="N183" s="4"/>
      <c r="O183" s="6"/>
      <c r="P183" s="7"/>
      <c r="Q183" s="8"/>
    </row>
    <row r="184">
      <c r="A184" s="1"/>
      <c r="B184" s="37"/>
      <c r="C184" s="3"/>
      <c r="D184" s="3"/>
      <c r="E184" s="3"/>
      <c r="F184" s="3"/>
      <c r="G184" s="3"/>
      <c r="H184" s="4"/>
      <c r="I184" s="1"/>
      <c r="J184" s="10"/>
      <c r="K184" s="3"/>
      <c r="L184" s="3"/>
      <c r="M184" s="3"/>
      <c r="N184" s="4"/>
      <c r="O184" s="6"/>
      <c r="P184" s="7"/>
      <c r="Q184" s="8"/>
    </row>
    <row r="185">
      <c r="A185" s="1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4"/>
      <c r="O185" s="12"/>
      <c r="P185" s="13"/>
      <c r="Q185" s="14"/>
    </row>
    <row r="186">
      <c r="A186" s="15"/>
      <c r="B186" s="2"/>
      <c r="C186" s="3"/>
      <c r="D186" s="3"/>
      <c r="E186" s="3"/>
      <c r="F186" s="4"/>
      <c r="G186" s="2"/>
      <c r="H186" s="3"/>
      <c r="I186" s="3"/>
      <c r="J186" s="3"/>
      <c r="K186" s="10"/>
      <c r="L186" s="3"/>
      <c r="M186" s="3"/>
      <c r="N186" s="4"/>
      <c r="O186" s="6"/>
      <c r="P186" s="7"/>
      <c r="Q186" s="8"/>
    </row>
    <row r="187">
      <c r="A187" s="16"/>
      <c r="B187" s="17"/>
      <c r="C187" s="4"/>
      <c r="D187" s="17"/>
      <c r="E187" s="3"/>
      <c r="F187" s="4"/>
      <c r="G187" s="17"/>
      <c r="H187" s="4"/>
      <c r="I187" s="17"/>
      <c r="J187" s="4"/>
      <c r="K187" s="17"/>
      <c r="L187" s="4"/>
      <c r="M187" s="17"/>
      <c r="N187" s="4"/>
      <c r="O187" s="6"/>
      <c r="P187" s="7"/>
      <c r="Q187" s="8"/>
    </row>
    <row r="188">
      <c r="A188" s="22"/>
      <c r="B188" s="23"/>
      <c r="C188" s="4"/>
      <c r="D188" s="24"/>
      <c r="E188" s="3"/>
      <c r="F188" s="3"/>
      <c r="G188" s="25"/>
      <c r="H188" s="3"/>
      <c r="I188" s="26"/>
      <c r="J188" s="3"/>
      <c r="K188" s="24"/>
      <c r="L188" s="3"/>
      <c r="M188" s="24"/>
      <c r="N188" s="4"/>
      <c r="O188" s="6"/>
      <c r="P188" s="21"/>
      <c r="Q188" s="8"/>
    </row>
    <row r="189">
      <c r="A189" s="18"/>
      <c r="B189" s="20"/>
      <c r="C189" s="4"/>
      <c r="D189" s="20"/>
      <c r="E189" s="3"/>
      <c r="F189" s="4"/>
      <c r="G189" s="20"/>
      <c r="H189" s="4"/>
      <c r="I189" s="19"/>
      <c r="J189" s="4"/>
      <c r="K189" s="19"/>
      <c r="L189" s="4"/>
      <c r="M189" s="20"/>
      <c r="N189" s="4"/>
      <c r="O189" s="6"/>
      <c r="P189" s="21"/>
      <c r="Q189" s="8"/>
    </row>
    <row r="190">
      <c r="A190" s="18"/>
      <c r="B190" s="20"/>
      <c r="C190" s="4"/>
      <c r="D190" s="20"/>
      <c r="E190" s="3"/>
      <c r="F190" s="4"/>
      <c r="G190" s="19"/>
      <c r="H190" s="4"/>
      <c r="I190" s="19"/>
      <c r="J190" s="4"/>
      <c r="K190" s="19"/>
      <c r="L190" s="4"/>
      <c r="M190" s="20"/>
      <c r="N190" s="4"/>
      <c r="O190" s="6"/>
      <c r="P190" s="21"/>
      <c r="Q190" s="8"/>
    </row>
    <row r="191">
      <c r="A191" s="18"/>
      <c r="B191" s="20"/>
      <c r="C191" s="4"/>
      <c r="D191" s="20"/>
      <c r="E191" s="3"/>
      <c r="F191" s="4"/>
      <c r="G191" s="19"/>
      <c r="H191" s="4"/>
      <c r="I191" s="19"/>
      <c r="J191" s="4"/>
      <c r="K191" s="19"/>
      <c r="L191" s="4"/>
      <c r="M191" s="19"/>
      <c r="N191" s="4"/>
      <c r="O191" s="6"/>
      <c r="P191" s="21"/>
      <c r="Q191" s="8"/>
    </row>
    <row r="192">
      <c r="A192" s="18"/>
      <c r="B192" s="20"/>
      <c r="C192" s="4"/>
      <c r="D192" s="20"/>
      <c r="E192" s="3"/>
      <c r="F192" s="4"/>
      <c r="G192" s="19"/>
      <c r="H192" s="4"/>
      <c r="I192" s="19"/>
      <c r="J192" s="4"/>
      <c r="K192" s="19"/>
      <c r="L192" s="4"/>
      <c r="M192" s="19"/>
      <c r="N192" s="4"/>
      <c r="O192" s="6"/>
      <c r="P192" s="21"/>
      <c r="Q192" s="8"/>
    </row>
    <row r="193">
      <c r="A193" s="18"/>
      <c r="B193" s="20"/>
      <c r="C193" s="4"/>
      <c r="D193" s="20"/>
      <c r="E193" s="3"/>
      <c r="F193" s="4"/>
      <c r="G193" s="20"/>
      <c r="H193" s="4"/>
      <c r="I193" s="19"/>
      <c r="J193" s="4"/>
      <c r="K193" s="19"/>
      <c r="L193" s="4"/>
      <c r="M193" s="20"/>
      <c r="N193" s="4"/>
      <c r="O193" s="6"/>
      <c r="P193" s="21"/>
      <c r="Q193" s="8"/>
    </row>
    <row r="194">
      <c r="A194" s="22"/>
      <c r="B194" s="20"/>
      <c r="C194" s="4"/>
      <c r="D194" s="20"/>
      <c r="E194" s="3"/>
      <c r="F194" s="4"/>
      <c r="G194" s="19"/>
      <c r="H194" s="4"/>
      <c r="I194" s="19"/>
      <c r="J194" s="4"/>
      <c r="K194" s="19"/>
      <c r="L194" s="4"/>
      <c r="M194" s="20"/>
      <c r="N194" s="4"/>
      <c r="O194" s="6"/>
      <c r="P194" s="21"/>
      <c r="Q194" s="8"/>
    </row>
    <row r="195">
      <c r="A195" s="22"/>
      <c r="B195" s="19"/>
      <c r="C195" s="4"/>
      <c r="D195" s="19"/>
      <c r="E195" s="3"/>
      <c r="F195" s="4"/>
      <c r="G195" s="20"/>
      <c r="H195" s="4"/>
      <c r="I195" s="19"/>
      <c r="J195" s="4"/>
      <c r="K195" s="19"/>
      <c r="L195" s="4"/>
      <c r="M195" s="20"/>
      <c r="N195" s="4"/>
      <c r="O195" s="6"/>
      <c r="P195" s="21"/>
      <c r="Q195" s="8"/>
    </row>
    <row r="196">
      <c r="A196" s="18"/>
      <c r="B196" s="33"/>
      <c r="C196" s="4"/>
      <c r="D196" s="34"/>
      <c r="E196" s="3"/>
      <c r="F196" s="3"/>
      <c r="G196" s="25"/>
      <c r="H196" s="3"/>
      <c r="I196" s="26"/>
      <c r="J196" s="3"/>
      <c r="K196" s="24"/>
      <c r="L196" s="3"/>
      <c r="M196" s="24"/>
      <c r="N196" s="4"/>
      <c r="O196" s="6"/>
      <c r="P196" s="21"/>
      <c r="Q196" s="8"/>
    </row>
    <row r="197">
      <c r="A197" s="18"/>
      <c r="B197" s="33"/>
      <c r="C197" s="4"/>
      <c r="D197" s="34"/>
      <c r="E197" s="3"/>
      <c r="F197" s="3"/>
      <c r="G197" s="25"/>
      <c r="H197" s="3"/>
      <c r="I197" s="26"/>
      <c r="J197" s="3"/>
      <c r="K197" s="24"/>
      <c r="L197" s="3"/>
      <c r="M197" s="24"/>
      <c r="N197" s="4"/>
      <c r="O197" s="6"/>
      <c r="P197" s="21"/>
      <c r="Q197" s="8"/>
    </row>
    <row r="198">
      <c r="A198" s="18"/>
      <c r="B198" s="20"/>
      <c r="C198" s="4"/>
      <c r="D198" s="20"/>
      <c r="E198" s="3"/>
      <c r="F198" s="4"/>
      <c r="G198" s="19"/>
      <c r="H198" s="4"/>
      <c r="I198" s="19"/>
      <c r="J198" s="4"/>
      <c r="K198" s="19"/>
      <c r="L198" s="4"/>
      <c r="M198" s="19"/>
      <c r="N198" s="4"/>
      <c r="O198" s="6"/>
      <c r="P198" s="21"/>
      <c r="Q198" s="8"/>
    </row>
    <row r="199">
      <c r="A199" s="18"/>
      <c r="B199" s="20"/>
      <c r="C199" s="4"/>
      <c r="D199" s="20"/>
      <c r="E199" s="3"/>
      <c r="F199" s="4"/>
      <c r="G199" s="19"/>
      <c r="H199" s="4"/>
      <c r="I199" s="19"/>
      <c r="J199" s="4"/>
      <c r="K199" s="19"/>
      <c r="L199" s="4"/>
      <c r="M199" s="19"/>
      <c r="N199" s="4"/>
      <c r="O199" s="6"/>
      <c r="P199" s="21"/>
      <c r="Q199" s="8"/>
    </row>
    <row r="200">
      <c r="A200" s="18"/>
      <c r="B200" s="20"/>
      <c r="C200" s="4"/>
      <c r="D200" s="20"/>
      <c r="E200" s="3"/>
      <c r="F200" s="4"/>
      <c r="G200" s="20"/>
      <c r="H200" s="4"/>
      <c r="I200" s="19"/>
      <c r="J200" s="4"/>
      <c r="K200" s="19"/>
      <c r="L200" s="4"/>
      <c r="M200" s="20"/>
      <c r="N200" s="4"/>
      <c r="O200" s="6"/>
      <c r="P200" s="21"/>
      <c r="Q200" s="8"/>
    </row>
    <row r="201">
      <c r="A201" s="22"/>
      <c r="B201" s="19"/>
      <c r="C201" s="4"/>
      <c r="D201" s="20"/>
      <c r="E201" s="3"/>
      <c r="F201" s="4"/>
      <c r="G201" s="19"/>
      <c r="H201" s="4"/>
      <c r="I201" s="19"/>
      <c r="J201" s="4"/>
      <c r="K201" s="19"/>
      <c r="L201" s="4"/>
      <c r="M201" s="20"/>
      <c r="N201" s="4"/>
      <c r="O201" s="6"/>
      <c r="P201" s="21"/>
      <c r="Q201" s="8"/>
      <c r="R201" s="52"/>
    </row>
    <row r="202">
      <c r="A202" s="22"/>
      <c r="B202" s="23"/>
      <c r="C202" s="4"/>
      <c r="D202" s="24"/>
      <c r="E202" s="3"/>
      <c r="F202" s="3"/>
      <c r="G202" s="25"/>
      <c r="H202" s="3"/>
      <c r="I202" s="26"/>
      <c r="J202" s="3"/>
      <c r="K202" s="24"/>
      <c r="L202" s="3"/>
      <c r="M202" s="24"/>
      <c r="N202" s="4"/>
      <c r="O202" s="6"/>
      <c r="P202" s="7"/>
      <c r="Q202" s="8"/>
    </row>
    <row r="203">
      <c r="A203" s="18"/>
      <c r="B203" s="23"/>
      <c r="C203" s="4"/>
      <c r="D203" s="24"/>
      <c r="E203" s="3"/>
      <c r="F203" s="3"/>
      <c r="G203" s="25"/>
      <c r="H203" s="3"/>
      <c r="I203" s="26"/>
      <c r="J203" s="3"/>
      <c r="K203" s="24"/>
      <c r="L203" s="3"/>
      <c r="M203" s="24"/>
      <c r="N203" s="4"/>
      <c r="O203" s="6"/>
      <c r="P203" s="7"/>
      <c r="Q203" s="8"/>
    </row>
    <row r="204">
      <c r="O204" s="28"/>
      <c r="P204" s="7"/>
      <c r="Q204" s="8"/>
    </row>
    <row r="205">
      <c r="A205" s="1"/>
      <c r="B205" s="2"/>
      <c r="C205" s="3"/>
      <c r="D205" s="3"/>
      <c r="E205" s="3"/>
      <c r="F205" s="3"/>
      <c r="G205" s="3"/>
      <c r="H205" s="4"/>
      <c r="I205" s="1"/>
      <c r="J205" s="10"/>
      <c r="K205" s="3"/>
      <c r="L205" s="3"/>
      <c r="M205" s="3"/>
      <c r="N205" s="4"/>
      <c r="O205" s="6"/>
      <c r="P205" s="7"/>
      <c r="Q205" s="8"/>
    </row>
    <row r="206">
      <c r="A206" s="1"/>
      <c r="B206" s="9"/>
      <c r="C206" s="3"/>
      <c r="D206" s="3"/>
      <c r="E206" s="3"/>
      <c r="F206" s="3"/>
      <c r="G206" s="3"/>
      <c r="H206" s="4"/>
      <c r="I206" s="1"/>
      <c r="J206" s="10"/>
      <c r="K206" s="3"/>
      <c r="L206" s="3"/>
      <c r="M206" s="3"/>
      <c r="N206" s="4"/>
      <c r="O206" s="6"/>
      <c r="P206" s="7"/>
      <c r="Q206" s="8"/>
    </row>
    <row r="207">
      <c r="A207" s="1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4"/>
      <c r="O207" s="12"/>
      <c r="P207" s="13"/>
      <c r="Q207" s="14"/>
    </row>
    <row r="208">
      <c r="A208" s="15"/>
      <c r="B208" s="2"/>
      <c r="C208" s="3"/>
      <c r="D208" s="3"/>
      <c r="E208" s="3"/>
      <c r="F208" s="4"/>
      <c r="G208" s="2"/>
      <c r="H208" s="3"/>
      <c r="I208" s="3"/>
      <c r="J208" s="3"/>
      <c r="K208" s="10"/>
      <c r="L208" s="3"/>
      <c r="M208" s="3"/>
      <c r="N208" s="4"/>
      <c r="O208" s="6"/>
      <c r="P208" s="7"/>
      <c r="Q208" s="8"/>
    </row>
    <row r="209">
      <c r="A209" s="16"/>
      <c r="B209" s="17"/>
      <c r="C209" s="4"/>
      <c r="D209" s="17"/>
      <c r="E209" s="3"/>
      <c r="F209" s="4"/>
      <c r="G209" s="17"/>
      <c r="H209" s="4"/>
      <c r="I209" s="17"/>
      <c r="J209" s="4"/>
      <c r="K209" s="17"/>
      <c r="L209" s="4"/>
      <c r="M209" s="17"/>
      <c r="N209" s="4"/>
      <c r="O209" s="6"/>
      <c r="P209" s="7"/>
      <c r="Q209" s="8"/>
    </row>
    <row r="210">
      <c r="A210" s="18"/>
      <c r="B210" s="23"/>
      <c r="C210" s="4"/>
      <c r="D210" s="24"/>
      <c r="E210" s="3"/>
      <c r="F210" s="3"/>
      <c r="G210" s="25"/>
      <c r="H210" s="3"/>
      <c r="I210" s="26"/>
      <c r="J210" s="3"/>
      <c r="K210" s="24"/>
      <c r="L210" s="3"/>
      <c r="M210" s="24"/>
      <c r="N210" s="4"/>
      <c r="O210" s="6"/>
      <c r="P210" s="21"/>
      <c r="Q210" s="8"/>
    </row>
    <row r="211">
      <c r="A211" s="18"/>
      <c r="B211" s="20"/>
      <c r="C211" s="4"/>
      <c r="D211" s="19"/>
      <c r="E211" s="3"/>
      <c r="F211" s="4"/>
      <c r="G211" s="20"/>
      <c r="H211" s="4"/>
      <c r="I211" s="19"/>
      <c r="J211" s="4"/>
      <c r="K211" s="19"/>
      <c r="L211" s="4"/>
      <c r="M211" s="19"/>
      <c r="N211" s="4"/>
      <c r="O211" s="6"/>
      <c r="P211" s="21"/>
      <c r="Q211" s="8"/>
    </row>
    <row r="212">
      <c r="A212" s="18"/>
      <c r="B212" s="20"/>
      <c r="C212" s="4"/>
      <c r="D212" s="19"/>
      <c r="E212" s="3"/>
      <c r="F212" s="4"/>
      <c r="G212" s="20"/>
      <c r="H212" s="4"/>
      <c r="I212" s="19"/>
      <c r="J212" s="4"/>
      <c r="K212" s="19"/>
      <c r="L212" s="4"/>
      <c r="M212" s="19"/>
      <c r="N212" s="4"/>
      <c r="O212" s="6"/>
      <c r="P212" s="21"/>
      <c r="Q212" s="8"/>
    </row>
    <row r="213">
      <c r="A213" s="22"/>
      <c r="B213" s="20"/>
      <c r="C213" s="4"/>
      <c r="D213" s="20"/>
      <c r="E213" s="3"/>
      <c r="F213" s="4"/>
      <c r="G213" s="19"/>
      <c r="H213" s="4"/>
      <c r="I213" s="19"/>
      <c r="J213" s="4"/>
      <c r="K213" s="19"/>
      <c r="L213" s="4"/>
      <c r="M213" s="19"/>
      <c r="N213" s="4"/>
      <c r="O213" s="6"/>
      <c r="P213" s="21"/>
      <c r="Q213" s="8"/>
    </row>
    <row r="214">
      <c r="A214" s="22"/>
      <c r="B214" s="19"/>
      <c r="C214" s="4"/>
      <c r="D214" s="19"/>
      <c r="E214" s="3"/>
      <c r="F214" s="4"/>
      <c r="G214" s="19"/>
      <c r="H214" s="4"/>
      <c r="I214" s="19"/>
      <c r="J214" s="4"/>
      <c r="K214" s="19"/>
      <c r="L214" s="4"/>
      <c r="M214" s="19"/>
      <c r="N214" s="4"/>
      <c r="O214" s="6"/>
      <c r="P214" s="7"/>
      <c r="Q214" s="8"/>
    </row>
    <row r="215">
      <c r="A215" s="18"/>
      <c r="B215" s="20"/>
      <c r="C215" s="4"/>
      <c r="D215" s="19"/>
      <c r="E215" s="3"/>
      <c r="F215" s="4"/>
      <c r="G215" s="19"/>
      <c r="H215" s="4"/>
      <c r="I215" s="20"/>
      <c r="J215" s="4"/>
      <c r="K215" s="19"/>
      <c r="L215" s="4"/>
      <c r="M215" s="19"/>
      <c r="N215" s="4"/>
      <c r="O215" s="6"/>
      <c r="P215" s="21"/>
      <c r="Q215" s="8"/>
    </row>
    <row r="216">
      <c r="A216" s="18"/>
      <c r="B216" s="23"/>
      <c r="C216" s="4"/>
      <c r="D216" s="24"/>
      <c r="E216" s="3"/>
      <c r="F216" s="3"/>
      <c r="G216" s="25"/>
      <c r="H216" s="3"/>
      <c r="I216" s="26"/>
      <c r="J216" s="3"/>
      <c r="K216" s="24"/>
      <c r="L216" s="3"/>
      <c r="M216" s="24"/>
      <c r="N216" s="4"/>
      <c r="O216" s="6"/>
      <c r="P216" s="7"/>
      <c r="Q216" s="8"/>
    </row>
    <row r="217">
      <c r="A217" s="18"/>
      <c r="B217" s="20"/>
      <c r="C217" s="4"/>
      <c r="D217" s="19"/>
      <c r="E217" s="3"/>
      <c r="F217" s="4"/>
      <c r="G217" s="20"/>
      <c r="H217" s="4"/>
      <c r="I217" s="19"/>
      <c r="J217" s="4"/>
      <c r="K217" s="19"/>
      <c r="L217" s="4"/>
      <c r="M217" s="19"/>
      <c r="N217" s="4"/>
      <c r="O217" s="6"/>
      <c r="P217" s="21"/>
      <c r="Q217" s="8"/>
    </row>
    <row r="218">
      <c r="A218" s="18"/>
      <c r="B218" s="20"/>
      <c r="C218" s="4"/>
      <c r="D218" s="19"/>
      <c r="E218" s="3"/>
      <c r="F218" s="4"/>
      <c r="G218" s="20"/>
      <c r="H218" s="4"/>
      <c r="I218" s="19"/>
      <c r="J218" s="4"/>
      <c r="K218" s="19"/>
      <c r="L218" s="4"/>
      <c r="M218" s="19"/>
      <c r="N218" s="4"/>
      <c r="O218" s="6"/>
      <c r="P218" s="21"/>
      <c r="Q218" s="8"/>
    </row>
    <row r="219">
      <c r="A219" s="18"/>
      <c r="B219" s="20"/>
      <c r="C219" s="4"/>
      <c r="D219" s="19"/>
      <c r="E219" s="3"/>
      <c r="F219" s="4"/>
      <c r="G219" s="19"/>
      <c r="H219" s="4"/>
      <c r="I219" s="20"/>
      <c r="J219" s="4"/>
      <c r="K219" s="19"/>
      <c r="L219" s="4"/>
      <c r="M219" s="19"/>
      <c r="N219" s="4"/>
      <c r="O219" s="6"/>
      <c r="P219" s="21"/>
      <c r="Q219" s="8"/>
    </row>
    <row r="220">
      <c r="A220" s="22"/>
      <c r="B220" s="20"/>
      <c r="C220" s="4"/>
      <c r="D220" s="20"/>
      <c r="E220" s="3"/>
      <c r="F220" s="4"/>
      <c r="G220" s="19"/>
      <c r="H220" s="4"/>
      <c r="I220" s="19"/>
      <c r="J220" s="4"/>
      <c r="K220" s="19"/>
      <c r="L220" s="4"/>
      <c r="M220" s="19"/>
      <c r="N220" s="4"/>
      <c r="O220" s="6"/>
      <c r="P220" s="21"/>
      <c r="Q220" s="8"/>
    </row>
    <row r="221">
      <c r="A221" s="22"/>
      <c r="B221" s="19"/>
      <c r="C221" s="4"/>
      <c r="D221" s="19"/>
      <c r="E221" s="3"/>
      <c r="F221" s="4"/>
      <c r="G221" s="19"/>
      <c r="H221" s="4"/>
      <c r="I221" s="19"/>
      <c r="J221" s="4"/>
      <c r="K221" s="19"/>
      <c r="L221" s="4"/>
      <c r="M221" s="19"/>
      <c r="N221" s="4"/>
      <c r="O221" s="6"/>
      <c r="P221" s="7"/>
      <c r="Q221" s="8"/>
    </row>
    <row r="222">
      <c r="A222" s="18"/>
      <c r="B222" s="20"/>
      <c r="C222" s="4"/>
      <c r="D222" s="19"/>
      <c r="E222" s="3"/>
      <c r="F222" s="4"/>
      <c r="G222" s="20"/>
      <c r="H222" s="4"/>
      <c r="I222" s="19"/>
      <c r="J222" s="4"/>
      <c r="K222" s="19"/>
      <c r="L222" s="4"/>
      <c r="M222" s="19"/>
      <c r="N222" s="4"/>
      <c r="O222" s="6"/>
      <c r="P222" s="21"/>
      <c r="Q222" s="8"/>
    </row>
    <row r="223">
      <c r="A223" s="18"/>
      <c r="B223" s="20"/>
      <c r="C223" s="4"/>
      <c r="D223" s="19"/>
      <c r="E223" s="3"/>
      <c r="F223" s="4"/>
      <c r="G223" s="19"/>
      <c r="H223" s="4"/>
      <c r="I223" s="20"/>
      <c r="J223" s="4"/>
      <c r="K223" s="19"/>
      <c r="L223" s="4"/>
      <c r="M223" s="19"/>
      <c r="N223" s="4"/>
      <c r="O223" s="6"/>
      <c r="P223" s="21"/>
      <c r="Q223" s="8"/>
    </row>
    <row r="224">
      <c r="A224" s="18"/>
      <c r="B224" s="20"/>
      <c r="C224" s="4"/>
      <c r="D224" s="19"/>
      <c r="E224" s="3"/>
      <c r="F224" s="4"/>
      <c r="G224" s="20"/>
      <c r="H224" s="4"/>
      <c r="I224" s="19"/>
      <c r="J224" s="4"/>
      <c r="K224" s="19"/>
      <c r="L224" s="4"/>
      <c r="M224" s="19"/>
      <c r="N224" s="4"/>
      <c r="O224" s="6"/>
      <c r="P224" s="21"/>
      <c r="Q224" s="8"/>
    </row>
    <row r="225">
      <c r="A225" s="18"/>
      <c r="B225" s="20"/>
      <c r="C225" s="4"/>
      <c r="D225" s="19"/>
      <c r="E225" s="3"/>
      <c r="F225" s="4"/>
      <c r="G225" s="19"/>
      <c r="H225" s="4"/>
      <c r="I225" s="19"/>
      <c r="J225" s="4"/>
      <c r="K225" s="19"/>
      <c r="L225" s="4"/>
      <c r="M225" s="19"/>
      <c r="N225" s="4"/>
      <c r="O225" s="6"/>
      <c r="P225" s="7"/>
      <c r="Q225" s="8"/>
    </row>
    <row r="226">
      <c r="O226" s="28"/>
      <c r="P226" s="7"/>
      <c r="Q226" s="8"/>
    </row>
    <row r="227">
      <c r="O227" s="6"/>
      <c r="P227" s="7"/>
      <c r="Q227" s="8"/>
    </row>
    <row r="228">
      <c r="A228" s="1"/>
      <c r="B228" s="2"/>
      <c r="C228" s="3"/>
      <c r="D228" s="3"/>
      <c r="E228" s="3"/>
      <c r="F228" s="3"/>
      <c r="G228" s="3"/>
      <c r="H228" s="4"/>
      <c r="I228" s="1"/>
      <c r="J228" s="10"/>
      <c r="K228" s="3"/>
      <c r="L228" s="3"/>
      <c r="M228" s="3"/>
      <c r="N228" s="4"/>
      <c r="O228" s="6"/>
      <c r="P228" s="7"/>
      <c r="Q228" s="8"/>
    </row>
    <row r="229">
      <c r="A229" s="1"/>
      <c r="B229" s="37"/>
      <c r="C229" s="3"/>
      <c r="D229" s="3"/>
      <c r="E229" s="3"/>
      <c r="F229" s="3"/>
      <c r="G229" s="3"/>
      <c r="H229" s="4"/>
      <c r="I229" s="1"/>
      <c r="J229" s="10"/>
      <c r="K229" s="3"/>
      <c r="L229" s="3"/>
      <c r="M229" s="3"/>
      <c r="N229" s="4"/>
      <c r="O229" s="6"/>
      <c r="P229" s="7"/>
      <c r="Q229" s="8"/>
    </row>
    <row r="230">
      <c r="A230" s="1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4"/>
      <c r="O230" s="6"/>
      <c r="P230" s="7"/>
      <c r="Q230" s="8"/>
    </row>
    <row r="231">
      <c r="A231" s="15"/>
      <c r="B231" s="2"/>
      <c r="C231" s="3"/>
      <c r="D231" s="3"/>
      <c r="E231" s="3"/>
      <c r="F231" s="4"/>
      <c r="G231" s="2"/>
      <c r="H231" s="3"/>
      <c r="I231" s="3"/>
      <c r="J231" s="3"/>
      <c r="K231" s="10"/>
      <c r="L231" s="3"/>
      <c r="M231" s="3"/>
      <c r="N231" s="4"/>
      <c r="O231" s="6"/>
      <c r="P231" s="7"/>
      <c r="Q231" s="8"/>
    </row>
    <row r="232">
      <c r="A232" s="16"/>
      <c r="B232" s="17"/>
      <c r="C232" s="4"/>
      <c r="D232" s="17"/>
      <c r="E232" s="3"/>
      <c r="F232" s="4"/>
      <c r="G232" s="17"/>
      <c r="H232" s="4"/>
      <c r="I232" s="17"/>
      <c r="J232" s="4"/>
      <c r="K232" s="17"/>
      <c r="L232" s="4"/>
      <c r="M232" s="17"/>
      <c r="N232" s="4"/>
      <c r="O232" s="6"/>
      <c r="P232" s="7"/>
      <c r="Q232" s="8"/>
    </row>
    <row r="233">
      <c r="A233" s="18"/>
      <c r="B233" s="33"/>
      <c r="C233" s="4"/>
      <c r="D233" s="34"/>
      <c r="E233" s="3"/>
      <c r="F233" s="3"/>
      <c r="G233" s="25"/>
      <c r="H233" s="3"/>
      <c r="I233" s="26"/>
      <c r="J233" s="3"/>
      <c r="K233" s="24"/>
      <c r="L233" s="3"/>
      <c r="M233" s="24"/>
      <c r="N233" s="4"/>
      <c r="O233" s="6"/>
      <c r="P233" s="21"/>
      <c r="Q233" s="8"/>
    </row>
    <row r="234">
      <c r="A234" s="37"/>
      <c r="B234" s="20"/>
      <c r="C234" s="4"/>
      <c r="D234" s="20"/>
      <c r="E234" s="3"/>
      <c r="F234" s="4"/>
      <c r="G234" s="20"/>
      <c r="H234" s="4"/>
      <c r="I234" s="19"/>
      <c r="J234" s="4"/>
      <c r="K234" s="19"/>
      <c r="L234" s="4"/>
      <c r="M234" s="20"/>
      <c r="N234" s="4"/>
      <c r="O234" s="6"/>
      <c r="P234" s="21"/>
      <c r="Q234" s="8"/>
    </row>
    <row r="235">
      <c r="A235" s="18"/>
      <c r="B235" s="20"/>
      <c r="C235" s="4"/>
      <c r="D235" s="20"/>
      <c r="E235" s="3"/>
      <c r="F235" s="4"/>
      <c r="G235" s="19"/>
      <c r="H235" s="4"/>
      <c r="I235" s="19"/>
      <c r="J235" s="4"/>
      <c r="K235" s="19"/>
      <c r="L235" s="4"/>
      <c r="M235" s="20"/>
      <c r="N235" s="4"/>
      <c r="O235" s="6"/>
      <c r="P235" s="21"/>
      <c r="Q235" s="8"/>
    </row>
    <row r="236">
      <c r="A236" s="18"/>
      <c r="B236" s="20"/>
      <c r="C236" s="4"/>
      <c r="D236" s="20"/>
      <c r="E236" s="3"/>
      <c r="F236" s="4"/>
      <c r="G236" s="19"/>
      <c r="H236" s="4"/>
      <c r="I236" s="19"/>
      <c r="J236" s="4"/>
      <c r="K236" s="19"/>
      <c r="L236" s="4"/>
      <c r="M236" s="19"/>
      <c r="N236" s="4"/>
      <c r="O236" s="6"/>
      <c r="P236" s="21"/>
      <c r="Q236" s="8"/>
    </row>
    <row r="237">
      <c r="A237" s="18"/>
      <c r="B237" s="20"/>
      <c r="C237" s="4"/>
      <c r="D237" s="20"/>
      <c r="E237" s="3"/>
      <c r="F237" s="4"/>
      <c r="G237" s="19"/>
      <c r="H237" s="4"/>
      <c r="I237" s="19"/>
      <c r="J237" s="4"/>
      <c r="K237" s="19"/>
      <c r="L237" s="4"/>
      <c r="M237" s="19"/>
      <c r="N237" s="4"/>
      <c r="O237" s="6"/>
      <c r="P237" s="21"/>
      <c r="Q237" s="8"/>
    </row>
    <row r="238">
      <c r="A238" s="22"/>
      <c r="B238" s="20"/>
      <c r="C238" s="4"/>
      <c r="D238" s="20"/>
      <c r="E238" s="3"/>
      <c r="F238" s="4"/>
      <c r="G238" s="20"/>
      <c r="H238" s="4"/>
      <c r="I238" s="19"/>
      <c r="J238" s="4"/>
      <c r="K238" s="19"/>
      <c r="L238" s="4"/>
      <c r="M238" s="20"/>
      <c r="N238" s="4"/>
      <c r="O238" s="6"/>
      <c r="P238" s="21"/>
      <c r="Q238" s="8"/>
    </row>
    <row r="239">
      <c r="A239" s="22"/>
      <c r="B239" s="20"/>
      <c r="C239" s="4"/>
      <c r="D239" s="20"/>
      <c r="E239" s="3"/>
      <c r="F239" s="4"/>
      <c r="G239" s="19"/>
      <c r="H239" s="4"/>
      <c r="I239" s="19"/>
      <c r="J239" s="4"/>
      <c r="K239" s="19"/>
      <c r="L239" s="4"/>
      <c r="M239" s="20"/>
      <c r="N239" s="4"/>
      <c r="O239" s="6"/>
      <c r="P239" s="21"/>
      <c r="Q239" s="8"/>
    </row>
    <row r="240">
      <c r="A240" s="18"/>
      <c r="B240" s="20"/>
      <c r="C240" s="4"/>
      <c r="D240" s="20"/>
      <c r="E240" s="3"/>
      <c r="F240" s="4"/>
      <c r="G240" s="20"/>
      <c r="H240" s="4"/>
      <c r="I240" s="19"/>
      <c r="J240" s="4"/>
      <c r="K240" s="19"/>
      <c r="L240" s="4"/>
      <c r="M240" s="20"/>
      <c r="N240" s="4"/>
      <c r="O240" s="6"/>
      <c r="P240" s="21"/>
      <c r="Q240" s="8"/>
    </row>
    <row r="241">
      <c r="A241" s="18"/>
      <c r="B241" s="33"/>
      <c r="C241" s="4"/>
      <c r="D241" s="34"/>
      <c r="E241" s="3"/>
      <c r="F241" s="3"/>
      <c r="G241" s="25"/>
      <c r="H241" s="3"/>
      <c r="I241" s="26"/>
      <c r="J241" s="3"/>
      <c r="K241" s="24"/>
      <c r="L241" s="3"/>
      <c r="M241" s="24"/>
      <c r="N241" s="4"/>
      <c r="O241" s="6"/>
      <c r="P241" s="21"/>
      <c r="Q241" s="8"/>
    </row>
    <row r="242">
      <c r="A242" s="18"/>
      <c r="B242" s="33"/>
      <c r="C242" s="4"/>
      <c r="D242" s="34"/>
      <c r="E242" s="3"/>
      <c r="F242" s="3"/>
      <c r="G242" s="25"/>
      <c r="H242" s="3"/>
      <c r="I242" s="26"/>
      <c r="J242" s="3"/>
      <c r="K242" s="24"/>
      <c r="L242" s="3"/>
      <c r="M242" s="24"/>
      <c r="N242" s="4"/>
      <c r="O242" s="6"/>
      <c r="P242" s="21"/>
      <c r="Q242" s="8"/>
    </row>
    <row r="243">
      <c r="A243" s="18"/>
      <c r="B243" s="20"/>
      <c r="C243" s="4"/>
      <c r="D243" s="20"/>
      <c r="E243" s="3"/>
      <c r="F243" s="4"/>
      <c r="G243" s="19"/>
      <c r="H243" s="4"/>
      <c r="I243" s="19"/>
      <c r="J243" s="4"/>
      <c r="K243" s="19"/>
      <c r="L243" s="4"/>
      <c r="M243" s="19"/>
      <c r="N243" s="4"/>
      <c r="O243" s="6"/>
      <c r="P243" s="21"/>
      <c r="Q243" s="8"/>
    </row>
    <row r="244">
      <c r="A244" s="18"/>
      <c r="B244" s="20"/>
      <c r="C244" s="4"/>
      <c r="D244" s="20"/>
      <c r="E244" s="3"/>
      <c r="F244" s="4"/>
      <c r="G244" s="19"/>
      <c r="H244" s="4"/>
      <c r="I244" s="19"/>
      <c r="J244" s="4"/>
      <c r="K244" s="19"/>
      <c r="L244" s="4"/>
      <c r="M244" s="19"/>
      <c r="N244" s="4"/>
      <c r="O244" s="6"/>
      <c r="P244" s="21"/>
      <c r="Q244" s="8"/>
    </row>
    <row r="245">
      <c r="A245" s="22"/>
      <c r="B245" s="20"/>
      <c r="C245" s="4"/>
      <c r="D245" s="20"/>
      <c r="E245" s="3"/>
      <c r="F245" s="4"/>
      <c r="G245" s="20"/>
      <c r="H245" s="4"/>
      <c r="I245" s="19"/>
      <c r="J245" s="4"/>
      <c r="K245" s="19"/>
      <c r="L245" s="4"/>
      <c r="M245" s="20"/>
      <c r="N245" s="4"/>
      <c r="O245" s="6"/>
      <c r="P245" s="21"/>
      <c r="Q245" s="8"/>
    </row>
    <row r="246">
      <c r="A246" s="22"/>
      <c r="B246" s="20"/>
      <c r="C246" s="4"/>
      <c r="D246" s="20"/>
      <c r="E246" s="3"/>
      <c r="F246" s="4"/>
      <c r="G246" s="19"/>
      <c r="H246" s="4"/>
      <c r="I246" s="19"/>
      <c r="J246" s="4"/>
      <c r="K246" s="19"/>
      <c r="L246" s="4"/>
      <c r="M246" s="20"/>
      <c r="N246" s="4"/>
      <c r="O246" s="6"/>
      <c r="P246" s="7"/>
      <c r="Q246" s="8"/>
    </row>
    <row r="247">
      <c r="A247" s="18"/>
      <c r="B247" s="33"/>
      <c r="C247" s="4"/>
      <c r="D247" s="34"/>
      <c r="E247" s="3"/>
      <c r="F247" s="3"/>
      <c r="G247" s="25"/>
      <c r="H247" s="3"/>
      <c r="I247" s="26"/>
      <c r="J247" s="3"/>
      <c r="K247" s="24"/>
      <c r="L247" s="3"/>
      <c r="M247" s="24"/>
      <c r="N247" s="4"/>
      <c r="O247" s="6"/>
      <c r="P247" s="21"/>
      <c r="Q247" s="8"/>
    </row>
    <row r="248">
      <c r="A248" s="18"/>
      <c r="B248" s="23"/>
      <c r="C248" s="4"/>
      <c r="D248" s="24"/>
      <c r="E248" s="3"/>
      <c r="F248" s="3"/>
      <c r="G248" s="25"/>
      <c r="H248" s="3"/>
      <c r="I248" s="26"/>
      <c r="J248" s="3"/>
      <c r="K248" s="24"/>
      <c r="L248" s="3"/>
      <c r="M248" s="24"/>
      <c r="N248" s="4"/>
      <c r="O248" s="6"/>
      <c r="P248" s="7"/>
      <c r="Q248" s="8"/>
    </row>
    <row r="249">
      <c r="O249" s="6"/>
      <c r="P249" s="7"/>
      <c r="Q249" s="8"/>
    </row>
    <row r="250">
      <c r="O250" s="6"/>
      <c r="P250" s="7"/>
      <c r="Q250" s="8"/>
    </row>
    <row r="251">
      <c r="O251" s="6"/>
      <c r="P251" s="7"/>
      <c r="Q251" s="8"/>
    </row>
    <row r="252">
      <c r="O252" s="6"/>
      <c r="P252" s="7"/>
      <c r="Q252" s="8"/>
    </row>
    <row r="253">
      <c r="O253" s="6"/>
      <c r="P253" s="7"/>
      <c r="Q253" s="8"/>
    </row>
    <row r="254">
      <c r="O254" s="6"/>
      <c r="P254" s="7"/>
      <c r="Q254" s="8"/>
    </row>
    <row r="255">
      <c r="O255" s="6"/>
      <c r="P255" s="7"/>
      <c r="Q255" s="8"/>
    </row>
    <row r="256">
      <c r="O256" s="6"/>
      <c r="P256" s="7"/>
      <c r="Q256" s="8"/>
    </row>
    <row r="257">
      <c r="O257" s="6"/>
      <c r="P257" s="7"/>
      <c r="Q257" s="8"/>
    </row>
    <row r="258">
      <c r="O258" s="6"/>
      <c r="P258" s="7"/>
      <c r="Q258" s="8"/>
    </row>
    <row r="259">
      <c r="O259" s="6"/>
      <c r="P259" s="7"/>
      <c r="Q259" s="8"/>
    </row>
    <row r="260">
      <c r="O260" s="6"/>
      <c r="P260" s="7"/>
      <c r="Q260" s="8"/>
    </row>
    <row r="261">
      <c r="O261" s="6"/>
      <c r="P261" s="7"/>
      <c r="Q261" s="8"/>
    </row>
    <row r="262">
      <c r="O262" s="6"/>
      <c r="P262" s="7"/>
      <c r="Q262" s="8"/>
    </row>
    <row r="263">
      <c r="O263" s="6"/>
      <c r="P263" s="7"/>
      <c r="Q263" s="8"/>
    </row>
    <row r="264">
      <c r="O264" s="6"/>
      <c r="P264" s="7"/>
      <c r="Q264" s="8"/>
    </row>
    <row r="265">
      <c r="O265" s="6"/>
      <c r="P265" s="7"/>
      <c r="Q265" s="8"/>
    </row>
    <row r="266">
      <c r="O266" s="6"/>
      <c r="P266" s="7"/>
      <c r="Q266" s="8"/>
    </row>
    <row r="267">
      <c r="O267" s="6"/>
      <c r="P267" s="7"/>
      <c r="Q267" s="8"/>
    </row>
    <row r="268">
      <c r="O268" s="6"/>
      <c r="P268" s="7"/>
      <c r="Q268" s="8"/>
    </row>
    <row r="269">
      <c r="O269" s="6"/>
      <c r="P269" s="7"/>
      <c r="Q269" s="8"/>
    </row>
    <row r="270">
      <c r="O270" s="6"/>
      <c r="P270" s="7"/>
      <c r="Q270" s="8"/>
    </row>
    <row r="271">
      <c r="O271" s="6"/>
      <c r="P271" s="7"/>
      <c r="Q271" s="8"/>
    </row>
    <row r="272">
      <c r="O272" s="6"/>
      <c r="P272" s="7"/>
      <c r="Q272" s="8"/>
    </row>
    <row r="273">
      <c r="O273" s="6"/>
      <c r="P273" s="7"/>
      <c r="Q273" s="8"/>
    </row>
    <row r="274">
      <c r="O274" s="6"/>
      <c r="P274" s="7"/>
      <c r="Q274" s="8"/>
    </row>
    <row r="275">
      <c r="O275" s="6"/>
      <c r="P275" s="7"/>
      <c r="Q275" s="8"/>
    </row>
    <row r="276">
      <c r="O276" s="6"/>
      <c r="P276" s="7"/>
      <c r="Q276" s="8"/>
    </row>
    <row r="277">
      <c r="O277" s="6"/>
      <c r="P277" s="7"/>
      <c r="Q277" s="8"/>
    </row>
    <row r="278">
      <c r="O278" s="6"/>
      <c r="P278" s="7"/>
      <c r="Q278" s="8"/>
    </row>
    <row r="279">
      <c r="O279" s="6"/>
      <c r="P279" s="7"/>
      <c r="Q279" s="8"/>
    </row>
    <row r="280">
      <c r="O280" s="6"/>
      <c r="P280" s="7"/>
      <c r="Q280" s="8"/>
    </row>
    <row r="281">
      <c r="O281" s="6"/>
      <c r="P281" s="7"/>
      <c r="Q281" s="8"/>
    </row>
    <row r="282">
      <c r="O282" s="6"/>
      <c r="P282" s="7"/>
      <c r="Q282" s="8"/>
    </row>
    <row r="283">
      <c r="O283" s="6"/>
      <c r="P283" s="7"/>
      <c r="Q283" s="8"/>
    </row>
    <row r="284">
      <c r="O284" s="6"/>
      <c r="P284" s="7"/>
      <c r="Q284" s="8"/>
    </row>
    <row r="285">
      <c r="O285" s="6"/>
      <c r="P285" s="7"/>
      <c r="Q285" s="8"/>
    </row>
    <row r="286">
      <c r="O286" s="6"/>
      <c r="P286" s="7"/>
      <c r="Q286" s="8"/>
    </row>
    <row r="287">
      <c r="O287" s="6"/>
      <c r="P287" s="7"/>
      <c r="Q287" s="8"/>
    </row>
    <row r="288">
      <c r="O288" s="6"/>
      <c r="P288" s="7"/>
      <c r="Q288" s="8"/>
    </row>
    <row r="289">
      <c r="O289" s="6"/>
      <c r="P289" s="7"/>
      <c r="Q289" s="8"/>
    </row>
    <row r="290">
      <c r="O290" s="6"/>
      <c r="P290" s="7"/>
      <c r="Q290" s="8"/>
    </row>
    <row r="291">
      <c r="O291" s="6"/>
      <c r="P291" s="7"/>
      <c r="Q291" s="8"/>
    </row>
    <row r="292">
      <c r="O292" s="6"/>
      <c r="P292" s="7"/>
      <c r="Q292" s="8"/>
    </row>
    <row r="293">
      <c r="O293" s="6"/>
      <c r="P293" s="7"/>
      <c r="Q293" s="8"/>
    </row>
    <row r="294">
      <c r="O294" s="6"/>
      <c r="P294" s="7"/>
      <c r="Q294" s="8"/>
    </row>
    <row r="295">
      <c r="O295" s="6"/>
      <c r="P295" s="7"/>
      <c r="Q295" s="8"/>
    </row>
    <row r="296">
      <c r="O296" s="6"/>
      <c r="P296" s="7"/>
      <c r="Q296" s="8"/>
    </row>
    <row r="297">
      <c r="O297" s="6"/>
      <c r="P297" s="7"/>
      <c r="Q297" s="8"/>
    </row>
    <row r="298">
      <c r="O298" s="6"/>
      <c r="P298" s="7"/>
      <c r="Q298" s="8"/>
    </row>
    <row r="299">
      <c r="O299" s="6"/>
      <c r="P299" s="7"/>
      <c r="Q299" s="8"/>
    </row>
    <row r="300">
      <c r="O300" s="6"/>
      <c r="P300" s="7"/>
      <c r="Q300" s="8"/>
    </row>
    <row r="301">
      <c r="O301" s="6"/>
      <c r="P301" s="7"/>
      <c r="Q301" s="8"/>
    </row>
    <row r="302">
      <c r="O302" s="6"/>
      <c r="P302" s="7"/>
      <c r="Q302" s="8"/>
    </row>
    <row r="303">
      <c r="O303" s="6"/>
      <c r="P303" s="7"/>
      <c r="Q303" s="8"/>
    </row>
    <row r="304">
      <c r="O304" s="6"/>
      <c r="P304" s="7"/>
      <c r="Q304" s="8"/>
    </row>
    <row r="305">
      <c r="O305" s="6"/>
      <c r="P305" s="7"/>
      <c r="Q305" s="8"/>
    </row>
    <row r="306">
      <c r="O306" s="6"/>
      <c r="P306" s="7"/>
      <c r="Q306" s="8"/>
    </row>
    <row r="307">
      <c r="O307" s="6"/>
      <c r="P307" s="7"/>
      <c r="Q307" s="8"/>
    </row>
    <row r="308">
      <c r="O308" s="6"/>
      <c r="P308" s="7"/>
      <c r="Q308" s="8"/>
    </row>
    <row r="309">
      <c r="O309" s="6"/>
      <c r="P309" s="7"/>
      <c r="Q309" s="8"/>
    </row>
    <row r="310">
      <c r="O310" s="6"/>
      <c r="P310" s="7"/>
      <c r="Q310" s="8"/>
    </row>
    <row r="311">
      <c r="O311" s="6"/>
      <c r="P311" s="7"/>
      <c r="Q311" s="8"/>
    </row>
    <row r="312">
      <c r="O312" s="6"/>
      <c r="P312" s="7"/>
      <c r="Q312" s="8"/>
    </row>
    <row r="313">
      <c r="O313" s="6"/>
      <c r="P313" s="7"/>
      <c r="Q313" s="8"/>
    </row>
    <row r="314">
      <c r="O314" s="6"/>
      <c r="P314" s="7"/>
      <c r="Q314" s="8"/>
    </row>
    <row r="315">
      <c r="O315" s="6"/>
      <c r="P315" s="7"/>
      <c r="Q315" s="8"/>
    </row>
    <row r="316">
      <c r="O316" s="6"/>
      <c r="P316" s="7"/>
      <c r="Q316" s="8"/>
    </row>
    <row r="317">
      <c r="O317" s="6"/>
      <c r="P317" s="7"/>
      <c r="Q317" s="8"/>
    </row>
    <row r="318">
      <c r="O318" s="6"/>
      <c r="P318" s="7"/>
      <c r="Q318" s="8"/>
    </row>
    <row r="319">
      <c r="O319" s="6"/>
      <c r="P319" s="7"/>
      <c r="Q319" s="8"/>
    </row>
    <row r="320">
      <c r="O320" s="6"/>
      <c r="P320" s="7"/>
      <c r="Q320" s="8"/>
    </row>
    <row r="321">
      <c r="O321" s="6"/>
      <c r="P321" s="7"/>
      <c r="Q321" s="8"/>
    </row>
    <row r="322">
      <c r="O322" s="6"/>
      <c r="P322" s="7"/>
      <c r="Q322" s="8"/>
    </row>
    <row r="323">
      <c r="O323" s="6"/>
      <c r="P323" s="7"/>
      <c r="Q323" s="8"/>
    </row>
    <row r="324">
      <c r="O324" s="6"/>
      <c r="P324" s="7"/>
      <c r="Q324" s="8"/>
    </row>
    <row r="325">
      <c r="O325" s="6"/>
      <c r="P325" s="7"/>
      <c r="Q325" s="8"/>
    </row>
    <row r="326">
      <c r="O326" s="6"/>
      <c r="P326" s="7"/>
      <c r="Q326" s="8"/>
    </row>
    <row r="327">
      <c r="O327" s="6"/>
      <c r="P327" s="7"/>
      <c r="Q327" s="8"/>
    </row>
    <row r="328">
      <c r="O328" s="6"/>
      <c r="P328" s="7"/>
      <c r="Q328" s="8"/>
    </row>
    <row r="329">
      <c r="O329" s="6"/>
      <c r="P329" s="7"/>
      <c r="Q329" s="8"/>
    </row>
    <row r="330">
      <c r="O330" s="6"/>
      <c r="P330" s="7"/>
      <c r="Q330" s="8"/>
    </row>
    <row r="331">
      <c r="O331" s="6"/>
      <c r="P331" s="7"/>
      <c r="Q331" s="8"/>
    </row>
    <row r="332">
      <c r="O332" s="6"/>
      <c r="P332" s="7"/>
      <c r="Q332" s="8"/>
    </row>
    <row r="333">
      <c r="O333" s="6"/>
      <c r="P333" s="7"/>
      <c r="Q333" s="8"/>
    </row>
    <row r="334">
      <c r="O334" s="6"/>
      <c r="P334" s="7"/>
      <c r="Q334" s="8"/>
    </row>
    <row r="335">
      <c r="O335" s="6"/>
      <c r="P335" s="7"/>
      <c r="Q335" s="8"/>
    </row>
    <row r="336">
      <c r="O336" s="6"/>
      <c r="P336" s="7"/>
      <c r="Q336" s="8"/>
    </row>
    <row r="337">
      <c r="O337" s="6"/>
      <c r="P337" s="7"/>
      <c r="Q337" s="8"/>
    </row>
    <row r="338">
      <c r="O338" s="6"/>
      <c r="P338" s="7"/>
      <c r="Q338" s="8"/>
    </row>
    <row r="339">
      <c r="O339" s="6"/>
      <c r="P339" s="7"/>
      <c r="Q339" s="8"/>
    </row>
    <row r="340">
      <c r="O340" s="6"/>
      <c r="P340" s="7"/>
      <c r="Q340" s="8"/>
    </row>
    <row r="341">
      <c r="O341" s="6"/>
      <c r="P341" s="7"/>
      <c r="Q341" s="8"/>
    </row>
    <row r="342">
      <c r="O342" s="6"/>
      <c r="P342" s="7"/>
      <c r="Q342" s="8"/>
    </row>
    <row r="343">
      <c r="O343" s="6"/>
      <c r="P343" s="7"/>
      <c r="Q343" s="8"/>
    </row>
    <row r="344">
      <c r="O344" s="6"/>
      <c r="P344" s="7"/>
      <c r="Q344" s="8"/>
    </row>
    <row r="345">
      <c r="O345" s="6"/>
      <c r="P345" s="7"/>
      <c r="Q345" s="8"/>
    </row>
    <row r="346">
      <c r="O346" s="6"/>
      <c r="P346" s="7"/>
      <c r="Q346" s="8"/>
    </row>
    <row r="347">
      <c r="O347" s="6"/>
      <c r="P347" s="7"/>
      <c r="Q347" s="8"/>
    </row>
    <row r="348">
      <c r="O348" s="6"/>
      <c r="P348" s="7"/>
      <c r="Q348" s="8"/>
    </row>
    <row r="349">
      <c r="O349" s="6"/>
      <c r="P349" s="7"/>
      <c r="Q349" s="8"/>
    </row>
    <row r="350">
      <c r="O350" s="6"/>
      <c r="P350" s="7"/>
      <c r="Q350" s="8"/>
    </row>
    <row r="351">
      <c r="O351" s="6"/>
      <c r="P351" s="7"/>
      <c r="Q351" s="8"/>
    </row>
    <row r="352">
      <c r="O352" s="6"/>
      <c r="P352" s="7"/>
      <c r="Q352" s="8"/>
    </row>
    <row r="353">
      <c r="O353" s="6"/>
      <c r="P353" s="7"/>
      <c r="Q353" s="8"/>
    </row>
    <row r="354">
      <c r="O354" s="6"/>
      <c r="P354" s="7"/>
      <c r="Q354" s="8"/>
    </row>
    <row r="355">
      <c r="O355" s="6"/>
      <c r="P355" s="7"/>
      <c r="Q355" s="8"/>
    </row>
    <row r="356">
      <c r="O356" s="6"/>
      <c r="P356" s="7"/>
      <c r="Q356" s="8"/>
    </row>
    <row r="357">
      <c r="O357" s="6"/>
      <c r="P357" s="7"/>
      <c r="Q357" s="8"/>
    </row>
    <row r="358">
      <c r="O358" s="6"/>
      <c r="P358" s="7"/>
      <c r="Q358" s="8"/>
    </row>
    <row r="359">
      <c r="O359" s="6"/>
      <c r="P359" s="7"/>
      <c r="Q359" s="8"/>
    </row>
    <row r="360">
      <c r="O360" s="6"/>
      <c r="P360" s="7"/>
      <c r="Q360" s="8"/>
    </row>
    <row r="361">
      <c r="O361" s="6"/>
      <c r="P361" s="7"/>
      <c r="Q361" s="8"/>
    </row>
    <row r="362">
      <c r="O362" s="6"/>
      <c r="P362" s="7"/>
      <c r="Q362" s="8"/>
    </row>
    <row r="363">
      <c r="O363" s="6"/>
      <c r="P363" s="7"/>
      <c r="Q363" s="8"/>
    </row>
    <row r="364">
      <c r="O364" s="6"/>
      <c r="P364" s="7"/>
      <c r="Q364" s="8"/>
    </row>
    <row r="365">
      <c r="O365" s="6"/>
      <c r="P365" s="7"/>
      <c r="Q365" s="8"/>
    </row>
    <row r="366">
      <c r="O366" s="6"/>
      <c r="P366" s="7"/>
      <c r="Q366" s="8"/>
    </row>
    <row r="367">
      <c r="O367" s="6"/>
      <c r="P367" s="7"/>
      <c r="Q367" s="8"/>
    </row>
    <row r="368">
      <c r="O368" s="6"/>
      <c r="P368" s="7"/>
      <c r="Q368" s="8"/>
    </row>
    <row r="369">
      <c r="O369" s="6"/>
      <c r="P369" s="7"/>
      <c r="Q369" s="8"/>
    </row>
    <row r="370">
      <c r="O370" s="6"/>
      <c r="P370" s="7"/>
      <c r="Q370" s="8"/>
    </row>
    <row r="371">
      <c r="O371" s="6"/>
      <c r="P371" s="7"/>
      <c r="Q371" s="8"/>
    </row>
    <row r="372">
      <c r="O372" s="6"/>
      <c r="P372" s="7"/>
      <c r="Q372" s="8"/>
    </row>
    <row r="373">
      <c r="O373" s="6"/>
      <c r="P373" s="7"/>
      <c r="Q373" s="8"/>
    </row>
    <row r="374">
      <c r="O374" s="6"/>
      <c r="P374" s="7"/>
      <c r="Q374" s="8"/>
    </row>
    <row r="375">
      <c r="O375" s="6"/>
      <c r="P375" s="7"/>
      <c r="Q375" s="8"/>
    </row>
    <row r="376">
      <c r="O376" s="6"/>
      <c r="P376" s="7"/>
      <c r="Q376" s="8"/>
    </row>
    <row r="377">
      <c r="O377" s="6"/>
      <c r="P377" s="7"/>
      <c r="Q377" s="8"/>
    </row>
    <row r="378">
      <c r="O378" s="6"/>
      <c r="P378" s="7"/>
      <c r="Q378" s="8"/>
    </row>
    <row r="379">
      <c r="O379" s="6"/>
      <c r="P379" s="7"/>
      <c r="Q379" s="8"/>
    </row>
    <row r="380">
      <c r="O380" s="6"/>
      <c r="P380" s="7"/>
      <c r="Q380" s="8"/>
    </row>
    <row r="381">
      <c r="O381" s="6"/>
      <c r="P381" s="7"/>
      <c r="Q381" s="8"/>
    </row>
    <row r="382">
      <c r="O382" s="6"/>
      <c r="P382" s="7"/>
      <c r="Q382" s="8"/>
    </row>
    <row r="383">
      <c r="O383" s="6"/>
      <c r="P383" s="7"/>
      <c r="Q383" s="8"/>
    </row>
    <row r="384">
      <c r="O384" s="6"/>
      <c r="P384" s="7"/>
      <c r="Q384" s="8"/>
    </row>
    <row r="385">
      <c r="O385" s="6"/>
      <c r="P385" s="7"/>
      <c r="Q385" s="8"/>
    </row>
    <row r="386">
      <c r="O386" s="6"/>
      <c r="P386" s="7"/>
      <c r="Q386" s="8"/>
    </row>
    <row r="387">
      <c r="O387" s="6"/>
      <c r="P387" s="7"/>
      <c r="Q387" s="8"/>
    </row>
    <row r="388">
      <c r="O388" s="6"/>
      <c r="P388" s="7"/>
      <c r="Q388" s="8"/>
    </row>
    <row r="389">
      <c r="O389" s="6"/>
      <c r="P389" s="7"/>
      <c r="Q389" s="8"/>
    </row>
    <row r="390">
      <c r="O390" s="6"/>
      <c r="P390" s="7"/>
      <c r="Q390" s="8"/>
    </row>
    <row r="391">
      <c r="O391" s="6"/>
      <c r="P391" s="7"/>
      <c r="Q391" s="8"/>
    </row>
    <row r="392">
      <c r="O392" s="6"/>
      <c r="P392" s="7"/>
      <c r="Q392" s="8"/>
    </row>
    <row r="393">
      <c r="O393" s="6"/>
      <c r="P393" s="7"/>
      <c r="Q393" s="8"/>
    </row>
    <row r="394">
      <c r="O394" s="6"/>
      <c r="P394" s="7"/>
      <c r="Q394" s="8"/>
    </row>
    <row r="395">
      <c r="O395" s="6"/>
      <c r="P395" s="7"/>
      <c r="Q395" s="8"/>
    </row>
    <row r="396">
      <c r="O396" s="6"/>
      <c r="P396" s="7"/>
      <c r="Q396" s="8"/>
    </row>
    <row r="397">
      <c r="O397" s="6"/>
      <c r="P397" s="7"/>
      <c r="Q397" s="8"/>
    </row>
    <row r="398">
      <c r="O398" s="6"/>
      <c r="P398" s="7"/>
      <c r="Q398" s="8"/>
    </row>
    <row r="399">
      <c r="O399" s="6"/>
      <c r="P399" s="7"/>
      <c r="Q399" s="8"/>
    </row>
    <row r="400">
      <c r="O400" s="6"/>
      <c r="P400" s="7"/>
      <c r="Q400" s="8"/>
    </row>
    <row r="401">
      <c r="O401" s="6"/>
      <c r="P401" s="7"/>
      <c r="Q401" s="8"/>
    </row>
    <row r="402">
      <c r="O402" s="6"/>
      <c r="P402" s="7"/>
      <c r="Q402" s="8"/>
    </row>
    <row r="403">
      <c r="O403" s="6"/>
      <c r="P403" s="7"/>
      <c r="Q403" s="8"/>
    </row>
    <row r="404">
      <c r="O404" s="6"/>
      <c r="P404" s="7"/>
      <c r="Q404" s="8"/>
    </row>
    <row r="405">
      <c r="O405" s="6"/>
      <c r="P405" s="7"/>
      <c r="Q405" s="8"/>
    </row>
    <row r="406">
      <c r="O406" s="6"/>
      <c r="P406" s="7"/>
      <c r="Q406" s="8"/>
    </row>
    <row r="407">
      <c r="O407" s="6"/>
      <c r="P407" s="7"/>
      <c r="Q407" s="8"/>
    </row>
    <row r="408">
      <c r="O408" s="6"/>
      <c r="P408" s="7"/>
      <c r="Q408" s="8"/>
    </row>
    <row r="409">
      <c r="O409" s="6"/>
      <c r="P409" s="7"/>
      <c r="Q409" s="8"/>
    </row>
    <row r="410">
      <c r="O410" s="6"/>
      <c r="P410" s="7"/>
      <c r="Q410" s="8"/>
    </row>
    <row r="411">
      <c r="O411" s="6"/>
      <c r="P411" s="7"/>
      <c r="Q411" s="8"/>
    </row>
    <row r="412">
      <c r="O412" s="6"/>
      <c r="P412" s="7"/>
      <c r="Q412" s="8"/>
    </row>
    <row r="413">
      <c r="O413" s="6"/>
      <c r="P413" s="7"/>
      <c r="Q413" s="8"/>
    </row>
    <row r="414">
      <c r="O414" s="6"/>
      <c r="P414" s="7"/>
      <c r="Q414" s="8"/>
    </row>
    <row r="415">
      <c r="O415" s="6"/>
      <c r="P415" s="7"/>
      <c r="Q415" s="8"/>
    </row>
    <row r="416">
      <c r="O416" s="6"/>
      <c r="P416" s="7"/>
      <c r="Q416" s="8"/>
    </row>
    <row r="417">
      <c r="O417" s="6"/>
      <c r="P417" s="7"/>
      <c r="Q417" s="8"/>
    </row>
    <row r="418">
      <c r="O418" s="6"/>
      <c r="P418" s="7"/>
      <c r="Q418" s="8"/>
    </row>
    <row r="419">
      <c r="O419" s="6"/>
      <c r="P419" s="7"/>
      <c r="Q419" s="8"/>
    </row>
    <row r="420">
      <c r="O420" s="6"/>
      <c r="P420" s="7"/>
      <c r="Q420" s="8"/>
    </row>
    <row r="421">
      <c r="O421" s="6"/>
      <c r="P421" s="7"/>
      <c r="Q421" s="8"/>
    </row>
    <row r="422">
      <c r="O422" s="6"/>
      <c r="P422" s="7"/>
      <c r="Q422" s="8"/>
    </row>
    <row r="423">
      <c r="O423" s="6"/>
      <c r="P423" s="7"/>
      <c r="Q423" s="8"/>
    </row>
    <row r="424">
      <c r="O424" s="6"/>
      <c r="P424" s="7"/>
      <c r="Q424" s="8"/>
    </row>
    <row r="425">
      <c r="O425" s="6"/>
      <c r="P425" s="7"/>
      <c r="Q425" s="8"/>
    </row>
    <row r="426">
      <c r="O426" s="6"/>
      <c r="P426" s="7"/>
      <c r="Q426" s="8"/>
    </row>
    <row r="427">
      <c r="O427" s="6"/>
      <c r="P427" s="7"/>
      <c r="Q427" s="8"/>
    </row>
    <row r="428">
      <c r="O428" s="6"/>
      <c r="P428" s="7"/>
      <c r="Q428" s="8"/>
    </row>
    <row r="429">
      <c r="O429" s="6"/>
      <c r="P429" s="7"/>
      <c r="Q429" s="8"/>
    </row>
    <row r="430">
      <c r="O430" s="6"/>
      <c r="P430" s="7"/>
      <c r="Q430" s="8"/>
    </row>
    <row r="431">
      <c r="O431" s="6"/>
      <c r="P431" s="7"/>
      <c r="Q431" s="8"/>
    </row>
    <row r="432">
      <c r="O432" s="6"/>
      <c r="P432" s="7"/>
      <c r="Q432" s="8"/>
    </row>
    <row r="433">
      <c r="O433" s="6"/>
      <c r="P433" s="7"/>
      <c r="Q433" s="8"/>
    </row>
    <row r="434">
      <c r="O434" s="6"/>
      <c r="P434" s="7"/>
      <c r="Q434" s="8"/>
    </row>
    <row r="435">
      <c r="O435" s="6"/>
      <c r="P435" s="7"/>
      <c r="Q435" s="8"/>
    </row>
    <row r="436">
      <c r="O436" s="6"/>
      <c r="P436" s="7"/>
      <c r="Q436" s="8"/>
    </row>
    <row r="437">
      <c r="O437" s="6"/>
      <c r="P437" s="7"/>
      <c r="Q437" s="8"/>
    </row>
    <row r="438">
      <c r="O438" s="6"/>
      <c r="P438" s="7"/>
      <c r="Q438" s="8"/>
    </row>
    <row r="439">
      <c r="O439" s="6"/>
      <c r="P439" s="7"/>
      <c r="Q439" s="8"/>
    </row>
    <row r="440">
      <c r="O440" s="6"/>
      <c r="P440" s="7"/>
      <c r="Q440" s="8"/>
    </row>
    <row r="441">
      <c r="O441" s="6"/>
      <c r="P441" s="7"/>
      <c r="Q441" s="8"/>
    </row>
    <row r="442">
      <c r="O442" s="6"/>
      <c r="P442" s="7"/>
      <c r="Q442" s="8"/>
    </row>
    <row r="443">
      <c r="O443" s="6"/>
      <c r="P443" s="7"/>
      <c r="Q443" s="8"/>
    </row>
    <row r="444">
      <c r="O444" s="6"/>
      <c r="P444" s="7"/>
      <c r="Q444" s="8"/>
    </row>
    <row r="445">
      <c r="O445" s="6"/>
      <c r="P445" s="7"/>
      <c r="Q445" s="8"/>
    </row>
    <row r="446">
      <c r="O446" s="6"/>
      <c r="P446" s="7"/>
      <c r="Q446" s="8"/>
    </row>
    <row r="447">
      <c r="O447" s="6"/>
      <c r="P447" s="7"/>
      <c r="Q447" s="8"/>
    </row>
    <row r="448">
      <c r="O448" s="6"/>
      <c r="P448" s="7"/>
      <c r="Q448" s="8"/>
    </row>
    <row r="449">
      <c r="O449" s="6"/>
      <c r="P449" s="7"/>
      <c r="Q449" s="8"/>
    </row>
    <row r="450">
      <c r="O450" s="6"/>
      <c r="P450" s="7"/>
      <c r="Q450" s="8"/>
    </row>
    <row r="451">
      <c r="O451" s="6"/>
      <c r="P451" s="7"/>
      <c r="Q451" s="8"/>
    </row>
    <row r="452">
      <c r="O452" s="6"/>
      <c r="P452" s="7"/>
      <c r="Q452" s="8"/>
    </row>
    <row r="453">
      <c r="O453" s="6"/>
      <c r="P453" s="7"/>
      <c r="Q453" s="8"/>
    </row>
    <row r="454">
      <c r="O454" s="6"/>
      <c r="P454" s="7"/>
      <c r="Q454" s="8"/>
    </row>
    <row r="455">
      <c r="O455" s="6"/>
      <c r="P455" s="7"/>
      <c r="Q455" s="8"/>
    </row>
    <row r="456">
      <c r="O456" s="6"/>
      <c r="P456" s="7"/>
      <c r="Q456" s="8"/>
    </row>
    <row r="457">
      <c r="O457" s="6"/>
      <c r="P457" s="7"/>
      <c r="Q457" s="8"/>
    </row>
    <row r="458">
      <c r="O458" s="6"/>
      <c r="P458" s="7"/>
      <c r="Q458" s="8"/>
    </row>
    <row r="459">
      <c r="O459" s="6"/>
      <c r="P459" s="7"/>
      <c r="Q459" s="8"/>
    </row>
    <row r="460">
      <c r="O460" s="6"/>
      <c r="P460" s="7"/>
      <c r="Q460" s="8"/>
    </row>
    <row r="461">
      <c r="O461" s="6"/>
      <c r="P461" s="7"/>
      <c r="Q461" s="8"/>
    </row>
    <row r="462">
      <c r="O462" s="6"/>
      <c r="P462" s="7"/>
      <c r="Q462" s="8"/>
    </row>
    <row r="463">
      <c r="O463" s="6"/>
      <c r="P463" s="7"/>
      <c r="Q463" s="8"/>
    </row>
    <row r="464">
      <c r="O464" s="6"/>
      <c r="P464" s="7"/>
      <c r="Q464" s="8"/>
    </row>
    <row r="465">
      <c r="O465" s="6"/>
      <c r="P465" s="7"/>
      <c r="Q465" s="8"/>
    </row>
    <row r="466">
      <c r="O466" s="6"/>
      <c r="P466" s="7"/>
      <c r="Q466" s="8"/>
    </row>
    <row r="467">
      <c r="O467" s="6"/>
      <c r="P467" s="7"/>
      <c r="Q467" s="8"/>
    </row>
    <row r="468">
      <c r="O468" s="6"/>
      <c r="P468" s="7"/>
      <c r="Q468" s="8"/>
    </row>
    <row r="469">
      <c r="O469" s="6"/>
      <c r="P469" s="7"/>
      <c r="Q469" s="8"/>
    </row>
    <row r="470">
      <c r="O470" s="6"/>
      <c r="P470" s="7"/>
      <c r="Q470" s="8"/>
    </row>
    <row r="471">
      <c r="O471" s="6"/>
      <c r="P471" s="7"/>
      <c r="Q471" s="8"/>
    </row>
    <row r="472">
      <c r="O472" s="6"/>
      <c r="P472" s="7"/>
      <c r="Q472" s="8"/>
    </row>
    <row r="473">
      <c r="O473" s="6"/>
      <c r="P473" s="7"/>
      <c r="Q473" s="8"/>
    </row>
    <row r="474">
      <c r="O474" s="6"/>
      <c r="P474" s="7"/>
      <c r="Q474" s="8"/>
    </row>
    <row r="475">
      <c r="O475" s="6"/>
      <c r="P475" s="7"/>
      <c r="Q475" s="8"/>
    </row>
    <row r="476">
      <c r="O476" s="6"/>
      <c r="P476" s="7"/>
      <c r="Q476" s="8"/>
    </row>
    <row r="477">
      <c r="O477" s="6"/>
      <c r="P477" s="7"/>
      <c r="Q477" s="8"/>
    </row>
    <row r="478">
      <c r="O478" s="6"/>
      <c r="P478" s="7"/>
      <c r="Q478" s="8"/>
    </row>
    <row r="479">
      <c r="O479" s="6"/>
      <c r="P479" s="7"/>
      <c r="Q479" s="8"/>
    </row>
    <row r="480">
      <c r="O480" s="6"/>
      <c r="P480" s="7"/>
      <c r="Q480" s="8"/>
    </row>
    <row r="481">
      <c r="O481" s="6"/>
      <c r="P481" s="7"/>
      <c r="Q481" s="8"/>
    </row>
    <row r="482">
      <c r="O482" s="6"/>
      <c r="P482" s="7"/>
      <c r="Q482" s="8"/>
    </row>
    <row r="483">
      <c r="O483" s="6"/>
      <c r="P483" s="7"/>
      <c r="Q483" s="8"/>
    </row>
    <row r="484">
      <c r="O484" s="6"/>
      <c r="P484" s="7"/>
      <c r="Q484" s="8"/>
    </row>
    <row r="485">
      <c r="O485" s="6"/>
      <c r="P485" s="7"/>
      <c r="Q485" s="8"/>
    </row>
    <row r="486">
      <c r="O486" s="6"/>
      <c r="P486" s="7"/>
      <c r="Q486" s="8"/>
    </row>
    <row r="487">
      <c r="O487" s="6"/>
      <c r="P487" s="7"/>
      <c r="Q487" s="8"/>
    </row>
    <row r="488">
      <c r="O488" s="6"/>
      <c r="P488" s="7"/>
      <c r="Q488" s="8"/>
    </row>
    <row r="489">
      <c r="O489" s="6"/>
      <c r="P489" s="7"/>
      <c r="Q489" s="8"/>
    </row>
    <row r="490">
      <c r="O490" s="6"/>
      <c r="P490" s="7"/>
      <c r="Q490" s="8"/>
    </row>
    <row r="491">
      <c r="O491" s="6"/>
      <c r="P491" s="7"/>
      <c r="Q491" s="8"/>
    </row>
    <row r="492">
      <c r="O492" s="6"/>
      <c r="P492" s="7"/>
      <c r="Q492" s="8"/>
    </row>
    <row r="493">
      <c r="O493" s="6"/>
      <c r="P493" s="7"/>
      <c r="Q493" s="8"/>
    </row>
    <row r="494">
      <c r="O494" s="6"/>
      <c r="P494" s="7"/>
      <c r="Q494" s="8"/>
    </row>
    <row r="495">
      <c r="O495" s="6"/>
      <c r="P495" s="7"/>
      <c r="Q495" s="8"/>
    </row>
    <row r="496">
      <c r="O496" s="6"/>
      <c r="P496" s="7"/>
      <c r="Q496" s="8"/>
    </row>
    <row r="497">
      <c r="O497" s="6"/>
      <c r="P497" s="7"/>
      <c r="Q497" s="8"/>
    </row>
    <row r="498">
      <c r="O498" s="6"/>
      <c r="P498" s="7"/>
      <c r="Q498" s="8"/>
    </row>
    <row r="499">
      <c r="O499" s="6"/>
      <c r="P499" s="7"/>
      <c r="Q499" s="8"/>
    </row>
    <row r="500">
      <c r="O500" s="6"/>
      <c r="P500" s="7"/>
      <c r="Q500" s="8"/>
    </row>
    <row r="501">
      <c r="O501" s="6"/>
      <c r="P501" s="7"/>
      <c r="Q501" s="8"/>
    </row>
    <row r="502">
      <c r="O502" s="6"/>
      <c r="P502" s="7"/>
      <c r="Q502" s="8"/>
    </row>
    <row r="503">
      <c r="O503" s="6"/>
      <c r="P503" s="7"/>
      <c r="Q503" s="8"/>
    </row>
    <row r="504">
      <c r="O504" s="6"/>
      <c r="P504" s="7"/>
      <c r="Q504" s="8"/>
    </row>
    <row r="505">
      <c r="O505" s="6"/>
      <c r="P505" s="7"/>
      <c r="Q505" s="8"/>
    </row>
    <row r="506">
      <c r="O506" s="6"/>
      <c r="P506" s="7"/>
      <c r="Q506" s="8"/>
    </row>
    <row r="507">
      <c r="O507" s="6"/>
      <c r="P507" s="7"/>
      <c r="Q507" s="8"/>
    </row>
    <row r="508">
      <c r="O508" s="6"/>
      <c r="P508" s="7"/>
      <c r="Q508" s="8"/>
    </row>
    <row r="509">
      <c r="O509" s="6"/>
      <c r="P509" s="7"/>
      <c r="Q509" s="8"/>
    </row>
    <row r="510">
      <c r="O510" s="6"/>
      <c r="P510" s="7"/>
      <c r="Q510" s="8"/>
    </row>
    <row r="511">
      <c r="O511" s="6"/>
      <c r="P511" s="7"/>
      <c r="Q511" s="8"/>
    </row>
    <row r="512">
      <c r="O512" s="6"/>
      <c r="P512" s="7"/>
      <c r="Q512" s="8"/>
    </row>
    <row r="513">
      <c r="O513" s="6"/>
      <c r="P513" s="7"/>
      <c r="Q513" s="8"/>
    </row>
    <row r="514">
      <c r="O514" s="6"/>
      <c r="P514" s="7"/>
      <c r="Q514" s="8"/>
    </row>
    <row r="515">
      <c r="O515" s="6"/>
      <c r="P515" s="7"/>
      <c r="Q515" s="8"/>
    </row>
    <row r="516">
      <c r="O516" s="6"/>
      <c r="P516" s="7"/>
      <c r="Q516" s="8"/>
    </row>
    <row r="517">
      <c r="O517" s="6"/>
      <c r="P517" s="7"/>
      <c r="Q517" s="8"/>
    </row>
    <row r="518">
      <c r="O518" s="6"/>
      <c r="P518" s="7"/>
      <c r="Q518" s="8"/>
    </row>
    <row r="519">
      <c r="O519" s="6"/>
      <c r="P519" s="7"/>
      <c r="Q519" s="8"/>
    </row>
    <row r="520">
      <c r="O520" s="6"/>
      <c r="P520" s="7"/>
      <c r="Q520" s="8"/>
    </row>
    <row r="521">
      <c r="O521" s="6"/>
      <c r="P521" s="7"/>
      <c r="Q521" s="8"/>
    </row>
    <row r="522">
      <c r="O522" s="6"/>
      <c r="P522" s="7"/>
      <c r="Q522" s="8"/>
    </row>
    <row r="523">
      <c r="O523" s="6"/>
      <c r="P523" s="7"/>
      <c r="Q523" s="8"/>
    </row>
    <row r="524">
      <c r="O524" s="6"/>
      <c r="P524" s="7"/>
      <c r="Q524" s="8"/>
    </row>
    <row r="525">
      <c r="O525" s="6"/>
      <c r="P525" s="7"/>
      <c r="Q525" s="8"/>
    </row>
    <row r="526">
      <c r="O526" s="6"/>
      <c r="P526" s="7"/>
      <c r="Q526" s="8"/>
    </row>
    <row r="527">
      <c r="O527" s="6"/>
      <c r="P527" s="7"/>
      <c r="Q527" s="8"/>
    </row>
    <row r="528">
      <c r="O528" s="6"/>
      <c r="P528" s="7"/>
      <c r="Q528" s="8"/>
    </row>
    <row r="529">
      <c r="O529" s="6"/>
      <c r="P529" s="7"/>
      <c r="Q529" s="8"/>
    </row>
    <row r="530">
      <c r="O530" s="6"/>
      <c r="P530" s="7"/>
      <c r="Q530" s="8"/>
    </row>
    <row r="531">
      <c r="O531" s="6"/>
      <c r="P531" s="7"/>
      <c r="Q531" s="8"/>
    </row>
    <row r="532">
      <c r="O532" s="6"/>
      <c r="P532" s="7"/>
      <c r="Q532" s="8"/>
    </row>
    <row r="533">
      <c r="O533" s="6"/>
      <c r="P533" s="7"/>
      <c r="Q533" s="8"/>
    </row>
    <row r="534">
      <c r="O534" s="6"/>
      <c r="P534" s="7"/>
      <c r="Q534" s="8"/>
    </row>
    <row r="535">
      <c r="O535" s="6"/>
      <c r="P535" s="7"/>
      <c r="Q535" s="8"/>
    </row>
    <row r="536">
      <c r="O536" s="6"/>
      <c r="P536" s="7"/>
      <c r="Q536" s="8"/>
    </row>
    <row r="537">
      <c r="O537" s="6"/>
      <c r="P537" s="7"/>
      <c r="Q537" s="8"/>
    </row>
    <row r="538">
      <c r="O538" s="6"/>
      <c r="P538" s="7"/>
      <c r="Q538" s="8"/>
    </row>
    <row r="539">
      <c r="O539" s="6"/>
      <c r="P539" s="7"/>
      <c r="Q539" s="8"/>
    </row>
    <row r="540">
      <c r="O540" s="6"/>
      <c r="P540" s="7"/>
      <c r="Q540" s="8"/>
    </row>
    <row r="541">
      <c r="O541" s="6"/>
      <c r="P541" s="7"/>
      <c r="Q541" s="8"/>
    </row>
    <row r="542">
      <c r="O542" s="6"/>
      <c r="P542" s="7"/>
      <c r="Q542" s="8"/>
    </row>
    <row r="543">
      <c r="O543" s="6"/>
      <c r="P543" s="7"/>
      <c r="Q543" s="8"/>
    </row>
    <row r="544">
      <c r="O544" s="6"/>
      <c r="P544" s="7"/>
      <c r="Q544" s="8"/>
    </row>
    <row r="545">
      <c r="O545" s="6"/>
      <c r="P545" s="7"/>
      <c r="Q545" s="8"/>
    </row>
    <row r="546">
      <c r="O546" s="6"/>
      <c r="P546" s="7"/>
      <c r="Q546" s="8"/>
    </row>
    <row r="547">
      <c r="O547" s="6"/>
      <c r="P547" s="7"/>
      <c r="Q547" s="8"/>
    </row>
    <row r="548">
      <c r="O548" s="6"/>
      <c r="P548" s="7"/>
      <c r="Q548" s="8"/>
    </row>
    <row r="549">
      <c r="O549" s="6"/>
      <c r="P549" s="7"/>
      <c r="Q549" s="8"/>
    </row>
    <row r="550">
      <c r="O550" s="6"/>
      <c r="P550" s="7"/>
      <c r="Q550" s="8"/>
    </row>
    <row r="551">
      <c r="O551" s="6"/>
      <c r="P551" s="7"/>
      <c r="Q551" s="8"/>
    </row>
    <row r="552">
      <c r="O552" s="6"/>
      <c r="P552" s="7"/>
      <c r="Q552" s="8"/>
    </row>
    <row r="553">
      <c r="O553" s="6"/>
      <c r="P553" s="7"/>
      <c r="Q553" s="8"/>
    </row>
    <row r="554">
      <c r="O554" s="6"/>
      <c r="P554" s="7"/>
      <c r="Q554" s="8"/>
    </row>
    <row r="555">
      <c r="O555" s="6"/>
      <c r="P555" s="7"/>
      <c r="Q555" s="8"/>
    </row>
    <row r="556">
      <c r="O556" s="6"/>
      <c r="P556" s="7"/>
      <c r="Q556" s="8"/>
    </row>
    <row r="557">
      <c r="O557" s="6"/>
      <c r="P557" s="7"/>
      <c r="Q557" s="8"/>
    </row>
    <row r="558">
      <c r="O558" s="6"/>
      <c r="P558" s="7"/>
      <c r="Q558" s="8"/>
    </row>
    <row r="559">
      <c r="O559" s="6"/>
      <c r="P559" s="7"/>
      <c r="Q559" s="8"/>
    </row>
    <row r="560">
      <c r="O560" s="6"/>
      <c r="P560" s="7"/>
      <c r="Q560" s="8"/>
    </row>
    <row r="561">
      <c r="O561" s="6"/>
      <c r="P561" s="7"/>
      <c r="Q561" s="8"/>
    </row>
    <row r="562">
      <c r="O562" s="6"/>
      <c r="P562" s="7"/>
      <c r="Q562" s="8"/>
    </row>
    <row r="563">
      <c r="O563" s="6"/>
      <c r="P563" s="7"/>
      <c r="Q563" s="8"/>
    </row>
    <row r="564">
      <c r="O564" s="6"/>
      <c r="P564" s="7"/>
      <c r="Q564" s="8"/>
    </row>
    <row r="565">
      <c r="O565" s="6"/>
      <c r="P565" s="7"/>
      <c r="Q565" s="8"/>
    </row>
    <row r="566">
      <c r="O566" s="6"/>
      <c r="P566" s="7"/>
      <c r="Q566" s="8"/>
    </row>
    <row r="567">
      <c r="O567" s="6"/>
      <c r="P567" s="7"/>
      <c r="Q567" s="8"/>
    </row>
    <row r="568">
      <c r="O568" s="6"/>
      <c r="P568" s="7"/>
      <c r="Q568" s="8"/>
    </row>
    <row r="569">
      <c r="O569" s="6"/>
      <c r="P569" s="7"/>
      <c r="Q569" s="8"/>
    </row>
    <row r="570">
      <c r="O570" s="6"/>
      <c r="P570" s="7"/>
      <c r="Q570" s="8"/>
    </row>
    <row r="571">
      <c r="O571" s="6"/>
      <c r="P571" s="7"/>
      <c r="Q571" s="8"/>
    </row>
    <row r="572">
      <c r="O572" s="6"/>
      <c r="P572" s="7"/>
      <c r="Q572" s="8"/>
    </row>
    <row r="573">
      <c r="O573" s="6"/>
      <c r="P573" s="7"/>
      <c r="Q573" s="8"/>
    </row>
    <row r="574">
      <c r="O574" s="6"/>
      <c r="P574" s="7"/>
      <c r="Q574" s="8"/>
    </row>
    <row r="575">
      <c r="O575" s="6"/>
      <c r="P575" s="7"/>
      <c r="Q575" s="8"/>
    </row>
    <row r="576">
      <c r="O576" s="6"/>
      <c r="P576" s="7"/>
      <c r="Q576" s="8"/>
    </row>
    <row r="577">
      <c r="O577" s="6"/>
      <c r="P577" s="7"/>
      <c r="Q577" s="8"/>
    </row>
    <row r="578">
      <c r="O578" s="6"/>
      <c r="P578" s="7"/>
      <c r="Q578" s="8"/>
    </row>
    <row r="579">
      <c r="O579" s="6"/>
      <c r="P579" s="7"/>
      <c r="Q579" s="8"/>
    </row>
    <row r="580">
      <c r="O580" s="6"/>
      <c r="P580" s="7"/>
      <c r="Q580" s="8"/>
    </row>
    <row r="581">
      <c r="O581" s="6"/>
      <c r="P581" s="7"/>
      <c r="Q581" s="8"/>
    </row>
    <row r="582">
      <c r="O582" s="6"/>
      <c r="P582" s="7"/>
      <c r="Q582" s="8"/>
    </row>
    <row r="583">
      <c r="O583" s="6"/>
      <c r="P583" s="7"/>
      <c r="Q583" s="8"/>
    </row>
    <row r="584">
      <c r="O584" s="6"/>
      <c r="P584" s="7"/>
      <c r="Q584" s="8"/>
    </row>
    <row r="585">
      <c r="O585" s="6"/>
      <c r="P585" s="7"/>
      <c r="Q585" s="8"/>
    </row>
    <row r="586">
      <c r="O586" s="6"/>
      <c r="P586" s="7"/>
      <c r="Q586" s="8"/>
    </row>
    <row r="587">
      <c r="O587" s="6"/>
      <c r="P587" s="7"/>
      <c r="Q587" s="8"/>
    </row>
    <row r="588">
      <c r="O588" s="6"/>
      <c r="P588" s="7"/>
      <c r="Q588" s="8"/>
    </row>
    <row r="589">
      <c r="O589" s="6"/>
      <c r="P589" s="7"/>
      <c r="Q589" s="8"/>
    </row>
    <row r="590">
      <c r="O590" s="6"/>
      <c r="P590" s="7"/>
      <c r="Q590" s="8"/>
    </row>
    <row r="591">
      <c r="O591" s="6"/>
      <c r="P591" s="7"/>
      <c r="Q591" s="8"/>
    </row>
    <row r="592">
      <c r="O592" s="6"/>
      <c r="P592" s="7"/>
      <c r="Q592" s="8"/>
    </row>
    <row r="593">
      <c r="O593" s="6"/>
      <c r="P593" s="7"/>
      <c r="Q593" s="8"/>
    </row>
    <row r="594">
      <c r="O594" s="6"/>
      <c r="P594" s="7"/>
      <c r="Q594" s="8"/>
    </row>
    <row r="595">
      <c r="O595" s="6"/>
      <c r="P595" s="7"/>
      <c r="Q595" s="8"/>
    </row>
    <row r="596">
      <c r="O596" s="6"/>
      <c r="P596" s="7"/>
      <c r="Q596" s="8"/>
    </row>
    <row r="597">
      <c r="O597" s="6"/>
      <c r="P597" s="7"/>
      <c r="Q597" s="8"/>
    </row>
    <row r="598">
      <c r="O598" s="6"/>
      <c r="P598" s="7"/>
      <c r="Q598" s="8"/>
    </row>
    <row r="599">
      <c r="O599" s="6"/>
      <c r="P599" s="7"/>
      <c r="Q599" s="8"/>
    </row>
    <row r="600">
      <c r="O600" s="6"/>
      <c r="P600" s="7"/>
      <c r="Q600" s="8"/>
    </row>
    <row r="601">
      <c r="O601" s="6"/>
      <c r="P601" s="7"/>
      <c r="Q601" s="8"/>
    </row>
    <row r="602">
      <c r="O602" s="6"/>
      <c r="P602" s="7"/>
      <c r="Q602" s="8"/>
    </row>
    <row r="603">
      <c r="O603" s="6"/>
      <c r="P603" s="7"/>
      <c r="Q603" s="8"/>
    </row>
    <row r="604">
      <c r="O604" s="6"/>
      <c r="P604" s="7"/>
      <c r="Q604" s="8"/>
    </row>
    <row r="605">
      <c r="O605" s="6"/>
      <c r="P605" s="7"/>
      <c r="Q605" s="8"/>
    </row>
    <row r="606">
      <c r="O606" s="6"/>
      <c r="P606" s="7"/>
      <c r="Q606" s="8"/>
    </row>
    <row r="607">
      <c r="O607" s="6"/>
      <c r="P607" s="7"/>
      <c r="Q607" s="8"/>
    </row>
    <row r="608">
      <c r="O608" s="6"/>
      <c r="P608" s="7"/>
      <c r="Q608" s="8"/>
    </row>
    <row r="609">
      <c r="O609" s="6"/>
      <c r="P609" s="7"/>
      <c r="Q609" s="8"/>
    </row>
    <row r="610">
      <c r="O610" s="6"/>
      <c r="P610" s="7"/>
      <c r="Q610" s="8"/>
    </row>
    <row r="611">
      <c r="O611" s="6"/>
      <c r="P611" s="7"/>
      <c r="Q611" s="8"/>
    </row>
    <row r="612">
      <c r="O612" s="6"/>
      <c r="P612" s="7"/>
      <c r="Q612" s="8"/>
    </row>
    <row r="613">
      <c r="O613" s="6"/>
      <c r="P613" s="7"/>
      <c r="Q613" s="8"/>
    </row>
    <row r="614">
      <c r="O614" s="6"/>
      <c r="P614" s="7"/>
      <c r="Q614" s="8"/>
    </row>
    <row r="615">
      <c r="O615" s="6"/>
      <c r="P615" s="7"/>
      <c r="Q615" s="8"/>
    </row>
    <row r="616">
      <c r="O616" s="6"/>
      <c r="P616" s="7"/>
      <c r="Q616" s="8"/>
    </row>
    <row r="617">
      <c r="O617" s="6"/>
      <c r="P617" s="7"/>
      <c r="Q617" s="8"/>
    </row>
    <row r="618">
      <c r="O618" s="6"/>
      <c r="P618" s="7"/>
      <c r="Q618" s="8"/>
    </row>
    <row r="619">
      <c r="O619" s="6"/>
      <c r="P619" s="7"/>
      <c r="Q619" s="8"/>
    </row>
    <row r="620">
      <c r="O620" s="6"/>
      <c r="P620" s="7"/>
      <c r="Q620" s="8"/>
    </row>
    <row r="621">
      <c r="O621" s="6"/>
      <c r="P621" s="7"/>
      <c r="Q621" s="8"/>
    </row>
    <row r="622">
      <c r="O622" s="6"/>
      <c r="P622" s="7"/>
      <c r="Q622" s="8"/>
    </row>
    <row r="623">
      <c r="O623" s="6"/>
      <c r="P623" s="7"/>
      <c r="Q623" s="8"/>
    </row>
    <row r="624">
      <c r="O624" s="6"/>
      <c r="P624" s="7"/>
      <c r="Q624" s="8"/>
    </row>
    <row r="625">
      <c r="O625" s="6"/>
      <c r="P625" s="7"/>
      <c r="Q625" s="8"/>
    </row>
    <row r="626">
      <c r="O626" s="6"/>
      <c r="P626" s="7"/>
      <c r="Q626" s="8"/>
    </row>
    <row r="627">
      <c r="O627" s="6"/>
      <c r="P627" s="7"/>
      <c r="Q627" s="8"/>
    </row>
    <row r="628">
      <c r="O628" s="6"/>
      <c r="P628" s="7"/>
      <c r="Q628" s="8"/>
    </row>
    <row r="629">
      <c r="O629" s="6"/>
      <c r="P629" s="7"/>
      <c r="Q629" s="8"/>
    </row>
    <row r="630">
      <c r="O630" s="6"/>
      <c r="P630" s="7"/>
      <c r="Q630" s="8"/>
    </row>
    <row r="631">
      <c r="O631" s="6"/>
      <c r="P631" s="7"/>
      <c r="Q631" s="8"/>
    </row>
    <row r="632">
      <c r="O632" s="6"/>
      <c r="P632" s="7"/>
      <c r="Q632" s="8"/>
    </row>
    <row r="633">
      <c r="O633" s="6"/>
      <c r="P633" s="7"/>
      <c r="Q633" s="8"/>
    </row>
    <row r="634">
      <c r="O634" s="6"/>
      <c r="P634" s="7"/>
      <c r="Q634" s="8"/>
    </row>
    <row r="635">
      <c r="O635" s="6"/>
      <c r="P635" s="7"/>
      <c r="Q635" s="8"/>
    </row>
    <row r="636">
      <c r="O636" s="6"/>
      <c r="P636" s="7"/>
      <c r="Q636" s="8"/>
    </row>
    <row r="637">
      <c r="O637" s="6"/>
      <c r="P637" s="7"/>
      <c r="Q637" s="8"/>
    </row>
    <row r="638">
      <c r="O638" s="6"/>
      <c r="P638" s="7"/>
      <c r="Q638" s="8"/>
    </row>
    <row r="639">
      <c r="O639" s="6"/>
      <c r="P639" s="7"/>
      <c r="Q639" s="8"/>
    </row>
    <row r="640">
      <c r="O640" s="6"/>
      <c r="P640" s="7"/>
      <c r="Q640" s="8"/>
    </row>
    <row r="641">
      <c r="O641" s="6"/>
      <c r="P641" s="7"/>
      <c r="Q641" s="8"/>
    </row>
    <row r="642">
      <c r="O642" s="6"/>
      <c r="P642" s="7"/>
      <c r="Q642" s="8"/>
    </row>
    <row r="643">
      <c r="O643" s="6"/>
      <c r="P643" s="7"/>
      <c r="Q643" s="8"/>
    </row>
    <row r="644">
      <c r="O644" s="6"/>
      <c r="P644" s="7"/>
      <c r="Q644" s="8"/>
    </row>
    <row r="645">
      <c r="O645" s="6"/>
      <c r="P645" s="7"/>
      <c r="Q645" s="8"/>
    </row>
    <row r="646">
      <c r="O646" s="6"/>
      <c r="P646" s="7"/>
      <c r="Q646" s="8"/>
    </row>
    <row r="647">
      <c r="O647" s="6"/>
      <c r="P647" s="7"/>
      <c r="Q647" s="8"/>
    </row>
    <row r="648">
      <c r="O648" s="6"/>
      <c r="P648" s="7"/>
      <c r="Q648" s="8"/>
    </row>
    <row r="649">
      <c r="O649" s="6"/>
      <c r="P649" s="7"/>
      <c r="Q649" s="8"/>
    </row>
    <row r="650">
      <c r="O650" s="6"/>
      <c r="P650" s="7"/>
      <c r="Q650" s="8"/>
    </row>
    <row r="651">
      <c r="O651" s="6"/>
      <c r="P651" s="7"/>
      <c r="Q651" s="8"/>
    </row>
    <row r="652">
      <c r="O652" s="6"/>
      <c r="P652" s="7"/>
      <c r="Q652" s="8"/>
    </row>
    <row r="653">
      <c r="O653" s="6"/>
      <c r="P653" s="7"/>
      <c r="Q653" s="8"/>
    </row>
    <row r="654">
      <c r="O654" s="6"/>
      <c r="P654" s="7"/>
      <c r="Q654" s="8"/>
    </row>
    <row r="655">
      <c r="O655" s="6"/>
      <c r="P655" s="7"/>
      <c r="Q655" s="8"/>
    </row>
    <row r="656">
      <c r="O656" s="6"/>
      <c r="P656" s="7"/>
      <c r="Q656" s="8"/>
    </row>
    <row r="657">
      <c r="O657" s="6"/>
      <c r="P657" s="7"/>
      <c r="Q657" s="8"/>
    </row>
    <row r="658">
      <c r="O658" s="6"/>
      <c r="P658" s="7"/>
      <c r="Q658" s="8"/>
    </row>
    <row r="659">
      <c r="O659" s="6"/>
      <c r="P659" s="7"/>
      <c r="Q659" s="8"/>
    </row>
    <row r="660">
      <c r="O660" s="6"/>
      <c r="P660" s="7"/>
      <c r="Q660" s="8"/>
    </row>
    <row r="661">
      <c r="O661" s="6"/>
      <c r="P661" s="7"/>
      <c r="Q661" s="8"/>
    </row>
    <row r="662">
      <c r="O662" s="6"/>
      <c r="P662" s="7"/>
      <c r="Q662" s="8"/>
    </row>
    <row r="663">
      <c r="O663" s="6"/>
      <c r="P663" s="7"/>
      <c r="Q663" s="8"/>
    </row>
    <row r="664">
      <c r="O664" s="6"/>
      <c r="P664" s="7"/>
      <c r="Q664" s="8"/>
    </row>
    <row r="665">
      <c r="O665" s="6"/>
      <c r="P665" s="7"/>
      <c r="Q665" s="8"/>
    </row>
    <row r="666">
      <c r="O666" s="6"/>
      <c r="P666" s="7"/>
      <c r="Q666" s="8"/>
    </row>
    <row r="667">
      <c r="O667" s="6"/>
      <c r="P667" s="7"/>
      <c r="Q667" s="8"/>
    </row>
    <row r="668">
      <c r="O668" s="6"/>
      <c r="P668" s="7"/>
      <c r="Q668" s="8"/>
    </row>
    <row r="669">
      <c r="O669" s="6"/>
      <c r="P669" s="7"/>
      <c r="Q669" s="8"/>
    </row>
    <row r="670">
      <c r="O670" s="6"/>
      <c r="P670" s="7"/>
      <c r="Q670" s="8"/>
    </row>
    <row r="671">
      <c r="O671" s="6"/>
      <c r="P671" s="7"/>
      <c r="Q671" s="8"/>
    </row>
    <row r="672">
      <c r="O672" s="6"/>
      <c r="P672" s="7"/>
      <c r="Q672" s="8"/>
    </row>
    <row r="673">
      <c r="O673" s="6"/>
      <c r="P673" s="7"/>
      <c r="Q673" s="8"/>
    </row>
    <row r="674">
      <c r="O674" s="6"/>
      <c r="P674" s="7"/>
      <c r="Q674" s="8"/>
    </row>
    <row r="675">
      <c r="O675" s="6"/>
      <c r="P675" s="7"/>
      <c r="Q675" s="8"/>
    </row>
    <row r="676">
      <c r="O676" s="6"/>
      <c r="P676" s="7"/>
      <c r="Q676" s="8"/>
    </row>
    <row r="677">
      <c r="O677" s="6"/>
      <c r="P677" s="7"/>
      <c r="Q677" s="8"/>
    </row>
    <row r="678">
      <c r="O678" s="6"/>
      <c r="P678" s="7"/>
      <c r="Q678" s="8"/>
    </row>
    <row r="679">
      <c r="O679" s="6"/>
      <c r="P679" s="7"/>
      <c r="Q679" s="8"/>
    </row>
    <row r="680">
      <c r="O680" s="6"/>
      <c r="P680" s="7"/>
      <c r="Q680" s="8"/>
    </row>
    <row r="681">
      <c r="O681" s="6"/>
      <c r="P681" s="7"/>
      <c r="Q681" s="8"/>
    </row>
    <row r="682">
      <c r="O682" s="6"/>
      <c r="P682" s="7"/>
      <c r="Q682" s="8"/>
    </row>
    <row r="683">
      <c r="O683" s="6"/>
      <c r="P683" s="7"/>
      <c r="Q683" s="8"/>
    </row>
    <row r="684">
      <c r="O684" s="6"/>
      <c r="P684" s="7"/>
      <c r="Q684" s="8"/>
    </row>
    <row r="685">
      <c r="O685" s="6"/>
      <c r="P685" s="7"/>
      <c r="Q685" s="8"/>
    </row>
    <row r="686">
      <c r="O686" s="6"/>
      <c r="P686" s="7"/>
      <c r="Q686" s="8"/>
    </row>
    <row r="687">
      <c r="O687" s="6"/>
      <c r="P687" s="7"/>
      <c r="Q687" s="8"/>
    </row>
    <row r="688">
      <c r="O688" s="6"/>
      <c r="P688" s="7"/>
      <c r="Q688" s="8"/>
    </row>
    <row r="689">
      <c r="O689" s="6"/>
      <c r="P689" s="7"/>
      <c r="Q689" s="8"/>
    </row>
    <row r="690">
      <c r="O690" s="6"/>
      <c r="P690" s="7"/>
      <c r="Q690" s="8"/>
    </row>
    <row r="691">
      <c r="O691" s="6"/>
      <c r="P691" s="7"/>
      <c r="Q691" s="8"/>
    </row>
    <row r="692">
      <c r="O692" s="6"/>
      <c r="P692" s="7"/>
      <c r="Q692" s="8"/>
    </row>
    <row r="693">
      <c r="O693" s="6"/>
      <c r="P693" s="7"/>
      <c r="Q693" s="8"/>
    </row>
    <row r="694">
      <c r="O694" s="6"/>
      <c r="P694" s="7"/>
      <c r="Q694" s="8"/>
    </row>
    <row r="695">
      <c r="O695" s="6"/>
      <c r="P695" s="7"/>
      <c r="Q695" s="8"/>
    </row>
    <row r="696">
      <c r="O696" s="6"/>
      <c r="P696" s="7"/>
      <c r="Q696" s="8"/>
    </row>
    <row r="697">
      <c r="O697" s="6"/>
      <c r="P697" s="7"/>
      <c r="Q697" s="8"/>
    </row>
    <row r="698">
      <c r="O698" s="6"/>
      <c r="P698" s="7"/>
      <c r="Q698" s="8"/>
    </row>
    <row r="699">
      <c r="O699" s="6"/>
      <c r="P699" s="7"/>
      <c r="Q699" s="8"/>
    </row>
    <row r="700">
      <c r="O700" s="6"/>
      <c r="P700" s="7"/>
      <c r="Q700" s="8"/>
    </row>
    <row r="701">
      <c r="O701" s="6"/>
      <c r="P701" s="7"/>
      <c r="Q701" s="8"/>
    </row>
    <row r="702">
      <c r="O702" s="6"/>
      <c r="P702" s="7"/>
      <c r="Q702" s="8"/>
    </row>
    <row r="703">
      <c r="O703" s="6"/>
      <c r="P703" s="7"/>
      <c r="Q703" s="8"/>
    </row>
    <row r="704">
      <c r="O704" s="6"/>
      <c r="P704" s="7"/>
      <c r="Q704" s="8"/>
    </row>
    <row r="705">
      <c r="O705" s="6"/>
      <c r="P705" s="7"/>
      <c r="Q705" s="8"/>
    </row>
    <row r="706">
      <c r="O706" s="6"/>
      <c r="P706" s="7"/>
      <c r="Q706" s="8"/>
    </row>
    <row r="707">
      <c r="O707" s="6"/>
      <c r="P707" s="7"/>
      <c r="Q707" s="8"/>
    </row>
    <row r="708">
      <c r="O708" s="6"/>
      <c r="P708" s="7"/>
      <c r="Q708" s="8"/>
    </row>
    <row r="709">
      <c r="O709" s="6"/>
      <c r="P709" s="7"/>
      <c r="Q709" s="8"/>
    </row>
    <row r="710">
      <c r="O710" s="6"/>
      <c r="P710" s="7"/>
      <c r="Q710" s="8"/>
    </row>
    <row r="711">
      <c r="O711" s="6"/>
      <c r="P711" s="7"/>
      <c r="Q711" s="8"/>
    </row>
    <row r="712">
      <c r="O712" s="6"/>
      <c r="P712" s="7"/>
      <c r="Q712" s="8"/>
    </row>
    <row r="713">
      <c r="O713" s="6"/>
      <c r="P713" s="7"/>
      <c r="Q713" s="8"/>
    </row>
    <row r="714">
      <c r="O714" s="6"/>
      <c r="P714" s="7"/>
      <c r="Q714" s="8"/>
    </row>
    <row r="715">
      <c r="O715" s="6"/>
      <c r="P715" s="7"/>
      <c r="Q715" s="8"/>
    </row>
    <row r="716">
      <c r="O716" s="6"/>
      <c r="P716" s="7"/>
      <c r="Q716" s="8"/>
    </row>
    <row r="717">
      <c r="O717" s="6"/>
      <c r="P717" s="7"/>
      <c r="Q717" s="8"/>
    </row>
    <row r="718">
      <c r="O718" s="6"/>
      <c r="P718" s="7"/>
      <c r="Q718" s="8"/>
    </row>
    <row r="719">
      <c r="O719" s="6"/>
      <c r="P719" s="7"/>
      <c r="Q719" s="8"/>
    </row>
    <row r="720">
      <c r="O720" s="6"/>
      <c r="P720" s="7"/>
      <c r="Q720" s="8"/>
    </row>
    <row r="721">
      <c r="O721" s="6"/>
      <c r="P721" s="7"/>
      <c r="Q721" s="8"/>
    </row>
    <row r="722">
      <c r="O722" s="6"/>
      <c r="P722" s="7"/>
      <c r="Q722" s="8"/>
    </row>
    <row r="723">
      <c r="O723" s="6"/>
      <c r="P723" s="7"/>
      <c r="Q723" s="8"/>
    </row>
    <row r="724">
      <c r="O724" s="6"/>
      <c r="P724" s="7"/>
      <c r="Q724" s="8"/>
    </row>
    <row r="725">
      <c r="O725" s="6"/>
      <c r="P725" s="7"/>
      <c r="Q725" s="8"/>
    </row>
    <row r="726">
      <c r="O726" s="6"/>
      <c r="P726" s="7"/>
      <c r="Q726" s="8"/>
    </row>
    <row r="727">
      <c r="O727" s="6"/>
      <c r="P727" s="7"/>
      <c r="Q727" s="8"/>
    </row>
    <row r="728">
      <c r="O728" s="6"/>
      <c r="P728" s="7"/>
      <c r="Q728" s="8"/>
    </row>
    <row r="729">
      <c r="O729" s="6"/>
      <c r="P729" s="7"/>
      <c r="Q729" s="8"/>
    </row>
    <row r="730">
      <c r="O730" s="6"/>
      <c r="P730" s="7"/>
      <c r="Q730" s="8"/>
    </row>
    <row r="731">
      <c r="O731" s="6"/>
      <c r="P731" s="7"/>
      <c r="Q731" s="8"/>
    </row>
    <row r="732">
      <c r="O732" s="6"/>
      <c r="P732" s="7"/>
      <c r="Q732" s="8"/>
    </row>
    <row r="733">
      <c r="O733" s="6"/>
      <c r="P733" s="7"/>
      <c r="Q733" s="8"/>
    </row>
    <row r="734">
      <c r="O734" s="6"/>
      <c r="P734" s="7"/>
      <c r="Q734" s="8"/>
    </row>
    <row r="735">
      <c r="O735" s="6"/>
      <c r="P735" s="7"/>
      <c r="Q735" s="8"/>
    </row>
    <row r="736">
      <c r="O736" s="6"/>
      <c r="P736" s="7"/>
      <c r="Q736" s="8"/>
    </row>
    <row r="737">
      <c r="O737" s="6"/>
      <c r="P737" s="7"/>
      <c r="Q737" s="8"/>
    </row>
    <row r="738">
      <c r="O738" s="6"/>
      <c r="P738" s="7"/>
      <c r="Q738" s="8"/>
    </row>
    <row r="739">
      <c r="O739" s="6"/>
      <c r="P739" s="7"/>
      <c r="Q739" s="8"/>
    </row>
    <row r="740">
      <c r="O740" s="6"/>
      <c r="P740" s="7"/>
      <c r="Q740" s="8"/>
    </row>
    <row r="741">
      <c r="O741" s="6"/>
      <c r="P741" s="7"/>
      <c r="Q741" s="8"/>
    </row>
    <row r="742">
      <c r="O742" s="6"/>
      <c r="P742" s="7"/>
      <c r="Q742" s="8"/>
    </row>
    <row r="743">
      <c r="O743" s="6"/>
      <c r="P743" s="7"/>
      <c r="Q743" s="8"/>
    </row>
    <row r="744">
      <c r="O744" s="6"/>
      <c r="P744" s="7"/>
      <c r="Q744" s="8"/>
    </row>
    <row r="745">
      <c r="O745" s="6"/>
      <c r="P745" s="7"/>
      <c r="Q745" s="8"/>
    </row>
    <row r="746">
      <c r="O746" s="6"/>
      <c r="P746" s="7"/>
      <c r="Q746" s="8"/>
    </row>
    <row r="747">
      <c r="O747" s="6"/>
      <c r="P747" s="7"/>
      <c r="Q747" s="8"/>
    </row>
    <row r="748">
      <c r="O748" s="6"/>
      <c r="P748" s="7"/>
      <c r="Q748" s="8"/>
    </row>
    <row r="749">
      <c r="O749" s="6"/>
      <c r="P749" s="7"/>
      <c r="Q749" s="8"/>
    </row>
    <row r="750">
      <c r="O750" s="6"/>
      <c r="P750" s="7"/>
      <c r="Q750" s="8"/>
    </row>
    <row r="751">
      <c r="O751" s="6"/>
      <c r="P751" s="7"/>
      <c r="Q751" s="8"/>
    </row>
    <row r="752">
      <c r="O752" s="6"/>
      <c r="P752" s="7"/>
      <c r="Q752" s="8"/>
    </row>
    <row r="753">
      <c r="O753" s="6"/>
      <c r="P753" s="7"/>
      <c r="Q753" s="8"/>
    </row>
    <row r="754">
      <c r="O754" s="6"/>
      <c r="P754" s="7"/>
      <c r="Q754" s="8"/>
    </row>
    <row r="755">
      <c r="O755" s="6"/>
      <c r="P755" s="7"/>
      <c r="Q755" s="8"/>
    </row>
    <row r="756">
      <c r="O756" s="6"/>
      <c r="P756" s="7"/>
      <c r="Q756" s="8"/>
    </row>
    <row r="757">
      <c r="O757" s="6"/>
      <c r="P757" s="7"/>
      <c r="Q757" s="8"/>
    </row>
    <row r="758">
      <c r="O758" s="6"/>
      <c r="P758" s="7"/>
      <c r="Q758" s="8"/>
    </row>
    <row r="759">
      <c r="O759" s="6"/>
      <c r="P759" s="7"/>
      <c r="Q759" s="8"/>
    </row>
    <row r="760">
      <c r="O760" s="6"/>
      <c r="P760" s="7"/>
      <c r="Q760" s="8"/>
    </row>
    <row r="761">
      <c r="O761" s="6"/>
      <c r="P761" s="7"/>
      <c r="Q761" s="8"/>
    </row>
    <row r="762">
      <c r="O762" s="6"/>
      <c r="P762" s="7"/>
      <c r="Q762" s="8"/>
    </row>
    <row r="763">
      <c r="O763" s="6"/>
      <c r="P763" s="7"/>
      <c r="Q763" s="8"/>
    </row>
    <row r="764">
      <c r="O764" s="6"/>
      <c r="P764" s="7"/>
      <c r="Q764" s="8"/>
    </row>
    <row r="765">
      <c r="O765" s="6"/>
      <c r="P765" s="7"/>
      <c r="Q765" s="8"/>
    </row>
    <row r="766">
      <c r="O766" s="6"/>
      <c r="P766" s="7"/>
      <c r="Q766" s="8"/>
    </row>
    <row r="767">
      <c r="O767" s="6"/>
      <c r="P767" s="7"/>
      <c r="Q767" s="8"/>
    </row>
    <row r="768">
      <c r="O768" s="6"/>
      <c r="P768" s="7"/>
      <c r="Q768" s="8"/>
    </row>
    <row r="769">
      <c r="O769" s="6"/>
      <c r="P769" s="7"/>
      <c r="Q769" s="8"/>
    </row>
    <row r="770">
      <c r="O770" s="6"/>
      <c r="P770" s="7"/>
      <c r="Q770" s="8"/>
    </row>
    <row r="771">
      <c r="O771" s="6"/>
      <c r="P771" s="7"/>
      <c r="Q771" s="8"/>
    </row>
    <row r="772">
      <c r="O772" s="6"/>
      <c r="P772" s="7"/>
      <c r="Q772" s="8"/>
    </row>
    <row r="773">
      <c r="O773" s="6"/>
      <c r="P773" s="7"/>
      <c r="Q773" s="8"/>
    </row>
    <row r="774">
      <c r="O774" s="6"/>
      <c r="P774" s="7"/>
      <c r="Q774" s="8"/>
    </row>
    <row r="775">
      <c r="O775" s="6"/>
      <c r="P775" s="7"/>
      <c r="Q775" s="8"/>
    </row>
    <row r="776">
      <c r="O776" s="6"/>
      <c r="P776" s="7"/>
      <c r="Q776" s="8"/>
    </row>
    <row r="777">
      <c r="O777" s="6"/>
      <c r="P777" s="7"/>
      <c r="Q777" s="8"/>
    </row>
    <row r="778">
      <c r="O778" s="6"/>
      <c r="P778" s="7"/>
      <c r="Q778" s="8"/>
    </row>
    <row r="779">
      <c r="O779" s="6"/>
      <c r="P779" s="7"/>
      <c r="Q779" s="8"/>
    </row>
    <row r="780">
      <c r="O780" s="6"/>
      <c r="P780" s="7"/>
      <c r="Q780" s="8"/>
    </row>
    <row r="781">
      <c r="O781" s="6"/>
      <c r="P781" s="7"/>
      <c r="Q781" s="8"/>
    </row>
    <row r="782">
      <c r="O782" s="6"/>
      <c r="P782" s="7"/>
      <c r="Q782" s="8"/>
    </row>
    <row r="783">
      <c r="O783" s="6"/>
      <c r="P783" s="7"/>
      <c r="Q783" s="8"/>
    </row>
    <row r="784">
      <c r="O784" s="6"/>
      <c r="P784" s="7"/>
      <c r="Q784" s="8"/>
    </row>
    <row r="785">
      <c r="O785" s="6"/>
      <c r="P785" s="7"/>
      <c r="Q785" s="8"/>
    </row>
    <row r="786">
      <c r="O786" s="6"/>
      <c r="P786" s="7"/>
      <c r="Q786" s="8"/>
    </row>
    <row r="787">
      <c r="O787" s="6"/>
      <c r="P787" s="7"/>
      <c r="Q787" s="8"/>
    </row>
    <row r="788">
      <c r="O788" s="6"/>
      <c r="P788" s="7"/>
      <c r="Q788" s="8"/>
    </row>
    <row r="789">
      <c r="O789" s="6"/>
      <c r="P789" s="7"/>
      <c r="Q789" s="8"/>
    </row>
    <row r="790">
      <c r="O790" s="6"/>
      <c r="P790" s="7"/>
      <c r="Q790" s="8"/>
    </row>
    <row r="791">
      <c r="O791" s="6"/>
      <c r="P791" s="7"/>
      <c r="Q791" s="8"/>
    </row>
    <row r="792">
      <c r="O792" s="6"/>
      <c r="P792" s="7"/>
      <c r="Q792" s="8"/>
    </row>
    <row r="793">
      <c r="O793" s="6"/>
      <c r="P793" s="7"/>
      <c r="Q793" s="8"/>
    </row>
    <row r="794">
      <c r="O794" s="6"/>
      <c r="P794" s="7"/>
      <c r="Q794" s="8"/>
    </row>
    <row r="795">
      <c r="O795" s="6"/>
      <c r="P795" s="7"/>
      <c r="Q795" s="8"/>
    </row>
    <row r="796">
      <c r="O796" s="6"/>
      <c r="P796" s="7"/>
      <c r="Q796" s="8"/>
    </row>
    <row r="797">
      <c r="O797" s="6"/>
      <c r="P797" s="7"/>
      <c r="Q797" s="8"/>
    </row>
    <row r="798">
      <c r="O798" s="6"/>
      <c r="P798" s="7"/>
      <c r="Q798" s="8"/>
    </row>
    <row r="799">
      <c r="O799" s="6"/>
      <c r="P799" s="7"/>
      <c r="Q799" s="8"/>
    </row>
    <row r="800">
      <c r="O800" s="6"/>
      <c r="P800" s="7"/>
      <c r="Q800" s="8"/>
    </row>
    <row r="801">
      <c r="O801" s="6"/>
      <c r="P801" s="7"/>
      <c r="Q801" s="8"/>
    </row>
    <row r="802">
      <c r="O802" s="6"/>
      <c r="P802" s="7"/>
      <c r="Q802" s="8"/>
    </row>
    <row r="803">
      <c r="O803" s="6"/>
      <c r="P803" s="7"/>
      <c r="Q803" s="8"/>
    </row>
    <row r="804">
      <c r="O804" s="6"/>
      <c r="P804" s="7"/>
      <c r="Q804" s="8"/>
    </row>
    <row r="805">
      <c r="O805" s="6"/>
      <c r="P805" s="7"/>
      <c r="Q805" s="8"/>
    </row>
    <row r="806">
      <c r="O806" s="6"/>
      <c r="P806" s="7"/>
      <c r="Q806" s="8"/>
    </row>
    <row r="807">
      <c r="O807" s="6"/>
      <c r="P807" s="7"/>
      <c r="Q807" s="8"/>
    </row>
    <row r="808">
      <c r="O808" s="6"/>
      <c r="P808" s="7"/>
      <c r="Q808" s="8"/>
    </row>
    <row r="809">
      <c r="O809" s="6"/>
      <c r="P809" s="7"/>
      <c r="Q809" s="8"/>
    </row>
    <row r="810">
      <c r="O810" s="6"/>
      <c r="P810" s="7"/>
      <c r="Q810" s="8"/>
    </row>
    <row r="811">
      <c r="O811" s="6"/>
      <c r="P811" s="7"/>
      <c r="Q811" s="8"/>
    </row>
    <row r="812">
      <c r="O812" s="6"/>
      <c r="P812" s="7"/>
      <c r="Q812" s="8"/>
    </row>
    <row r="813">
      <c r="O813" s="6"/>
      <c r="P813" s="7"/>
      <c r="Q813" s="8"/>
    </row>
    <row r="814">
      <c r="O814" s="6"/>
      <c r="P814" s="7"/>
      <c r="Q814" s="8"/>
    </row>
    <row r="815">
      <c r="O815" s="6"/>
      <c r="P815" s="7"/>
      <c r="Q815" s="8"/>
    </row>
    <row r="816">
      <c r="O816" s="6"/>
      <c r="P816" s="7"/>
      <c r="Q816" s="8"/>
    </row>
    <row r="817">
      <c r="O817" s="6"/>
      <c r="P817" s="7"/>
      <c r="Q817" s="8"/>
    </row>
    <row r="818">
      <c r="O818" s="6"/>
      <c r="P818" s="7"/>
      <c r="Q818" s="8"/>
    </row>
    <row r="819">
      <c r="O819" s="6"/>
      <c r="P819" s="7"/>
      <c r="Q819" s="8"/>
    </row>
    <row r="820">
      <c r="O820" s="6"/>
      <c r="P820" s="7"/>
      <c r="Q820" s="8"/>
    </row>
    <row r="821">
      <c r="O821" s="6"/>
      <c r="P821" s="7"/>
      <c r="Q821" s="8"/>
    </row>
    <row r="822">
      <c r="O822" s="6"/>
      <c r="P822" s="7"/>
      <c r="Q822" s="8"/>
    </row>
    <row r="823">
      <c r="O823" s="6"/>
      <c r="P823" s="7"/>
      <c r="Q823" s="8"/>
    </row>
    <row r="824">
      <c r="O824" s="6"/>
      <c r="P824" s="7"/>
      <c r="Q824" s="8"/>
    </row>
    <row r="825">
      <c r="O825" s="6"/>
      <c r="P825" s="7"/>
      <c r="Q825" s="8"/>
    </row>
    <row r="826">
      <c r="O826" s="6"/>
      <c r="P826" s="7"/>
      <c r="Q826" s="8"/>
    </row>
    <row r="827">
      <c r="O827" s="6"/>
      <c r="P827" s="7"/>
      <c r="Q827" s="8"/>
    </row>
    <row r="828">
      <c r="O828" s="6"/>
      <c r="P828" s="7"/>
      <c r="Q828" s="8"/>
    </row>
    <row r="829">
      <c r="O829" s="6"/>
      <c r="P829" s="7"/>
      <c r="Q829" s="8"/>
    </row>
    <row r="830">
      <c r="O830" s="6"/>
      <c r="P830" s="7"/>
      <c r="Q830" s="8"/>
    </row>
    <row r="831">
      <c r="O831" s="6"/>
      <c r="P831" s="7"/>
      <c r="Q831" s="8"/>
    </row>
    <row r="832">
      <c r="O832" s="6"/>
      <c r="P832" s="7"/>
      <c r="Q832" s="8"/>
    </row>
    <row r="833">
      <c r="O833" s="6"/>
      <c r="P833" s="7"/>
      <c r="Q833" s="8"/>
    </row>
    <row r="834">
      <c r="O834" s="6"/>
      <c r="P834" s="7"/>
      <c r="Q834" s="8"/>
    </row>
    <row r="835">
      <c r="O835" s="6"/>
      <c r="P835" s="7"/>
      <c r="Q835" s="8"/>
    </row>
    <row r="836">
      <c r="O836" s="6"/>
      <c r="P836" s="7"/>
      <c r="Q836" s="8"/>
    </row>
    <row r="837">
      <c r="O837" s="6"/>
      <c r="P837" s="7"/>
      <c r="Q837" s="8"/>
    </row>
    <row r="838">
      <c r="O838" s="6"/>
      <c r="P838" s="7"/>
      <c r="Q838" s="8"/>
    </row>
    <row r="839">
      <c r="O839" s="6"/>
      <c r="P839" s="7"/>
      <c r="Q839" s="8"/>
    </row>
    <row r="840">
      <c r="O840" s="6"/>
      <c r="P840" s="7"/>
      <c r="Q840" s="8"/>
    </row>
    <row r="841">
      <c r="O841" s="6"/>
      <c r="P841" s="7"/>
      <c r="Q841" s="8"/>
    </row>
    <row r="842">
      <c r="O842" s="6"/>
      <c r="P842" s="7"/>
      <c r="Q842" s="8"/>
    </row>
    <row r="843">
      <c r="O843" s="6"/>
      <c r="P843" s="7"/>
      <c r="Q843" s="8"/>
    </row>
    <row r="844">
      <c r="O844" s="6"/>
      <c r="P844" s="7"/>
      <c r="Q844" s="8"/>
    </row>
    <row r="845">
      <c r="O845" s="6"/>
      <c r="P845" s="7"/>
      <c r="Q845" s="8"/>
    </row>
    <row r="846">
      <c r="O846" s="6"/>
      <c r="P846" s="7"/>
      <c r="Q846" s="8"/>
    </row>
    <row r="847">
      <c r="O847" s="6"/>
      <c r="P847" s="7"/>
      <c r="Q847" s="8"/>
    </row>
    <row r="848">
      <c r="O848" s="6"/>
      <c r="P848" s="7"/>
      <c r="Q848" s="8"/>
    </row>
    <row r="849">
      <c r="O849" s="6"/>
      <c r="P849" s="7"/>
      <c r="Q849" s="8"/>
    </row>
    <row r="850">
      <c r="O850" s="6"/>
      <c r="P850" s="7"/>
      <c r="Q850" s="8"/>
    </row>
    <row r="851">
      <c r="O851" s="6"/>
      <c r="P851" s="7"/>
      <c r="Q851" s="8"/>
    </row>
    <row r="852">
      <c r="O852" s="6"/>
      <c r="P852" s="7"/>
      <c r="Q852" s="8"/>
    </row>
    <row r="853">
      <c r="O853" s="6"/>
      <c r="P853" s="7"/>
      <c r="Q853" s="8"/>
    </row>
    <row r="854">
      <c r="O854" s="6"/>
      <c r="P854" s="7"/>
      <c r="Q854" s="8"/>
    </row>
    <row r="855">
      <c r="O855" s="6"/>
      <c r="P855" s="7"/>
      <c r="Q855" s="8"/>
    </row>
    <row r="856">
      <c r="O856" s="6"/>
      <c r="P856" s="7"/>
      <c r="Q856" s="8"/>
    </row>
    <row r="857">
      <c r="O857" s="6"/>
      <c r="P857" s="7"/>
      <c r="Q857" s="8"/>
    </row>
    <row r="858">
      <c r="O858" s="6"/>
      <c r="P858" s="7"/>
      <c r="Q858" s="8"/>
    </row>
    <row r="859">
      <c r="O859" s="6"/>
      <c r="P859" s="7"/>
      <c r="Q859" s="8"/>
    </row>
    <row r="860">
      <c r="O860" s="6"/>
      <c r="P860" s="7"/>
      <c r="Q860" s="8"/>
    </row>
    <row r="861">
      <c r="O861" s="6"/>
      <c r="P861" s="7"/>
      <c r="Q861" s="8"/>
    </row>
    <row r="862">
      <c r="O862" s="6"/>
      <c r="P862" s="7"/>
      <c r="Q862" s="8"/>
    </row>
    <row r="863">
      <c r="O863" s="6"/>
      <c r="P863" s="7"/>
      <c r="Q863" s="8"/>
    </row>
    <row r="864">
      <c r="O864" s="6"/>
      <c r="P864" s="7"/>
      <c r="Q864" s="8"/>
    </row>
    <row r="865">
      <c r="O865" s="6"/>
      <c r="P865" s="7"/>
      <c r="Q865" s="8"/>
    </row>
    <row r="866">
      <c r="O866" s="6"/>
      <c r="P866" s="7"/>
      <c r="Q866" s="8"/>
    </row>
    <row r="867">
      <c r="O867" s="6"/>
      <c r="P867" s="7"/>
      <c r="Q867" s="8"/>
    </row>
    <row r="868">
      <c r="O868" s="6"/>
      <c r="P868" s="7"/>
      <c r="Q868" s="8"/>
    </row>
    <row r="869">
      <c r="O869" s="6"/>
      <c r="P869" s="7"/>
      <c r="Q869" s="8"/>
    </row>
    <row r="870">
      <c r="O870" s="6"/>
      <c r="P870" s="7"/>
      <c r="Q870" s="8"/>
    </row>
    <row r="871">
      <c r="O871" s="6"/>
      <c r="P871" s="7"/>
      <c r="Q871" s="8"/>
    </row>
    <row r="872">
      <c r="O872" s="6"/>
      <c r="P872" s="7"/>
      <c r="Q872" s="8"/>
    </row>
    <row r="873">
      <c r="O873" s="6"/>
      <c r="P873" s="7"/>
      <c r="Q873" s="8"/>
    </row>
    <row r="874">
      <c r="O874" s="6"/>
      <c r="P874" s="7"/>
      <c r="Q874" s="8"/>
    </row>
    <row r="875">
      <c r="O875" s="6"/>
      <c r="P875" s="7"/>
      <c r="Q875" s="8"/>
    </row>
    <row r="876">
      <c r="O876" s="6"/>
      <c r="P876" s="7"/>
      <c r="Q876" s="8"/>
    </row>
    <row r="877">
      <c r="O877" s="6"/>
      <c r="P877" s="7"/>
      <c r="Q877" s="8"/>
    </row>
    <row r="878">
      <c r="O878" s="6"/>
      <c r="P878" s="7"/>
      <c r="Q878" s="8"/>
    </row>
    <row r="879">
      <c r="O879" s="6"/>
      <c r="P879" s="7"/>
      <c r="Q879" s="8"/>
    </row>
    <row r="880">
      <c r="O880" s="6"/>
      <c r="P880" s="7"/>
      <c r="Q880" s="8"/>
    </row>
    <row r="881">
      <c r="O881" s="6"/>
      <c r="P881" s="7"/>
      <c r="Q881" s="8"/>
    </row>
    <row r="882">
      <c r="O882" s="6"/>
      <c r="P882" s="7"/>
      <c r="Q882" s="8"/>
    </row>
    <row r="883">
      <c r="O883" s="6"/>
      <c r="P883" s="7"/>
      <c r="Q883" s="8"/>
    </row>
    <row r="884">
      <c r="O884" s="6"/>
      <c r="P884" s="7"/>
      <c r="Q884" s="8"/>
    </row>
    <row r="885">
      <c r="O885" s="6"/>
      <c r="P885" s="7"/>
      <c r="Q885" s="8"/>
    </row>
    <row r="886">
      <c r="O886" s="6"/>
      <c r="P886" s="7"/>
      <c r="Q886" s="8"/>
    </row>
    <row r="887">
      <c r="O887" s="6"/>
      <c r="P887" s="7"/>
      <c r="Q887" s="8"/>
    </row>
    <row r="888">
      <c r="O888" s="6"/>
      <c r="P888" s="7"/>
      <c r="Q888" s="8"/>
    </row>
    <row r="889">
      <c r="O889" s="6"/>
      <c r="P889" s="7"/>
      <c r="Q889" s="8"/>
    </row>
    <row r="890">
      <c r="O890" s="6"/>
      <c r="P890" s="7"/>
      <c r="Q890" s="8"/>
    </row>
    <row r="891">
      <c r="O891" s="6"/>
      <c r="P891" s="7"/>
      <c r="Q891" s="8"/>
    </row>
    <row r="892">
      <c r="O892" s="6"/>
      <c r="P892" s="7"/>
      <c r="Q892" s="8"/>
    </row>
    <row r="893">
      <c r="O893" s="6"/>
      <c r="P893" s="7"/>
      <c r="Q893" s="8"/>
    </row>
    <row r="894">
      <c r="O894" s="6"/>
      <c r="P894" s="7"/>
      <c r="Q894" s="8"/>
    </row>
    <row r="895">
      <c r="O895" s="6"/>
      <c r="P895" s="7"/>
      <c r="Q895" s="8"/>
    </row>
    <row r="896">
      <c r="O896" s="6"/>
      <c r="P896" s="7"/>
      <c r="Q896" s="8"/>
    </row>
    <row r="897">
      <c r="O897" s="6"/>
      <c r="P897" s="7"/>
      <c r="Q897" s="8"/>
    </row>
    <row r="898">
      <c r="O898" s="6"/>
      <c r="P898" s="7"/>
      <c r="Q898" s="8"/>
    </row>
    <row r="899">
      <c r="O899" s="6"/>
      <c r="P899" s="7"/>
      <c r="Q899" s="8"/>
    </row>
    <row r="900">
      <c r="O900" s="6"/>
      <c r="P900" s="7"/>
      <c r="Q900" s="8"/>
    </row>
    <row r="901">
      <c r="O901" s="6"/>
      <c r="P901" s="7"/>
      <c r="Q901" s="8"/>
    </row>
    <row r="902">
      <c r="O902" s="6"/>
      <c r="P902" s="7"/>
      <c r="Q902" s="8"/>
    </row>
    <row r="903">
      <c r="O903" s="6"/>
      <c r="P903" s="7"/>
      <c r="Q903" s="8"/>
    </row>
    <row r="904">
      <c r="O904" s="6"/>
      <c r="P904" s="7"/>
      <c r="Q904" s="8"/>
    </row>
    <row r="905">
      <c r="O905" s="6"/>
      <c r="P905" s="7"/>
      <c r="Q905" s="8"/>
    </row>
    <row r="906">
      <c r="O906" s="6"/>
      <c r="P906" s="7"/>
      <c r="Q906" s="8"/>
    </row>
    <row r="907">
      <c r="O907" s="6"/>
      <c r="P907" s="7"/>
      <c r="Q907" s="8"/>
    </row>
    <row r="908">
      <c r="O908" s="6"/>
      <c r="P908" s="7"/>
      <c r="Q908" s="8"/>
    </row>
    <row r="909">
      <c r="O909" s="6"/>
      <c r="P909" s="7"/>
      <c r="Q909" s="8"/>
    </row>
    <row r="910">
      <c r="O910" s="6"/>
      <c r="P910" s="7"/>
      <c r="Q910" s="8"/>
    </row>
    <row r="911">
      <c r="O911" s="6"/>
      <c r="P911" s="7"/>
      <c r="Q911" s="8"/>
    </row>
    <row r="912">
      <c r="O912" s="6"/>
      <c r="P912" s="7"/>
      <c r="Q912" s="8"/>
    </row>
    <row r="913">
      <c r="O913" s="6"/>
      <c r="P913" s="7"/>
      <c r="Q913" s="8"/>
    </row>
    <row r="914">
      <c r="O914" s="6"/>
      <c r="P914" s="7"/>
      <c r="Q914" s="8"/>
    </row>
    <row r="915">
      <c r="O915" s="6"/>
      <c r="P915" s="7"/>
      <c r="Q915" s="8"/>
    </row>
    <row r="916">
      <c r="O916" s="6"/>
      <c r="P916" s="7"/>
      <c r="Q916" s="8"/>
    </row>
    <row r="917">
      <c r="O917" s="6"/>
      <c r="P917" s="7"/>
      <c r="Q917" s="8"/>
    </row>
    <row r="918">
      <c r="O918" s="6"/>
      <c r="P918" s="7"/>
      <c r="Q918" s="8"/>
    </row>
    <row r="919">
      <c r="O919" s="6"/>
      <c r="P919" s="7"/>
      <c r="Q919" s="8"/>
    </row>
    <row r="920">
      <c r="O920" s="6"/>
      <c r="P920" s="7"/>
      <c r="Q920" s="8"/>
    </row>
    <row r="921">
      <c r="O921" s="6"/>
      <c r="P921" s="7"/>
      <c r="Q921" s="8"/>
    </row>
    <row r="922">
      <c r="O922" s="6"/>
      <c r="P922" s="7"/>
      <c r="Q922" s="8"/>
    </row>
    <row r="923">
      <c r="O923" s="6"/>
      <c r="P923" s="7"/>
      <c r="Q923" s="8"/>
    </row>
    <row r="924">
      <c r="O924" s="6"/>
      <c r="P924" s="7"/>
      <c r="Q924" s="8"/>
    </row>
    <row r="925">
      <c r="O925" s="6"/>
      <c r="P925" s="7"/>
      <c r="Q925" s="8"/>
    </row>
    <row r="926">
      <c r="O926" s="6"/>
      <c r="P926" s="7"/>
      <c r="Q926" s="8"/>
    </row>
    <row r="927">
      <c r="O927" s="6"/>
      <c r="P927" s="7"/>
      <c r="Q927" s="8"/>
    </row>
    <row r="928">
      <c r="O928" s="6"/>
      <c r="P928" s="7"/>
      <c r="Q928" s="8"/>
    </row>
    <row r="929">
      <c r="O929" s="6"/>
      <c r="P929" s="7"/>
      <c r="Q929" s="8"/>
    </row>
    <row r="930">
      <c r="O930" s="6"/>
      <c r="P930" s="7"/>
      <c r="Q930" s="8"/>
    </row>
    <row r="931">
      <c r="O931" s="6"/>
      <c r="P931" s="7"/>
      <c r="Q931" s="8"/>
    </row>
    <row r="932">
      <c r="O932" s="6"/>
      <c r="P932" s="7"/>
      <c r="Q932" s="8"/>
    </row>
    <row r="933">
      <c r="O933" s="6"/>
      <c r="P933" s="7"/>
      <c r="Q933" s="8"/>
    </row>
    <row r="934">
      <c r="O934" s="6"/>
      <c r="P934" s="7"/>
      <c r="Q934" s="8"/>
    </row>
    <row r="935">
      <c r="O935" s="6"/>
      <c r="P935" s="7"/>
      <c r="Q935" s="8"/>
    </row>
    <row r="936">
      <c r="O936" s="6"/>
      <c r="P936" s="7"/>
      <c r="Q936" s="8"/>
    </row>
    <row r="937">
      <c r="O937" s="6"/>
      <c r="P937" s="7"/>
      <c r="Q937" s="8"/>
    </row>
    <row r="938">
      <c r="O938" s="6"/>
      <c r="P938" s="7"/>
      <c r="Q938" s="8"/>
    </row>
    <row r="939">
      <c r="O939" s="6"/>
      <c r="P939" s="7"/>
      <c r="Q939" s="8"/>
    </row>
    <row r="940">
      <c r="O940" s="6"/>
      <c r="P940" s="7"/>
      <c r="Q940" s="8"/>
    </row>
    <row r="941">
      <c r="O941" s="6"/>
      <c r="P941" s="7"/>
      <c r="Q941" s="8"/>
    </row>
    <row r="942">
      <c r="O942" s="6"/>
      <c r="P942" s="7"/>
      <c r="Q942" s="8"/>
    </row>
    <row r="943">
      <c r="O943" s="6"/>
      <c r="P943" s="7"/>
      <c r="Q943" s="8"/>
    </row>
    <row r="944">
      <c r="O944" s="6"/>
      <c r="P944" s="7"/>
      <c r="Q944" s="8"/>
    </row>
    <row r="945">
      <c r="O945" s="6"/>
      <c r="P945" s="7"/>
      <c r="Q945" s="8"/>
    </row>
  </sheetData>
  <mergeCells count="1225">
    <mergeCell ref="B205:H205"/>
    <mergeCell ref="B206:H206"/>
    <mergeCell ref="J206:N206"/>
    <mergeCell ref="A207:N207"/>
    <mergeCell ref="B208:F208"/>
    <mergeCell ref="G208:J208"/>
    <mergeCell ref="K208:N208"/>
    <mergeCell ref="A208:A209"/>
    <mergeCell ref="B209:C209"/>
    <mergeCell ref="D209:F209"/>
    <mergeCell ref="G209:H209"/>
    <mergeCell ref="I209:J209"/>
    <mergeCell ref="K209:L209"/>
    <mergeCell ref="M209:N209"/>
    <mergeCell ref="I211:J211"/>
    <mergeCell ref="K211:L211"/>
    <mergeCell ref="I212:J212"/>
    <mergeCell ref="K212:L212"/>
    <mergeCell ref="M212:N212"/>
    <mergeCell ref="I213:J213"/>
    <mergeCell ref="K213:L213"/>
    <mergeCell ref="M213:N213"/>
    <mergeCell ref="B210:C210"/>
    <mergeCell ref="D210:F210"/>
    <mergeCell ref="G210:H210"/>
    <mergeCell ref="I210:J210"/>
    <mergeCell ref="K210:L210"/>
    <mergeCell ref="M210:N210"/>
    <mergeCell ref="B211:C211"/>
    <mergeCell ref="M211:N211"/>
    <mergeCell ref="D211:F211"/>
    <mergeCell ref="G211:H211"/>
    <mergeCell ref="B212:C212"/>
    <mergeCell ref="D212:F212"/>
    <mergeCell ref="G212:H212"/>
    <mergeCell ref="D213:F213"/>
    <mergeCell ref="G213:H213"/>
    <mergeCell ref="B213:C213"/>
    <mergeCell ref="B214:C214"/>
    <mergeCell ref="D214:F214"/>
    <mergeCell ref="G214:H214"/>
    <mergeCell ref="I214:J214"/>
    <mergeCell ref="K214:L214"/>
    <mergeCell ref="M214:N214"/>
    <mergeCell ref="I216:J216"/>
    <mergeCell ref="K216:L216"/>
    <mergeCell ref="B215:C215"/>
    <mergeCell ref="D215:F215"/>
    <mergeCell ref="G215:H215"/>
    <mergeCell ref="I215:J215"/>
    <mergeCell ref="K215:L215"/>
    <mergeCell ref="M215:N215"/>
    <mergeCell ref="B216:C216"/>
    <mergeCell ref="M216:N216"/>
    <mergeCell ref="D216:F216"/>
    <mergeCell ref="G216:H216"/>
    <mergeCell ref="D217:F217"/>
    <mergeCell ref="G217:H217"/>
    <mergeCell ref="I217:J217"/>
    <mergeCell ref="K217:L217"/>
    <mergeCell ref="M217:N217"/>
    <mergeCell ref="B217:C217"/>
    <mergeCell ref="B218:C218"/>
    <mergeCell ref="D218:F218"/>
    <mergeCell ref="G218:H218"/>
    <mergeCell ref="I218:J218"/>
    <mergeCell ref="K218:L218"/>
    <mergeCell ref="M218:N218"/>
    <mergeCell ref="I220:J220"/>
    <mergeCell ref="K220:L220"/>
    <mergeCell ref="I221:J221"/>
    <mergeCell ref="K221:L221"/>
    <mergeCell ref="M221:N221"/>
    <mergeCell ref="I222:J222"/>
    <mergeCell ref="K222:L222"/>
    <mergeCell ref="M222:N222"/>
    <mergeCell ref="B219:C219"/>
    <mergeCell ref="D219:F219"/>
    <mergeCell ref="G219:H219"/>
    <mergeCell ref="I219:J219"/>
    <mergeCell ref="K219:L219"/>
    <mergeCell ref="M219:N219"/>
    <mergeCell ref="B220:C220"/>
    <mergeCell ref="M220:N220"/>
    <mergeCell ref="D220:F220"/>
    <mergeCell ref="G220:H220"/>
    <mergeCell ref="B221:C221"/>
    <mergeCell ref="D221:F221"/>
    <mergeCell ref="G221:H221"/>
    <mergeCell ref="D222:F222"/>
    <mergeCell ref="G222:H222"/>
    <mergeCell ref="B222:C222"/>
    <mergeCell ref="B223:C223"/>
    <mergeCell ref="D223:F223"/>
    <mergeCell ref="G223:H223"/>
    <mergeCell ref="I223:J223"/>
    <mergeCell ref="K223:L223"/>
    <mergeCell ref="M223:N223"/>
    <mergeCell ref="B232:C232"/>
    <mergeCell ref="D232:F232"/>
    <mergeCell ref="B233:C233"/>
    <mergeCell ref="D233:F233"/>
    <mergeCell ref="B234:C234"/>
    <mergeCell ref="D234:F234"/>
    <mergeCell ref="D235:F235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36:F236"/>
    <mergeCell ref="D237:F237"/>
    <mergeCell ref="B238:C238"/>
    <mergeCell ref="D238:F238"/>
    <mergeCell ref="B239:C239"/>
    <mergeCell ref="D239:F239"/>
    <mergeCell ref="D240:F240"/>
    <mergeCell ref="B247:C247"/>
    <mergeCell ref="B248:C248"/>
    <mergeCell ref="B240:C240"/>
    <mergeCell ref="B241:C241"/>
    <mergeCell ref="B242:C242"/>
    <mergeCell ref="B243:C243"/>
    <mergeCell ref="B244:C244"/>
    <mergeCell ref="B245:C245"/>
    <mergeCell ref="B246:C246"/>
    <mergeCell ref="I225:J225"/>
    <mergeCell ref="K225:L225"/>
    <mergeCell ref="J228:N228"/>
    <mergeCell ref="J229:N229"/>
    <mergeCell ref="B224:C224"/>
    <mergeCell ref="D224:F224"/>
    <mergeCell ref="G224:H224"/>
    <mergeCell ref="I224:J224"/>
    <mergeCell ref="K224:L224"/>
    <mergeCell ref="M224:N224"/>
    <mergeCell ref="B225:C225"/>
    <mergeCell ref="M225:N225"/>
    <mergeCell ref="G231:J231"/>
    <mergeCell ref="K231:N231"/>
    <mergeCell ref="D225:F225"/>
    <mergeCell ref="G225:H225"/>
    <mergeCell ref="B228:H228"/>
    <mergeCell ref="B229:H229"/>
    <mergeCell ref="A230:N230"/>
    <mergeCell ref="A231:A232"/>
    <mergeCell ref="B231:F231"/>
    <mergeCell ref="B235:C235"/>
    <mergeCell ref="B236:C236"/>
    <mergeCell ref="B237:C237"/>
    <mergeCell ref="M236:N236"/>
    <mergeCell ref="M237:N237"/>
    <mergeCell ref="M238:N238"/>
    <mergeCell ref="K232:L232"/>
    <mergeCell ref="M232:N232"/>
    <mergeCell ref="K233:L233"/>
    <mergeCell ref="M233:N233"/>
    <mergeCell ref="K234:L234"/>
    <mergeCell ref="M234:N234"/>
    <mergeCell ref="M235:N235"/>
    <mergeCell ref="G245:H245"/>
    <mergeCell ref="I245:J245"/>
    <mergeCell ref="K245:L245"/>
    <mergeCell ref="M245:N245"/>
    <mergeCell ref="I246:J246"/>
    <mergeCell ref="K246:L246"/>
    <mergeCell ref="M246:N246"/>
    <mergeCell ref="G246:H246"/>
    <mergeCell ref="G247:H247"/>
    <mergeCell ref="I247:J247"/>
    <mergeCell ref="K247:L247"/>
    <mergeCell ref="M247:N247"/>
    <mergeCell ref="G248:H248"/>
    <mergeCell ref="I248:J248"/>
    <mergeCell ref="K235:L235"/>
    <mergeCell ref="K236:L236"/>
    <mergeCell ref="G237:H237"/>
    <mergeCell ref="I237:J237"/>
    <mergeCell ref="K237:L237"/>
    <mergeCell ref="I238:J238"/>
    <mergeCell ref="K238:L238"/>
    <mergeCell ref="K240:L240"/>
    <mergeCell ref="M240:N240"/>
    <mergeCell ref="G238:H238"/>
    <mergeCell ref="G239:H239"/>
    <mergeCell ref="I239:J239"/>
    <mergeCell ref="K239:L239"/>
    <mergeCell ref="M239:N239"/>
    <mergeCell ref="G240:H240"/>
    <mergeCell ref="I240:J240"/>
    <mergeCell ref="G241:H241"/>
    <mergeCell ref="I241:J241"/>
    <mergeCell ref="K241:L241"/>
    <mergeCell ref="M241:N241"/>
    <mergeCell ref="I242:J242"/>
    <mergeCell ref="K242:L242"/>
    <mergeCell ref="M242:N242"/>
    <mergeCell ref="K244:L244"/>
    <mergeCell ref="M244:N244"/>
    <mergeCell ref="G242:H242"/>
    <mergeCell ref="G243:H243"/>
    <mergeCell ref="I243:J243"/>
    <mergeCell ref="K243:L243"/>
    <mergeCell ref="M243:N243"/>
    <mergeCell ref="G244:H244"/>
    <mergeCell ref="I244:J244"/>
    <mergeCell ref="K248:L248"/>
    <mergeCell ref="M248:N248"/>
    <mergeCell ref="D151:F151"/>
    <mergeCell ref="G151:H151"/>
    <mergeCell ref="B152:C152"/>
    <mergeCell ref="D152:F152"/>
    <mergeCell ref="G152:H152"/>
    <mergeCell ref="D153:F153"/>
    <mergeCell ref="G153:H153"/>
    <mergeCell ref="B153:C153"/>
    <mergeCell ref="B154:C154"/>
    <mergeCell ref="D154:F154"/>
    <mergeCell ref="G154:H154"/>
    <mergeCell ref="I154:J154"/>
    <mergeCell ref="K154:L154"/>
    <mergeCell ref="M154:N154"/>
    <mergeCell ref="D176:F176"/>
    <mergeCell ref="G176:H176"/>
    <mergeCell ref="B175:C175"/>
    <mergeCell ref="D175:F175"/>
    <mergeCell ref="G175:H175"/>
    <mergeCell ref="I175:J175"/>
    <mergeCell ref="K175:L175"/>
    <mergeCell ref="M175:N175"/>
    <mergeCell ref="B176:C176"/>
    <mergeCell ref="M176:N176"/>
    <mergeCell ref="I176:J176"/>
    <mergeCell ref="K176:L176"/>
    <mergeCell ref="D177:F177"/>
    <mergeCell ref="G177:H177"/>
    <mergeCell ref="I177:J177"/>
    <mergeCell ref="K177:L177"/>
    <mergeCell ref="M177:N177"/>
    <mergeCell ref="B177:C177"/>
    <mergeCell ref="B178:C178"/>
    <mergeCell ref="D178:F178"/>
    <mergeCell ref="G178:H178"/>
    <mergeCell ref="I178:J178"/>
    <mergeCell ref="K178:L178"/>
    <mergeCell ref="M178:N178"/>
    <mergeCell ref="D180:F180"/>
    <mergeCell ref="G180:H180"/>
    <mergeCell ref="B179:C179"/>
    <mergeCell ref="D179:F179"/>
    <mergeCell ref="G179:H179"/>
    <mergeCell ref="I179:J179"/>
    <mergeCell ref="K179:L179"/>
    <mergeCell ref="M179:N179"/>
    <mergeCell ref="B180:C180"/>
    <mergeCell ref="M180:N180"/>
    <mergeCell ref="I146:J146"/>
    <mergeCell ref="K146:L146"/>
    <mergeCell ref="I147:J147"/>
    <mergeCell ref="K147:L147"/>
    <mergeCell ref="M147:N147"/>
    <mergeCell ref="I148:J148"/>
    <mergeCell ref="K148:L148"/>
    <mergeCell ref="M148:N148"/>
    <mergeCell ref="B145:C145"/>
    <mergeCell ref="D145:F145"/>
    <mergeCell ref="G145:H145"/>
    <mergeCell ref="I145:J145"/>
    <mergeCell ref="K145:L145"/>
    <mergeCell ref="M145:N145"/>
    <mergeCell ref="B146:C146"/>
    <mergeCell ref="M146:N146"/>
    <mergeCell ref="D146:F146"/>
    <mergeCell ref="G146:H146"/>
    <mergeCell ref="B147:C147"/>
    <mergeCell ref="D147:F147"/>
    <mergeCell ref="G147:H147"/>
    <mergeCell ref="D148:F148"/>
    <mergeCell ref="G148:H148"/>
    <mergeCell ref="B148:C148"/>
    <mergeCell ref="B149:C149"/>
    <mergeCell ref="D149:F149"/>
    <mergeCell ref="G149:H149"/>
    <mergeCell ref="I149:J149"/>
    <mergeCell ref="K149:L149"/>
    <mergeCell ref="M149:N149"/>
    <mergeCell ref="I151:J151"/>
    <mergeCell ref="K151:L151"/>
    <mergeCell ref="I152:J152"/>
    <mergeCell ref="K152:L152"/>
    <mergeCell ref="M152:N152"/>
    <mergeCell ref="I153:J153"/>
    <mergeCell ref="K153:L153"/>
    <mergeCell ref="M153:N153"/>
    <mergeCell ref="B150:C150"/>
    <mergeCell ref="D150:F150"/>
    <mergeCell ref="G150:H150"/>
    <mergeCell ref="I150:J150"/>
    <mergeCell ref="K150:L150"/>
    <mergeCell ref="M150:N150"/>
    <mergeCell ref="B151:C151"/>
    <mergeCell ref="M151:N151"/>
    <mergeCell ref="I180:J180"/>
    <mergeCell ref="K180:L180"/>
    <mergeCell ref="B183:H183"/>
    <mergeCell ref="J183:N183"/>
    <mergeCell ref="B184:H184"/>
    <mergeCell ref="J184:N184"/>
    <mergeCell ref="A185:N185"/>
    <mergeCell ref="I187:J187"/>
    <mergeCell ref="K187:L187"/>
    <mergeCell ref="A186:A187"/>
    <mergeCell ref="B186:F186"/>
    <mergeCell ref="G186:J186"/>
    <mergeCell ref="K186:N186"/>
    <mergeCell ref="D187:F187"/>
    <mergeCell ref="G187:H187"/>
    <mergeCell ref="M187:N187"/>
    <mergeCell ref="B187:C187"/>
    <mergeCell ref="B188:C188"/>
    <mergeCell ref="D188:F188"/>
    <mergeCell ref="G188:H188"/>
    <mergeCell ref="I188:J188"/>
    <mergeCell ref="K188:L188"/>
    <mergeCell ref="M188:N188"/>
    <mergeCell ref="I190:J190"/>
    <mergeCell ref="K190:L190"/>
    <mergeCell ref="I191:J191"/>
    <mergeCell ref="K191:L191"/>
    <mergeCell ref="M191:N191"/>
    <mergeCell ref="I192:J192"/>
    <mergeCell ref="K192:L192"/>
    <mergeCell ref="M192:N192"/>
    <mergeCell ref="B189:C189"/>
    <mergeCell ref="D189:F189"/>
    <mergeCell ref="G189:H189"/>
    <mergeCell ref="I189:J189"/>
    <mergeCell ref="K189:L189"/>
    <mergeCell ref="M189:N189"/>
    <mergeCell ref="B190:C190"/>
    <mergeCell ref="M190:N190"/>
    <mergeCell ref="D190:F190"/>
    <mergeCell ref="G190:H190"/>
    <mergeCell ref="B191:C191"/>
    <mergeCell ref="D191:F191"/>
    <mergeCell ref="G191:H191"/>
    <mergeCell ref="D192:F192"/>
    <mergeCell ref="G192:H192"/>
    <mergeCell ref="B192:C192"/>
    <mergeCell ref="B193:C193"/>
    <mergeCell ref="D193:F193"/>
    <mergeCell ref="G193:H193"/>
    <mergeCell ref="I193:J193"/>
    <mergeCell ref="K193:L193"/>
    <mergeCell ref="M193:N193"/>
    <mergeCell ref="G235:H235"/>
    <mergeCell ref="G236:H236"/>
    <mergeCell ref="G232:H232"/>
    <mergeCell ref="I232:J232"/>
    <mergeCell ref="G233:H233"/>
    <mergeCell ref="I233:J233"/>
    <mergeCell ref="G234:H234"/>
    <mergeCell ref="I234:J234"/>
    <mergeCell ref="I235:J235"/>
    <mergeCell ref="I236:J236"/>
    <mergeCell ref="I20:J20"/>
    <mergeCell ref="K20:L20"/>
    <mergeCell ref="M20:N20"/>
    <mergeCell ref="I21:J21"/>
    <mergeCell ref="K21:L21"/>
    <mergeCell ref="M21:N21"/>
    <mergeCell ref="I22:J22"/>
    <mergeCell ref="K22:L22"/>
    <mergeCell ref="M22:N22"/>
    <mergeCell ref="B24:H24"/>
    <mergeCell ref="J24:N24"/>
    <mergeCell ref="B25:H25"/>
    <mergeCell ref="J25:N25"/>
    <mergeCell ref="A26:N26"/>
    <mergeCell ref="G4:J4"/>
    <mergeCell ref="K4:N4"/>
    <mergeCell ref="B1:H1"/>
    <mergeCell ref="J1:N1"/>
    <mergeCell ref="B2:H2"/>
    <mergeCell ref="J2:N2"/>
    <mergeCell ref="A3:N3"/>
    <mergeCell ref="A4:A5"/>
    <mergeCell ref="B4:F4"/>
    <mergeCell ref="B8:C8"/>
    <mergeCell ref="B9:C9"/>
    <mergeCell ref="B10:C10"/>
    <mergeCell ref="G15:H15"/>
    <mergeCell ref="G16:H16"/>
    <mergeCell ref="G17:H17"/>
    <mergeCell ref="G18:H18"/>
    <mergeCell ref="G19:H19"/>
    <mergeCell ref="G20:H20"/>
    <mergeCell ref="G21:H21"/>
    <mergeCell ref="G22:H22"/>
    <mergeCell ref="G8:H8"/>
    <mergeCell ref="G9:H9"/>
    <mergeCell ref="G10:H10"/>
    <mergeCell ref="G11:H11"/>
    <mergeCell ref="G12:H12"/>
    <mergeCell ref="G13:H13"/>
    <mergeCell ref="G14:H14"/>
    <mergeCell ref="I9:J9"/>
    <mergeCell ref="I10:J10"/>
    <mergeCell ref="I11:J11"/>
    <mergeCell ref="I12:J12"/>
    <mergeCell ref="I13:J13"/>
    <mergeCell ref="I14:J14"/>
    <mergeCell ref="I15:J15"/>
    <mergeCell ref="B28:C28"/>
    <mergeCell ref="B29:C29"/>
    <mergeCell ref="D29:F29"/>
    <mergeCell ref="G29:H29"/>
    <mergeCell ref="I29:J29"/>
    <mergeCell ref="K29:L29"/>
    <mergeCell ref="M29:N29"/>
    <mergeCell ref="B5:C5"/>
    <mergeCell ref="D5:F5"/>
    <mergeCell ref="B6:C6"/>
    <mergeCell ref="D6:F6"/>
    <mergeCell ref="B7:C7"/>
    <mergeCell ref="D7:F7"/>
    <mergeCell ref="D8:F8"/>
    <mergeCell ref="D9:F9"/>
    <mergeCell ref="D10:F10"/>
    <mergeCell ref="B11:C11"/>
    <mergeCell ref="D11:F11"/>
    <mergeCell ref="B12:C12"/>
    <mergeCell ref="D12:F12"/>
    <mergeCell ref="D13:F13"/>
    <mergeCell ref="B20:C20"/>
    <mergeCell ref="B21:C21"/>
    <mergeCell ref="B22:C22"/>
    <mergeCell ref="B13:C13"/>
    <mergeCell ref="B14:C14"/>
    <mergeCell ref="B15:C15"/>
    <mergeCell ref="B16:C16"/>
    <mergeCell ref="B17:C17"/>
    <mergeCell ref="B18:C18"/>
    <mergeCell ref="B19:C19"/>
    <mergeCell ref="D21:F21"/>
    <mergeCell ref="D22:F22"/>
    <mergeCell ref="D14:F14"/>
    <mergeCell ref="D15:F15"/>
    <mergeCell ref="D16:F16"/>
    <mergeCell ref="D17:F17"/>
    <mergeCell ref="D18:F18"/>
    <mergeCell ref="D19:F19"/>
    <mergeCell ref="D20:F20"/>
    <mergeCell ref="G5:H5"/>
    <mergeCell ref="I5:J5"/>
    <mergeCell ref="G6:H6"/>
    <mergeCell ref="I6:J6"/>
    <mergeCell ref="G7:H7"/>
    <mergeCell ref="I7:J7"/>
    <mergeCell ref="I8:J8"/>
    <mergeCell ref="K5:L5"/>
    <mergeCell ref="M5:N5"/>
    <mergeCell ref="K6:L6"/>
    <mergeCell ref="M6:N6"/>
    <mergeCell ref="K7:L7"/>
    <mergeCell ref="M7:N7"/>
    <mergeCell ref="M8:N8"/>
    <mergeCell ref="K15:L15"/>
    <mergeCell ref="K16:L16"/>
    <mergeCell ref="K8:L8"/>
    <mergeCell ref="K9:L9"/>
    <mergeCell ref="K10:L10"/>
    <mergeCell ref="K11:L11"/>
    <mergeCell ref="K12:L12"/>
    <mergeCell ref="K13:L13"/>
    <mergeCell ref="K14:L14"/>
    <mergeCell ref="M16:N16"/>
    <mergeCell ref="M17:N17"/>
    <mergeCell ref="M9:N9"/>
    <mergeCell ref="M10:N10"/>
    <mergeCell ref="M11:N11"/>
    <mergeCell ref="M12:N12"/>
    <mergeCell ref="M13:N13"/>
    <mergeCell ref="M14:N14"/>
    <mergeCell ref="M15:N15"/>
    <mergeCell ref="K19:L19"/>
    <mergeCell ref="M19:N19"/>
    <mergeCell ref="I16:J16"/>
    <mergeCell ref="I17:J17"/>
    <mergeCell ref="K17:L17"/>
    <mergeCell ref="I18:J18"/>
    <mergeCell ref="K18:L18"/>
    <mergeCell ref="M18:N18"/>
    <mergeCell ref="I19:J19"/>
    <mergeCell ref="I28:J28"/>
    <mergeCell ref="K28:L28"/>
    <mergeCell ref="A27:A28"/>
    <mergeCell ref="B27:F27"/>
    <mergeCell ref="G27:J27"/>
    <mergeCell ref="K27:N27"/>
    <mergeCell ref="D28:F28"/>
    <mergeCell ref="G28:H28"/>
    <mergeCell ref="M28:N28"/>
    <mergeCell ref="D41:F41"/>
    <mergeCell ref="G41:H41"/>
    <mergeCell ref="B40:C40"/>
    <mergeCell ref="D40:F40"/>
    <mergeCell ref="G40:H40"/>
    <mergeCell ref="I40:J40"/>
    <mergeCell ref="K40:L40"/>
    <mergeCell ref="M40:N40"/>
    <mergeCell ref="B41:C41"/>
    <mergeCell ref="D36:F36"/>
    <mergeCell ref="G36:H36"/>
    <mergeCell ref="B37:C37"/>
    <mergeCell ref="D37:F37"/>
    <mergeCell ref="G37:H37"/>
    <mergeCell ref="D38:F38"/>
    <mergeCell ref="G38:H38"/>
    <mergeCell ref="B38:C38"/>
    <mergeCell ref="B39:C39"/>
    <mergeCell ref="D39:F39"/>
    <mergeCell ref="G39:H39"/>
    <mergeCell ref="I39:J39"/>
    <mergeCell ref="K39:L39"/>
    <mergeCell ref="M39:N39"/>
    <mergeCell ref="K42:L42"/>
    <mergeCell ref="M42:N42"/>
    <mergeCell ref="I41:J41"/>
    <mergeCell ref="K41:L41"/>
    <mergeCell ref="M41:N41"/>
    <mergeCell ref="B42:C42"/>
    <mergeCell ref="D42:F42"/>
    <mergeCell ref="G42:H42"/>
    <mergeCell ref="I42:J42"/>
    <mergeCell ref="D44:F44"/>
    <mergeCell ref="G44:H44"/>
    <mergeCell ref="B43:C43"/>
    <mergeCell ref="D43:F43"/>
    <mergeCell ref="G43:H43"/>
    <mergeCell ref="I43:J43"/>
    <mergeCell ref="K43:L43"/>
    <mergeCell ref="M43:N43"/>
    <mergeCell ref="B44:C44"/>
    <mergeCell ref="M44:N44"/>
    <mergeCell ref="I31:J31"/>
    <mergeCell ref="K31:L31"/>
    <mergeCell ref="I32:J32"/>
    <mergeCell ref="K32:L32"/>
    <mergeCell ref="M32:N32"/>
    <mergeCell ref="I33:J33"/>
    <mergeCell ref="K33:L33"/>
    <mergeCell ref="M33:N33"/>
    <mergeCell ref="B30:C30"/>
    <mergeCell ref="D30:F30"/>
    <mergeCell ref="G30:H30"/>
    <mergeCell ref="I30:J30"/>
    <mergeCell ref="K30:L30"/>
    <mergeCell ref="M30:N30"/>
    <mergeCell ref="B31:C31"/>
    <mergeCell ref="M31:N31"/>
    <mergeCell ref="D31:F31"/>
    <mergeCell ref="G31:H31"/>
    <mergeCell ref="B32:C32"/>
    <mergeCell ref="D32:F32"/>
    <mergeCell ref="G32:H32"/>
    <mergeCell ref="D33:F33"/>
    <mergeCell ref="G33:H33"/>
    <mergeCell ref="B33:C33"/>
    <mergeCell ref="B34:C34"/>
    <mergeCell ref="D34:F34"/>
    <mergeCell ref="G34:H34"/>
    <mergeCell ref="I34:J34"/>
    <mergeCell ref="K34:L34"/>
    <mergeCell ref="M34:N34"/>
    <mergeCell ref="I36:J36"/>
    <mergeCell ref="K36:L36"/>
    <mergeCell ref="I37:J37"/>
    <mergeCell ref="K37:L37"/>
    <mergeCell ref="M37:N37"/>
    <mergeCell ref="I38:J38"/>
    <mergeCell ref="K38:L38"/>
    <mergeCell ref="M38:N38"/>
    <mergeCell ref="B35:C35"/>
    <mergeCell ref="D35:F35"/>
    <mergeCell ref="G35:H35"/>
    <mergeCell ref="I35:J35"/>
    <mergeCell ref="K35:L35"/>
    <mergeCell ref="M35:N35"/>
    <mergeCell ref="B36:C36"/>
    <mergeCell ref="M36:N36"/>
    <mergeCell ref="I44:J44"/>
    <mergeCell ref="K44:L44"/>
    <mergeCell ref="B47:H47"/>
    <mergeCell ref="J47:N47"/>
    <mergeCell ref="B48:H48"/>
    <mergeCell ref="J48:N48"/>
    <mergeCell ref="A49:N49"/>
    <mergeCell ref="I51:J51"/>
    <mergeCell ref="K51:L51"/>
    <mergeCell ref="A50:A51"/>
    <mergeCell ref="B50:F50"/>
    <mergeCell ref="G50:J50"/>
    <mergeCell ref="K50:N50"/>
    <mergeCell ref="D51:F51"/>
    <mergeCell ref="G51:H51"/>
    <mergeCell ref="M51:N51"/>
    <mergeCell ref="B51:C51"/>
    <mergeCell ref="B52:C52"/>
    <mergeCell ref="D52:F52"/>
    <mergeCell ref="G52:H52"/>
    <mergeCell ref="I52:J52"/>
    <mergeCell ref="K52:L52"/>
    <mergeCell ref="M52:N52"/>
    <mergeCell ref="I54:J54"/>
    <mergeCell ref="K54:L54"/>
    <mergeCell ref="I55:J55"/>
    <mergeCell ref="K55:L55"/>
    <mergeCell ref="M55:N55"/>
    <mergeCell ref="I56:J56"/>
    <mergeCell ref="K56:L56"/>
    <mergeCell ref="M56:N56"/>
    <mergeCell ref="B53:C53"/>
    <mergeCell ref="D53:F53"/>
    <mergeCell ref="G53:H53"/>
    <mergeCell ref="I53:J53"/>
    <mergeCell ref="K53:L53"/>
    <mergeCell ref="M53:N53"/>
    <mergeCell ref="B54:C54"/>
    <mergeCell ref="M54:N54"/>
    <mergeCell ref="D54:F54"/>
    <mergeCell ref="G54:H54"/>
    <mergeCell ref="B55:C55"/>
    <mergeCell ref="D55:F55"/>
    <mergeCell ref="G55:H55"/>
    <mergeCell ref="D56:F56"/>
    <mergeCell ref="G56:H56"/>
    <mergeCell ref="B56:C56"/>
    <mergeCell ref="B57:C57"/>
    <mergeCell ref="D57:F57"/>
    <mergeCell ref="G57:H57"/>
    <mergeCell ref="I57:J57"/>
    <mergeCell ref="K57:L57"/>
    <mergeCell ref="M57:N57"/>
    <mergeCell ref="M66:N66"/>
    <mergeCell ref="J70:N70"/>
    <mergeCell ref="I64:J64"/>
    <mergeCell ref="K64:L64"/>
    <mergeCell ref="I65:J65"/>
    <mergeCell ref="K65:L65"/>
    <mergeCell ref="M65:N65"/>
    <mergeCell ref="I66:J66"/>
    <mergeCell ref="K66:L66"/>
    <mergeCell ref="I59:J59"/>
    <mergeCell ref="K59:L59"/>
    <mergeCell ref="I60:J60"/>
    <mergeCell ref="K60:L60"/>
    <mergeCell ref="M60:N60"/>
    <mergeCell ref="I61:J61"/>
    <mergeCell ref="K61:L61"/>
    <mergeCell ref="M61:N61"/>
    <mergeCell ref="B58:C58"/>
    <mergeCell ref="D58:F58"/>
    <mergeCell ref="G58:H58"/>
    <mergeCell ref="I58:J58"/>
    <mergeCell ref="K58:L58"/>
    <mergeCell ref="M58:N58"/>
    <mergeCell ref="B59:C59"/>
    <mergeCell ref="M59:N59"/>
    <mergeCell ref="D59:F59"/>
    <mergeCell ref="G59:H59"/>
    <mergeCell ref="B60:C60"/>
    <mergeCell ref="D60:F60"/>
    <mergeCell ref="G60:H60"/>
    <mergeCell ref="D61:F61"/>
    <mergeCell ref="G61:H61"/>
    <mergeCell ref="B61:C61"/>
    <mergeCell ref="B62:C62"/>
    <mergeCell ref="D62:F62"/>
    <mergeCell ref="G62:H62"/>
    <mergeCell ref="I62:J62"/>
    <mergeCell ref="K62:L62"/>
    <mergeCell ref="M62:N62"/>
    <mergeCell ref="B63:C63"/>
    <mergeCell ref="D63:F63"/>
    <mergeCell ref="G63:H63"/>
    <mergeCell ref="I63:J63"/>
    <mergeCell ref="K63:L63"/>
    <mergeCell ref="M63:N63"/>
    <mergeCell ref="B64:C64"/>
    <mergeCell ref="M64:N64"/>
    <mergeCell ref="B66:C66"/>
    <mergeCell ref="B67:C67"/>
    <mergeCell ref="D67:F67"/>
    <mergeCell ref="G67:H67"/>
    <mergeCell ref="I67:J67"/>
    <mergeCell ref="K67:L67"/>
    <mergeCell ref="M67:N67"/>
    <mergeCell ref="D64:F64"/>
    <mergeCell ref="G64:H64"/>
    <mergeCell ref="B65:C65"/>
    <mergeCell ref="D65:F65"/>
    <mergeCell ref="G65:H65"/>
    <mergeCell ref="D66:F66"/>
    <mergeCell ref="G66:H66"/>
    <mergeCell ref="B70:H70"/>
    <mergeCell ref="B71:H71"/>
    <mergeCell ref="J71:N71"/>
    <mergeCell ref="A72:N72"/>
    <mergeCell ref="B73:F73"/>
    <mergeCell ref="G73:J73"/>
    <mergeCell ref="K73:N73"/>
    <mergeCell ref="A73:A74"/>
    <mergeCell ref="B74:C74"/>
    <mergeCell ref="D74:F74"/>
    <mergeCell ref="G74:H74"/>
    <mergeCell ref="I74:J74"/>
    <mergeCell ref="K74:L74"/>
    <mergeCell ref="M74:N74"/>
    <mergeCell ref="I76:J76"/>
    <mergeCell ref="K76:L76"/>
    <mergeCell ref="I77:J77"/>
    <mergeCell ref="K77:L77"/>
    <mergeCell ref="M77:N77"/>
    <mergeCell ref="I78:J78"/>
    <mergeCell ref="K78:L78"/>
    <mergeCell ref="M78:N78"/>
    <mergeCell ref="B75:C75"/>
    <mergeCell ref="D75:F75"/>
    <mergeCell ref="G75:H75"/>
    <mergeCell ref="I75:J75"/>
    <mergeCell ref="K75:L75"/>
    <mergeCell ref="M75:N75"/>
    <mergeCell ref="B76:C76"/>
    <mergeCell ref="M76:N76"/>
    <mergeCell ref="D76:F76"/>
    <mergeCell ref="G76:H76"/>
    <mergeCell ref="B77:C77"/>
    <mergeCell ref="D77:F77"/>
    <mergeCell ref="G77:H77"/>
    <mergeCell ref="D78:F78"/>
    <mergeCell ref="G78:H78"/>
    <mergeCell ref="B78:C78"/>
    <mergeCell ref="B79:C79"/>
    <mergeCell ref="D79:F79"/>
    <mergeCell ref="G79:H79"/>
    <mergeCell ref="I79:J79"/>
    <mergeCell ref="K79:L79"/>
    <mergeCell ref="M79:N79"/>
    <mergeCell ref="I81:J81"/>
    <mergeCell ref="K81:L81"/>
    <mergeCell ref="B80:C80"/>
    <mergeCell ref="D80:F80"/>
    <mergeCell ref="G80:H80"/>
    <mergeCell ref="I80:J80"/>
    <mergeCell ref="K80:L80"/>
    <mergeCell ref="M80:N80"/>
    <mergeCell ref="B81:C81"/>
    <mergeCell ref="M81:N81"/>
    <mergeCell ref="D81:F81"/>
    <mergeCell ref="G81:H81"/>
    <mergeCell ref="D82:F82"/>
    <mergeCell ref="G82:H82"/>
    <mergeCell ref="I82:J82"/>
    <mergeCell ref="K82:L82"/>
    <mergeCell ref="M82:N82"/>
    <mergeCell ref="B82:C82"/>
    <mergeCell ref="B83:C83"/>
    <mergeCell ref="D83:F83"/>
    <mergeCell ref="G83:H83"/>
    <mergeCell ref="I83:J83"/>
    <mergeCell ref="K83:L83"/>
    <mergeCell ref="M83:N83"/>
    <mergeCell ref="I85:J85"/>
    <mergeCell ref="K85:L85"/>
    <mergeCell ref="I86:J86"/>
    <mergeCell ref="K86:L86"/>
    <mergeCell ref="M86:N86"/>
    <mergeCell ref="I87:J87"/>
    <mergeCell ref="K87:L87"/>
    <mergeCell ref="M87:N87"/>
    <mergeCell ref="B84:C84"/>
    <mergeCell ref="D84:F84"/>
    <mergeCell ref="G84:H84"/>
    <mergeCell ref="I84:J84"/>
    <mergeCell ref="K84:L84"/>
    <mergeCell ref="M84:N84"/>
    <mergeCell ref="B85:C85"/>
    <mergeCell ref="M85:N85"/>
    <mergeCell ref="D85:F85"/>
    <mergeCell ref="G85:H85"/>
    <mergeCell ref="B86:C86"/>
    <mergeCell ref="D86:F86"/>
    <mergeCell ref="G86:H86"/>
    <mergeCell ref="D87:F87"/>
    <mergeCell ref="G87:H87"/>
    <mergeCell ref="B87:C87"/>
    <mergeCell ref="B88:C88"/>
    <mergeCell ref="D88:F88"/>
    <mergeCell ref="G88:H88"/>
    <mergeCell ref="I88:J88"/>
    <mergeCell ref="K88:L88"/>
    <mergeCell ref="M88:N88"/>
    <mergeCell ref="G96:H96"/>
    <mergeCell ref="I96:J96"/>
    <mergeCell ref="G97:H97"/>
    <mergeCell ref="I97:J97"/>
    <mergeCell ref="G98:H98"/>
    <mergeCell ref="I98:J98"/>
    <mergeCell ref="I99:J99"/>
    <mergeCell ref="G107:H107"/>
    <mergeCell ref="G108:H108"/>
    <mergeCell ref="G109:H109"/>
    <mergeCell ref="G110:H110"/>
    <mergeCell ref="G111:H111"/>
    <mergeCell ref="G112:H112"/>
    <mergeCell ref="G99:H99"/>
    <mergeCell ref="G100:H100"/>
    <mergeCell ref="G102:H102"/>
    <mergeCell ref="G103:H103"/>
    <mergeCell ref="G104:H104"/>
    <mergeCell ref="G105:H105"/>
    <mergeCell ref="G106:H106"/>
    <mergeCell ref="I108:J108"/>
    <mergeCell ref="I109:J109"/>
    <mergeCell ref="I110:J110"/>
    <mergeCell ref="I111:J111"/>
    <mergeCell ref="I112:J112"/>
    <mergeCell ref="I100:J100"/>
    <mergeCell ref="I102:J102"/>
    <mergeCell ref="I103:J103"/>
    <mergeCell ref="I104:J104"/>
    <mergeCell ref="I105:J105"/>
    <mergeCell ref="I106:J106"/>
    <mergeCell ref="I107:J107"/>
    <mergeCell ref="K99:L99"/>
    <mergeCell ref="K100:L100"/>
    <mergeCell ref="G101:H101"/>
    <mergeCell ref="I101:J101"/>
    <mergeCell ref="K101:L101"/>
    <mergeCell ref="K102:L102"/>
    <mergeCell ref="K103:L103"/>
    <mergeCell ref="K111:L111"/>
    <mergeCell ref="K112:L112"/>
    <mergeCell ref="K104:L104"/>
    <mergeCell ref="K105:L105"/>
    <mergeCell ref="K106:L106"/>
    <mergeCell ref="K107:L107"/>
    <mergeCell ref="K108:L108"/>
    <mergeCell ref="K109:L109"/>
    <mergeCell ref="K110:L1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J115:N115"/>
    <mergeCell ref="D118:F118"/>
    <mergeCell ref="G118:H118"/>
    <mergeCell ref="B115:H115"/>
    <mergeCell ref="A116:N116"/>
    <mergeCell ref="A117:A118"/>
    <mergeCell ref="B117:F117"/>
    <mergeCell ref="G117:J117"/>
    <mergeCell ref="K117:N117"/>
    <mergeCell ref="B118:C118"/>
    <mergeCell ref="M118:N118"/>
    <mergeCell ref="I118:J118"/>
    <mergeCell ref="K118:L118"/>
    <mergeCell ref="D119:F119"/>
    <mergeCell ref="G119:H119"/>
    <mergeCell ref="I119:J119"/>
    <mergeCell ref="K119:L119"/>
    <mergeCell ref="M119:N119"/>
    <mergeCell ref="B119:C119"/>
    <mergeCell ref="B120:C120"/>
    <mergeCell ref="D120:F120"/>
    <mergeCell ref="G120:H120"/>
    <mergeCell ref="I120:J120"/>
    <mergeCell ref="K120:L120"/>
    <mergeCell ref="M120:N120"/>
    <mergeCell ref="B96:C96"/>
    <mergeCell ref="D96:F96"/>
    <mergeCell ref="B97:C97"/>
    <mergeCell ref="D97:F97"/>
    <mergeCell ref="B98:C98"/>
    <mergeCell ref="D98:F98"/>
    <mergeCell ref="D99:F99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00:F100"/>
    <mergeCell ref="D101:F101"/>
    <mergeCell ref="B102:C102"/>
    <mergeCell ref="D102:F102"/>
    <mergeCell ref="B103:C103"/>
    <mergeCell ref="D103:F103"/>
    <mergeCell ref="D104:F104"/>
    <mergeCell ref="B111:C111"/>
    <mergeCell ref="B112:C112"/>
    <mergeCell ref="B104:C104"/>
    <mergeCell ref="B105:C105"/>
    <mergeCell ref="B106:C106"/>
    <mergeCell ref="B107:C107"/>
    <mergeCell ref="B108:C108"/>
    <mergeCell ref="B109:C109"/>
    <mergeCell ref="B110:C110"/>
    <mergeCell ref="I90:J90"/>
    <mergeCell ref="K90:L90"/>
    <mergeCell ref="J92:N92"/>
    <mergeCell ref="J93:N93"/>
    <mergeCell ref="B89:C89"/>
    <mergeCell ref="D89:F89"/>
    <mergeCell ref="G89:H89"/>
    <mergeCell ref="I89:J89"/>
    <mergeCell ref="K89:L89"/>
    <mergeCell ref="M89:N89"/>
    <mergeCell ref="B90:C90"/>
    <mergeCell ref="M90:N90"/>
    <mergeCell ref="G95:J95"/>
    <mergeCell ref="K95:N95"/>
    <mergeCell ref="D90:F90"/>
    <mergeCell ref="G90:H90"/>
    <mergeCell ref="B92:H92"/>
    <mergeCell ref="B93:H93"/>
    <mergeCell ref="A94:N94"/>
    <mergeCell ref="A95:A96"/>
    <mergeCell ref="B95:F95"/>
    <mergeCell ref="B99:C99"/>
    <mergeCell ref="B100:C100"/>
    <mergeCell ref="B101:C101"/>
    <mergeCell ref="K96:L96"/>
    <mergeCell ref="M96:N96"/>
    <mergeCell ref="K97:L97"/>
    <mergeCell ref="M97:N97"/>
    <mergeCell ref="K98:L98"/>
    <mergeCell ref="M98:N98"/>
    <mergeCell ref="M99:N99"/>
    <mergeCell ref="I122:J122"/>
    <mergeCell ref="K122:L122"/>
    <mergeCell ref="B121:C121"/>
    <mergeCell ref="D121:F121"/>
    <mergeCell ref="G121:H121"/>
    <mergeCell ref="I121:J121"/>
    <mergeCell ref="K121:L121"/>
    <mergeCell ref="M121:N121"/>
    <mergeCell ref="B122:C122"/>
    <mergeCell ref="M122:N122"/>
    <mergeCell ref="D122:F122"/>
    <mergeCell ref="G122:H122"/>
    <mergeCell ref="D123:F123"/>
    <mergeCell ref="G123:H123"/>
    <mergeCell ref="I123:J123"/>
    <mergeCell ref="K123:L123"/>
    <mergeCell ref="M123:N123"/>
    <mergeCell ref="B123:C123"/>
    <mergeCell ref="B124:C124"/>
    <mergeCell ref="D124:F124"/>
    <mergeCell ref="G124:H124"/>
    <mergeCell ref="I124:J124"/>
    <mergeCell ref="K124:L124"/>
    <mergeCell ref="M124:N124"/>
    <mergeCell ref="I126:J126"/>
    <mergeCell ref="K126:L126"/>
    <mergeCell ref="I127:J127"/>
    <mergeCell ref="K127:L127"/>
    <mergeCell ref="M127:N127"/>
    <mergeCell ref="I128:J128"/>
    <mergeCell ref="K128:L128"/>
    <mergeCell ref="M128:N128"/>
    <mergeCell ref="B125:C125"/>
    <mergeCell ref="D125:F125"/>
    <mergeCell ref="G125:H125"/>
    <mergeCell ref="I125:J125"/>
    <mergeCell ref="K125:L125"/>
    <mergeCell ref="M125:N125"/>
    <mergeCell ref="B126:C126"/>
    <mergeCell ref="M126:N126"/>
    <mergeCell ref="D126:F126"/>
    <mergeCell ref="G126:H126"/>
    <mergeCell ref="B127:C127"/>
    <mergeCell ref="D127:F127"/>
    <mergeCell ref="G127:H127"/>
    <mergeCell ref="D128:F128"/>
    <mergeCell ref="G128:H128"/>
    <mergeCell ref="B128:C128"/>
    <mergeCell ref="B129:C129"/>
    <mergeCell ref="D129:F129"/>
    <mergeCell ref="G129:H129"/>
    <mergeCell ref="I129:J129"/>
    <mergeCell ref="K129:L129"/>
    <mergeCell ref="M129:N129"/>
    <mergeCell ref="B141:C141"/>
    <mergeCell ref="D141:F141"/>
    <mergeCell ref="B137:H137"/>
    <mergeCell ref="B138:H138"/>
    <mergeCell ref="A139:N139"/>
    <mergeCell ref="A140:A141"/>
    <mergeCell ref="B140:F140"/>
    <mergeCell ref="G140:J140"/>
    <mergeCell ref="K140:N140"/>
    <mergeCell ref="D143:F143"/>
    <mergeCell ref="G143:H143"/>
    <mergeCell ref="K143:L143"/>
    <mergeCell ref="M143:N143"/>
    <mergeCell ref="G141:H141"/>
    <mergeCell ref="I141:J141"/>
    <mergeCell ref="B142:C142"/>
    <mergeCell ref="D142:F142"/>
    <mergeCell ref="G142:H142"/>
    <mergeCell ref="I142:J142"/>
    <mergeCell ref="I143:J143"/>
    <mergeCell ref="B130:C130"/>
    <mergeCell ref="D130:F130"/>
    <mergeCell ref="G130:H130"/>
    <mergeCell ref="I130:J130"/>
    <mergeCell ref="K130:L130"/>
    <mergeCell ref="M130:N130"/>
    <mergeCell ref="B131:C131"/>
    <mergeCell ref="M131:N131"/>
    <mergeCell ref="B133:C133"/>
    <mergeCell ref="B134:C134"/>
    <mergeCell ref="D134:F134"/>
    <mergeCell ref="G134:H134"/>
    <mergeCell ref="I134:J134"/>
    <mergeCell ref="K134:L134"/>
    <mergeCell ref="M134:N134"/>
    <mergeCell ref="M133:N133"/>
    <mergeCell ref="J137:N137"/>
    <mergeCell ref="J138:N138"/>
    <mergeCell ref="I131:J131"/>
    <mergeCell ref="K131:L131"/>
    <mergeCell ref="I132:J132"/>
    <mergeCell ref="K132:L132"/>
    <mergeCell ref="M132:N132"/>
    <mergeCell ref="I133:J133"/>
    <mergeCell ref="K133:L133"/>
    <mergeCell ref="D131:F131"/>
    <mergeCell ref="G131:H131"/>
    <mergeCell ref="B132:C132"/>
    <mergeCell ref="D132:F132"/>
    <mergeCell ref="G132:H132"/>
    <mergeCell ref="D133:F133"/>
    <mergeCell ref="G133:H133"/>
    <mergeCell ref="K141:L141"/>
    <mergeCell ref="M141:N141"/>
    <mergeCell ref="K142:L142"/>
    <mergeCell ref="M142:N142"/>
    <mergeCell ref="B143:C143"/>
    <mergeCell ref="B144:C144"/>
    <mergeCell ref="D144:F144"/>
    <mergeCell ref="G144:H144"/>
    <mergeCell ref="I144:J144"/>
    <mergeCell ref="K144:L144"/>
    <mergeCell ref="M144:N144"/>
    <mergeCell ref="D156:F156"/>
    <mergeCell ref="G156:H156"/>
    <mergeCell ref="B155:C155"/>
    <mergeCell ref="D155:F155"/>
    <mergeCell ref="G155:H155"/>
    <mergeCell ref="I155:J155"/>
    <mergeCell ref="K155:L155"/>
    <mergeCell ref="M155:N155"/>
    <mergeCell ref="B156:C156"/>
    <mergeCell ref="K157:L157"/>
    <mergeCell ref="M157:N157"/>
    <mergeCell ref="I156:J156"/>
    <mergeCell ref="K156:L156"/>
    <mergeCell ref="M156:N156"/>
    <mergeCell ref="B157:C157"/>
    <mergeCell ref="D157:F157"/>
    <mergeCell ref="G157:H157"/>
    <mergeCell ref="I157:J157"/>
    <mergeCell ref="G163:J163"/>
    <mergeCell ref="K163:N163"/>
    <mergeCell ref="G164:H164"/>
    <mergeCell ref="I164:J164"/>
    <mergeCell ref="K164:L164"/>
    <mergeCell ref="M164:N164"/>
    <mergeCell ref="B160:H160"/>
    <mergeCell ref="J160:N160"/>
    <mergeCell ref="B161:H161"/>
    <mergeCell ref="J161:N161"/>
    <mergeCell ref="A162:N162"/>
    <mergeCell ref="A163:A164"/>
    <mergeCell ref="B163:F163"/>
    <mergeCell ref="B164:C164"/>
    <mergeCell ref="D164:F164"/>
    <mergeCell ref="D165:F165"/>
    <mergeCell ref="G165:H165"/>
    <mergeCell ref="I165:J165"/>
    <mergeCell ref="K165:L165"/>
    <mergeCell ref="M165:N165"/>
    <mergeCell ref="B165:C165"/>
    <mergeCell ref="B166:C166"/>
    <mergeCell ref="D166:F166"/>
    <mergeCell ref="G166:H166"/>
    <mergeCell ref="I166:J166"/>
    <mergeCell ref="K166:L166"/>
    <mergeCell ref="M166:N166"/>
    <mergeCell ref="D168:F168"/>
    <mergeCell ref="G168:H168"/>
    <mergeCell ref="B167:C167"/>
    <mergeCell ref="D167:F167"/>
    <mergeCell ref="G167:H167"/>
    <mergeCell ref="I167:J167"/>
    <mergeCell ref="K167:L167"/>
    <mergeCell ref="M167:N167"/>
    <mergeCell ref="B168:C168"/>
    <mergeCell ref="M168:N168"/>
    <mergeCell ref="I168:J168"/>
    <mergeCell ref="K168:L168"/>
    <mergeCell ref="D169:F169"/>
    <mergeCell ref="G169:H169"/>
    <mergeCell ref="I169:J169"/>
    <mergeCell ref="K169:L169"/>
    <mergeCell ref="M169:N169"/>
    <mergeCell ref="B169:C169"/>
    <mergeCell ref="B170:C170"/>
    <mergeCell ref="D170:F170"/>
    <mergeCell ref="G170:H170"/>
    <mergeCell ref="I170:J170"/>
    <mergeCell ref="K170:L170"/>
    <mergeCell ref="M170:N170"/>
    <mergeCell ref="D172:F172"/>
    <mergeCell ref="G172:H172"/>
    <mergeCell ref="B171:C171"/>
    <mergeCell ref="D171:F171"/>
    <mergeCell ref="G171:H171"/>
    <mergeCell ref="I171:J171"/>
    <mergeCell ref="K171:L171"/>
    <mergeCell ref="M171:N171"/>
    <mergeCell ref="B172:C172"/>
    <mergeCell ref="M172:N172"/>
    <mergeCell ref="I172:J172"/>
    <mergeCell ref="K172:L172"/>
    <mergeCell ref="D173:F173"/>
    <mergeCell ref="G173:H173"/>
    <mergeCell ref="I173:J173"/>
    <mergeCell ref="K173:L173"/>
    <mergeCell ref="M173:N173"/>
    <mergeCell ref="B173:C173"/>
    <mergeCell ref="B174:C174"/>
    <mergeCell ref="D174:F174"/>
    <mergeCell ref="G174:H174"/>
    <mergeCell ref="I174:J174"/>
    <mergeCell ref="K174:L174"/>
    <mergeCell ref="M174:N174"/>
    <mergeCell ref="M202:N202"/>
    <mergeCell ref="J205:N205"/>
    <mergeCell ref="I200:J200"/>
    <mergeCell ref="K200:L200"/>
    <mergeCell ref="I201:J201"/>
    <mergeCell ref="K201:L201"/>
    <mergeCell ref="M201:N201"/>
    <mergeCell ref="I202:J202"/>
    <mergeCell ref="K202:L202"/>
    <mergeCell ref="I195:J195"/>
    <mergeCell ref="K195:L195"/>
    <mergeCell ref="I196:J196"/>
    <mergeCell ref="K196:L196"/>
    <mergeCell ref="M196:N196"/>
    <mergeCell ref="I197:J197"/>
    <mergeCell ref="K197:L197"/>
    <mergeCell ref="M197:N197"/>
    <mergeCell ref="B194:C194"/>
    <mergeCell ref="D194:F194"/>
    <mergeCell ref="G194:H194"/>
    <mergeCell ref="I194:J194"/>
    <mergeCell ref="K194:L194"/>
    <mergeCell ref="M194:N194"/>
    <mergeCell ref="B195:C195"/>
    <mergeCell ref="M195:N195"/>
    <mergeCell ref="D195:F195"/>
    <mergeCell ref="G195:H195"/>
    <mergeCell ref="B196:C196"/>
    <mergeCell ref="D196:F196"/>
    <mergeCell ref="G196:H196"/>
    <mergeCell ref="D197:F197"/>
    <mergeCell ref="G197:H197"/>
    <mergeCell ref="B197:C197"/>
    <mergeCell ref="B198:C198"/>
    <mergeCell ref="D198:F198"/>
    <mergeCell ref="G198:H198"/>
    <mergeCell ref="I198:J198"/>
    <mergeCell ref="K198:L198"/>
    <mergeCell ref="M198:N198"/>
    <mergeCell ref="B199:C199"/>
    <mergeCell ref="D199:F199"/>
    <mergeCell ref="G199:H199"/>
    <mergeCell ref="I199:J199"/>
    <mergeCell ref="K199:L199"/>
    <mergeCell ref="M199:N199"/>
    <mergeCell ref="B200:C200"/>
    <mergeCell ref="M200:N200"/>
    <mergeCell ref="B202:C202"/>
    <mergeCell ref="B203:C203"/>
    <mergeCell ref="D203:F203"/>
    <mergeCell ref="G203:H203"/>
    <mergeCell ref="I203:J203"/>
    <mergeCell ref="K203:L203"/>
    <mergeCell ref="M203:N203"/>
    <mergeCell ref="D200:F200"/>
    <mergeCell ref="G200:H200"/>
    <mergeCell ref="B201:C201"/>
    <mergeCell ref="D201:F201"/>
    <mergeCell ref="G201:H201"/>
    <mergeCell ref="D202:F202"/>
    <mergeCell ref="G202:H20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4.88"/>
    <col customWidth="1" min="3" max="3" width="4.13"/>
    <col customWidth="1" min="4" max="4" width="4.5"/>
    <col customWidth="1" min="5" max="5" width="2.75"/>
    <col customWidth="1" min="6" max="6" width="2.0"/>
    <col customWidth="1" min="7" max="7" width="7.75"/>
    <col customWidth="1" min="8" max="8" width="0.38"/>
    <col customWidth="1" min="9" max="9" width="5.0"/>
    <col customWidth="1" min="10" max="10" width="5.13"/>
    <col customWidth="1" min="11" max="11" width="6.75"/>
    <col customWidth="1" min="12" max="12" width="0.38"/>
    <col customWidth="1" min="13" max="13" width="4.5"/>
    <col customWidth="1" min="14" max="14" width="2.25"/>
    <col customWidth="1" min="15" max="15" width="9.5"/>
    <col customWidth="1" min="16" max="16" width="9.38"/>
    <col customWidth="1" min="17" max="17" width="8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1" t="s">
        <v>2</v>
      </c>
      <c r="J1" s="5" t="s">
        <v>3</v>
      </c>
      <c r="K1" s="3"/>
      <c r="L1" s="3"/>
      <c r="M1" s="3"/>
      <c r="N1" s="4"/>
      <c r="O1" s="6"/>
      <c r="P1" s="7"/>
      <c r="Q1" s="8"/>
    </row>
    <row r="2">
      <c r="A2" s="1" t="s">
        <v>4</v>
      </c>
      <c r="B2" s="37" t="s">
        <v>82</v>
      </c>
      <c r="C2" s="3"/>
      <c r="D2" s="3"/>
      <c r="E2" s="3"/>
      <c r="F2" s="3"/>
      <c r="G2" s="3"/>
      <c r="H2" s="4"/>
      <c r="I2" s="1" t="s">
        <v>6</v>
      </c>
      <c r="J2" s="10">
        <v>2.0</v>
      </c>
      <c r="K2" s="3"/>
      <c r="L2" s="3"/>
      <c r="M2" s="3"/>
      <c r="N2" s="4"/>
      <c r="O2" s="6"/>
      <c r="P2" s="7"/>
      <c r="Q2" s="8"/>
    </row>
    <row r="3">
      <c r="A3" s="11" t="s">
        <v>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12" t="s">
        <v>8</v>
      </c>
      <c r="P3" s="13" t="s">
        <v>9</v>
      </c>
      <c r="Q3" s="14" t="s">
        <v>10</v>
      </c>
    </row>
    <row r="4">
      <c r="A4" s="15" t="s">
        <v>11</v>
      </c>
      <c r="B4" s="2" t="s">
        <v>12</v>
      </c>
      <c r="C4" s="3"/>
      <c r="D4" s="3"/>
      <c r="E4" s="3"/>
      <c r="F4" s="4"/>
      <c r="G4" s="2" t="s">
        <v>13</v>
      </c>
      <c r="H4" s="3"/>
      <c r="I4" s="3"/>
      <c r="J4" s="3"/>
      <c r="K4" s="10" t="s">
        <v>14</v>
      </c>
      <c r="L4" s="3"/>
      <c r="M4" s="3"/>
      <c r="N4" s="4"/>
      <c r="O4" s="6"/>
      <c r="P4" s="7"/>
      <c r="Q4" s="8"/>
    </row>
    <row r="5">
      <c r="A5" s="16"/>
      <c r="B5" s="17" t="s">
        <v>15</v>
      </c>
      <c r="C5" s="4"/>
      <c r="D5" s="17" t="s">
        <v>16</v>
      </c>
      <c r="E5" s="3"/>
      <c r="F5" s="4"/>
      <c r="G5" s="17" t="s">
        <v>15</v>
      </c>
      <c r="H5" s="4"/>
      <c r="I5" s="17" t="s">
        <v>16</v>
      </c>
      <c r="J5" s="4"/>
      <c r="K5" s="17" t="s">
        <v>15</v>
      </c>
      <c r="L5" s="4"/>
      <c r="M5" s="17" t="s">
        <v>16</v>
      </c>
      <c r="N5" s="4"/>
      <c r="O5" s="6"/>
      <c r="P5" s="7"/>
      <c r="Q5" s="8"/>
    </row>
    <row r="6">
      <c r="A6" s="22" t="s">
        <v>83</v>
      </c>
      <c r="B6" s="53">
        <v>0.36875</v>
      </c>
      <c r="C6" s="4"/>
      <c r="D6" s="20">
        <v>0.5590277777777778</v>
      </c>
      <c r="E6" s="3"/>
      <c r="F6" s="4"/>
      <c r="G6" s="19"/>
      <c r="H6" s="4"/>
      <c r="I6" s="19"/>
      <c r="J6" s="4"/>
      <c r="K6" s="19"/>
      <c r="L6" s="4"/>
      <c r="M6" s="20"/>
      <c r="N6" s="4"/>
      <c r="O6" s="6">
        <f>D6-B6</f>
        <v>0.1902777778</v>
      </c>
      <c r="P6" s="21">
        <v>0.375</v>
      </c>
      <c r="Q6" s="8">
        <f>O6</f>
        <v>0.1902777778</v>
      </c>
    </row>
    <row r="7">
      <c r="A7" s="18" t="s">
        <v>84</v>
      </c>
      <c r="B7" s="53">
        <v>0.41805555555555557</v>
      </c>
      <c r="C7" s="3"/>
      <c r="D7" s="4"/>
      <c r="E7" s="20"/>
      <c r="F7" s="54"/>
      <c r="G7" s="19"/>
      <c r="H7" s="4"/>
      <c r="I7" s="20">
        <v>0.875</v>
      </c>
      <c r="J7" s="4"/>
      <c r="K7" s="19"/>
      <c r="L7" s="4"/>
      <c r="M7" s="20"/>
      <c r="N7" s="4"/>
      <c r="O7" s="6">
        <f>I7-B7</f>
        <v>0.4569444444</v>
      </c>
      <c r="P7" s="21">
        <v>0.375</v>
      </c>
      <c r="Q7" s="8">
        <f t="shared" ref="Q7:Q8" si="1">O7-P7</f>
        <v>0.08194444444</v>
      </c>
    </row>
    <row r="8">
      <c r="A8" s="18" t="s">
        <v>85</v>
      </c>
      <c r="B8" s="20">
        <v>0.36875</v>
      </c>
      <c r="C8" s="4"/>
      <c r="D8" s="20">
        <v>0.8743055555555556</v>
      </c>
      <c r="E8" s="3"/>
      <c r="F8" s="4"/>
      <c r="G8" s="19"/>
      <c r="H8" s="4"/>
      <c r="I8" s="20"/>
      <c r="J8" s="4"/>
      <c r="K8" s="19"/>
      <c r="L8" s="4"/>
      <c r="M8" s="19"/>
      <c r="N8" s="4"/>
      <c r="O8" s="6">
        <f>D8-B8</f>
        <v>0.5055555556</v>
      </c>
      <c r="P8" s="21">
        <v>0.375</v>
      </c>
      <c r="Q8" s="8">
        <f t="shared" si="1"/>
        <v>0.1305555556</v>
      </c>
    </row>
    <row r="9">
      <c r="A9" s="18" t="s">
        <v>86</v>
      </c>
      <c r="B9" s="55" t="s">
        <v>87</v>
      </c>
      <c r="C9" s="4"/>
      <c r="D9" s="19"/>
      <c r="E9" s="3"/>
      <c r="F9" s="4"/>
      <c r="G9" s="19"/>
      <c r="H9" s="4"/>
      <c r="I9" s="19"/>
      <c r="J9" s="4"/>
      <c r="K9" s="19"/>
      <c r="L9" s="4"/>
      <c r="M9" s="19"/>
      <c r="N9" s="4"/>
      <c r="O9" s="6"/>
      <c r="P9" s="21"/>
      <c r="Q9" s="8"/>
    </row>
    <row r="10">
      <c r="A10" s="18" t="s">
        <v>88</v>
      </c>
      <c r="B10" s="20">
        <v>0.3784722222222222</v>
      </c>
      <c r="C10" s="4"/>
      <c r="D10" s="20">
        <v>0.8194444444444444</v>
      </c>
      <c r="E10" s="3"/>
      <c r="F10" s="4"/>
      <c r="G10" s="19"/>
      <c r="H10" s="4"/>
      <c r="I10" s="19"/>
      <c r="J10" s="4"/>
      <c r="K10" s="19"/>
      <c r="L10" s="4"/>
      <c r="M10" s="19"/>
      <c r="N10" s="4"/>
      <c r="O10" s="6">
        <f t="shared" ref="O10:O12" si="2">D10-B10</f>
        <v>0.4409722222</v>
      </c>
      <c r="P10" s="21">
        <v>0.375</v>
      </c>
      <c r="Q10" s="8">
        <f>O10-P10</f>
        <v>0.06597222222</v>
      </c>
    </row>
    <row r="11">
      <c r="A11" s="18" t="s">
        <v>89</v>
      </c>
      <c r="B11" s="33">
        <v>0.4152777777777778</v>
      </c>
      <c r="C11" s="4"/>
      <c r="D11" s="34">
        <v>0.7729166666666667</v>
      </c>
      <c r="E11" s="3"/>
      <c r="F11" s="3"/>
      <c r="G11" s="25"/>
      <c r="H11" s="3"/>
      <c r="I11" s="26"/>
      <c r="J11" s="3"/>
      <c r="K11" s="24"/>
      <c r="L11" s="3"/>
      <c r="M11" s="24"/>
      <c r="N11" s="4"/>
      <c r="O11" s="6">
        <f t="shared" si="2"/>
        <v>0.3576388889</v>
      </c>
      <c r="P11" s="21">
        <v>0.375</v>
      </c>
      <c r="Q11" s="8"/>
    </row>
    <row r="12">
      <c r="A12" s="22" t="s">
        <v>90</v>
      </c>
      <c r="B12" s="20">
        <v>0.3819444444444444</v>
      </c>
      <c r="C12" s="4"/>
      <c r="D12" s="20">
        <v>0.8291666666666667</v>
      </c>
      <c r="E12" s="3"/>
      <c r="F12" s="4"/>
      <c r="G12" s="19"/>
      <c r="H12" s="4"/>
      <c r="I12" s="19"/>
      <c r="J12" s="4"/>
      <c r="K12" s="19"/>
      <c r="L12" s="4"/>
      <c r="M12" s="20"/>
      <c r="N12" s="4"/>
      <c r="O12" s="6">
        <f t="shared" si="2"/>
        <v>0.4472222222</v>
      </c>
      <c r="P12" s="21">
        <v>0.375</v>
      </c>
      <c r="Q12" s="8">
        <f>O12-P12</f>
        <v>0.07222222222</v>
      </c>
    </row>
    <row r="13">
      <c r="A13" s="22" t="s">
        <v>91</v>
      </c>
      <c r="B13" s="19"/>
      <c r="C13" s="4"/>
      <c r="D13" s="20"/>
      <c r="E13" s="3"/>
      <c r="F13" s="4"/>
      <c r="G13" s="19"/>
      <c r="H13" s="4"/>
      <c r="I13" s="19"/>
      <c r="J13" s="4"/>
      <c r="K13" s="19"/>
      <c r="L13" s="4"/>
      <c r="M13" s="20"/>
      <c r="N13" s="4"/>
      <c r="O13" s="6"/>
      <c r="P13" s="21"/>
      <c r="Q13" s="8"/>
    </row>
    <row r="14">
      <c r="A14" s="18" t="s">
        <v>92</v>
      </c>
      <c r="B14" s="20">
        <v>0.3333333333333333</v>
      </c>
      <c r="C14" s="4"/>
      <c r="D14" s="20">
        <v>0.8736111111111111</v>
      </c>
      <c r="E14" s="3"/>
      <c r="F14" s="4"/>
      <c r="G14" s="19"/>
      <c r="H14" s="4"/>
      <c r="I14" s="19"/>
      <c r="J14" s="4"/>
      <c r="K14" s="20"/>
      <c r="L14" s="4"/>
      <c r="M14" s="19"/>
      <c r="N14" s="4"/>
      <c r="O14" s="6">
        <f t="shared" ref="O14:O19" si="3">D14-B14</f>
        <v>0.5402777778</v>
      </c>
      <c r="P14" s="21">
        <v>0.375</v>
      </c>
      <c r="Q14" s="8">
        <f>O14-P14</f>
        <v>0.1652777778</v>
      </c>
      <c r="R14" s="50">
        <f>114.94*3.58</f>
        <v>411.4852</v>
      </c>
      <c r="S14" s="50">
        <f>R14*30%</f>
        <v>123.44556</v>
      </c>
    </row>
    <row r="15">
      <c r="A15" s="18" t="s">
        <v>93</v>
      </c>
      <c r="B15" s="20">
        <v>0.49444444444444446</v>
      </c>
      <c r="C15" s="4"/>
      <c r="D15" s="20">
        <v>0.8423611111111111</v>
      </c>
      <c r="E15" s="3"/>
      <c r="F15" s="4"/>
      <c r="G15" s="19"/>
      <c r="H15" s="4"/>
      <c r="I15" s="19"/>
      <c r="J15" s="4"/>
      <c r="K15" s="20"/>
      <c r="L15" s="4"/>
      <c r="M15" s="19"/>
      <c r="N15" s="4"/>
      <c r="O15" s="6">
        <f t="shared" si="3"/>
        <v>0.3479166667</v>
      </c>
      <c r="P15" s="21">
        <v>0.375</v>
      </c>
      <c r="Q15" s="8"/>
    </row>
    <row r="16">
      <c r="A16" s="18" t="s">
        <v>94</v>
      </c>
      <c r="B16" s="20">
        <v>0.36319444444444443</v>
      </c>
      <c r="C16" s="4"/>
      <c r="D16" s="20">
        <v>0.8347222222222223</v>
      </c>
      <c r="E16" s="3"/>
      <c r="F16" s="4"/>
      <c r="G16" s="19"/>
      <c r="H16" s="4"/>
      <c r="I16" s="19"/>
      <c r="J16" s="4"/>
      <c r="K16" s="19"/>
      <c r="L16" s="4"/>
      <c r="M16" s="19"/>
      <c r="N16" s="4"/>
      <c r="O16" s="6">
        <f t="shared" si="3"/>
        <v>0.4715277778</v>
      </c>
      <c r="P16" s="21">
        <v>0.375</v>
      </c>
      <c r="Q16" s="8">
        <f t="shared" ref="Q16:Q19" si="4">O16-P16</f>
        <v>0.09652777778</v>
      </c>
    </row>
    <row r="17">
      <c r="A17" s="18" t="s">
        <v>95</v>
      </c>
      <c r="B17" s="20">
        <v>0.3611111111111111</v>
      </c>
      <c r="C17" s="4"/>
      <c r="D17" s="20">
        <v>0.8166666666666667</v>
      </c>
      <c r="E17" s="3"/>
      <c r="F17" s="4"/>
      <c r="G17" s="19"/>
      <c r="H17" s="4"/>
      <c r="I17" s="19"/>
      <c r="J17" s="4"/>
      <c r="K17" s="19"/>
      <c r="L17" s="4"/>
      <c r="M17" s="19"/>
      <c r="N17" s="4"/>
      <c r="O17" s="6">
        <f t="shared" si="3"/>
        <v>0.4555555556</v>
      </c>
      <c r="P17" s="21">
        <v>0.375</v>
      </c>
      <c r="Q17" s="8">
        <f t="shared" si="4"/>
        <v>0.08055555556</v>
      </c>
    </row>
    <row r="18">
      <c r="A18" s="18" t="s">
        <v>96</v>
      </c>
      <c r="B18" s="20">
        <v>0.39861111111111114</v>
      </c>
      <c r="C18" s="4"/>
      <c r="D18" s="20">
        <v>0.7875</v>
      </c>
      <c r="E18" s="3"/>
      <c r="F18" s="4"/>
      <c r="G18" s="19"/>
      <c r="H18" s="4"/>
      <c r="I18" s="19"/>
      <c r="J18" s="4"/>
      <c r="K18" s="19"/>
      <c r="L18" s="4"/>
      <c r="M18" s="20"/>
      <c r="N18" s="4"/>
      <c r="O18" s="6">
        <f t="shared" si="3"/>
        <v>0.3888888889</v>
      </c>
      <c r="P18" s="21">
        <v>0.375</v>
      </c>
      <c r="Q18" s="8">
        <f t="shared" si="4"/>
        <v>0.01388888889</v>
      </c>
    </row>
    <row r="19">
      <c r="A19" s="22" t="s">
        <v>97</v>
      </c>
      <c r="B19" s="20">
        <v>0.3333333333333333</v>
      </c>
      <c r="C19" s="4"/>
      <c r="D19" s="20">
        <v>0.8243055555555555</v>
      </c>
      <c r="E19" s="3"/>
      <c r="F19" s="4"/>
      <c r="G19" s="19"/>
      <c r="H19" s="4"/>
      <c r="I19" s="19"/>
      <c r="J19" s="4"/>
      <c r="K19" s="19"/>
      <c r="L19" s="4"/>
      <c r="M19" s="20"/>
      <c r="N19" s="4"/>
      <c r="O19" s="6">
        <f t="shared" si="3"/>
        <v>0.4909722222</v>
      </c>
      <c r="P19" s="21">
        <v>0.375</v>
      </c>
      <c r="Q19" s="8">
        <f t="shared" si="4"/>
        <v>0.1159722222</v>
      </c>
    </row>
    <row r="20">
      <c r="A20" s="22" t="s">
        <v>98</v>
      </c>
      <c r="B20" s="19"/>
      <c r="C20" s="4"/>
      <c r="D20" s="20"/>
      <c r="E20" s="3"/>
      <c r="F20" s="4"/>
      <c r="G20" s="19"/>
      <c r="H20" s="4"/>
      <c r="I20" s="19"/>
      <c r="J20" s="4"/>
      <c r="K20" s="19"/>
      <c r="L20" s="4"/>
      <c r="M20" s="20"/>
      <c r="N20" s="4"/>
      <c r="O20" s="6"/>
      <c r="P20" s="21"/>
      <c r="Q20" s="8"/>
    </row>
    <row r="21">
      <c r="A21" s="18" t="s">
        <v>99</v>
      </c>
      <c r="B21" s="20"/>
      <c r="C21" s="4"/>
      <c r="D21" s="19"/>
      <c r="E21" s="3"/>
      <c r="F21" s="4"/>
      <c r="G21" s="19"/>
      <c r="H21" s="4"/>
      <c r="I21" s="19"/>
      <c r="J21" s="4"/>
      <c r="K21" s="19"/>
      <c r="L21" s="4"/>
      <c r="M21" s="19"/>
      <c r="N21" s="4"/>
      <c r="O21" s="6"/>
      <c r="P21" s="21"/>
      <c r="Q21" s="8"/>
    </row>
    <row r="22">
      <c r="A22" s="27"/>
      <c r="B22" s="19"/>
      <c r="C22" s="4"/>
      <c r="D22" s="19"/>
      <c r="E22" s="3"/>
      <c r="F22" s="4"/>
      <c r="G22" s="19"/>
      <c r="H22" s="4"/>
      <c r="I22" s="19"/>
      <c r="J22" s="4"/>
      <c r="K22" s="19"/>
      <c r="L22" s="4"/>
      <c r="M22" s="19"/>
      <c r="N22" s="4"/>
      <c r="O22" s="28" t="s">
        <v>10</v>
      </c>
      <c r="P22" s="7"/>
      <c r="Q22" s="8">
        <f>Q6+Q7+Q8+Q10+Q12+Q14+Q16+Q17+Q18+Q19</f>
        <v>1.013194444</v>
      </c>
    </row>
    <row r="23">
      <c r="O23" s="6"/>
      <c r="P23" s="7"/>
      <c r="Q23" s="8"/>
    </row>
    <row r="24">
      <c r="A24" s="1" t="s">
        <v>0</v>
      </c>
      <c r="B24" s="2" t="s">
        <v>1</v>
      </c>
      <c r="C24" s="3"/>
      <c r="D24" s="3"/>
      <c r="E24" s="3"/>
      <c r="F24" s="3"/>
      <c r="G24" s="3"/>
      <c r="H24" s="4"/>
      <c r="I24" s="1" t="s">
        <v>2</v>
      </c>
      <c r="J24" s="10" t="s">
        <v>33</v>
      </c>
      <c r="K24" s="3"/>
      <c r="L24" s="3"/>
      <c r="M24" s="3"/>
      <c r="N24" s="4"/>
      <c r="O24" s="6"/>
      <c r="P24" s="7"/>
      <c r="Q24" s="8"/>
    </row>
    <row r="25">
      <c r="A25" s="1" t="s">
        <v>4</v>
      </c>
      <c r="B25" s="37" t="s">
        <v>82</v>
      </c>
      <c r="C25" s="3"/>
      <c r="D25" s="3"/>
      <c r="E25" s="3"/>
      <c r="F25" s="3"/>
      <c r="G25" s="3"/>
      <c r="H25" s="4"/>
      <c r="I25" s="1" t="s">
        <v>6</v>
      </c>
      <c r="J25" s="10">
        <v>6.0</v>
      </c>
      <c r="K25" s="3"/>
      <c r="L25" s="3"/>
      <c r="M25" s="3"/>
      <c r="N25" s="4"/>
      <c r="O25" s="6"/>
      <c r="P25" s="7"/>
      <c r="Q25" s="8"/>
    </row>
    <row r="26">
      <c r="A26" s="11" t="s">
        <v>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  <c r="O26" s="6"/>
      <c r="P26" s="7"/>
      <c r="Q26" s="8"/>
    </row>
    <row r="27">
      <c r="A27" s="15" t="s">
        <v>11</v>
      </c>
      <c r="B27" s="2" t="s">
        <v>12</v>
      </c>
      <c r="C27" s="3"/>
      <c r="D27" s="3"/>
      <c r="E27" s="3"/>
      <c r="F27" s="4"/>
      <c r="G27" s="2" t="s">
        <v>13</v>
      </c>
      <c r="H27" s="3"/>
      <c r="I27" s="3"/>
      <c r="J27" s="3"/>
      <c r="K27" s="10" t="s">
        <v>14</v>
      </c>
      <c r="L27" s="3"/>
      <c r="M27" s="3"/>
      <c r="N27" s="4"/>
      <c r="O27" s="12" t="s">
        <v>8</v>
      </c>
      <c r="P27" s="13" t="s">
        <v>9</v>
      </c>
      <c r="Q27" s="14" t="s">
        <v>10</v>
      </c>
    </row>
    <row r="28">
      <c r="A28" s="16"/>
      <c r="B28" s="17" t="s">
        <v>15</v>
      </c>
      <c r="C28" s="4"/>
      <c r="D28" s="17" t="s">
        <v>16</v>
      </c>
      <c r="E28" s="3"/>
      <c r="F28" s="4"/>
      <c r="G28" s="17" t="s">
        <v>15</v>
      </c>
      <c r="H28" s="4"/>
      <c r="I28" s="17" t="s">
        <v>16</v>
      </c>
      <c r="J28" s="4"/>
      <c r="K28" s="17" t="s">
        <v>15</v>
      </c>
      <c r="L28" s="4"/>
      <c r="M28" s="17" t="s">
        <v>16</v>
      </c>
      <c r="N28" s="4"/>
      <c r="O28" s="6"/>
      <c r="P28" s="7"/>
      <c r="Q28" s="8"/>
    </row>
    <row r="29">
      <c r="A29" s="22" t="s">
        <v>83</v>
      </c>
      <c r="B29" s="20">
        <v>0.1875</v>
      </c>
      <c r="C29" s="4"/>
      <c r="D29" s="20">
        <v>0.875</v>
      </c>
      <c r="E29" s="3"/>
      <c r="F29" s="4"/>
      <c r="G29" s="19"/>
      <c r="H29" s="4"/>
      <c r="I29" s="19"/>
      <c r="J29" s="4"/>
      <c r="K29" s="19"/>
      <c r="L29" s="4"/>
      <c r="M29" s="20"/>
      <c r="N29" s="4"/>
      <c r="O29" s="6">
        <f>D29-B29</f>
        <v>0.6875</v>
      </c>
      <c r="P29" s="21">
        <v>0.3541666666666667</v>
      </c>
      <c r="Q29" s="8">
        <f>O29-P29</f>
        <v>0.3333333333</v>
      </c>
    </row>
    <row r="30">
      <c r="A30" s="18" t="s">
        <v>84</v>
      </c>
      <c r="B30" s="20"/>
      <c r="C30" s="4"/>
      <c r="D30" s="19"/>
      <c r="E30" s="3"/>
      <c r="F30" s="4"/>
      <c r="G30" s="19"/>
      <c r="H30" s="4"/>
      <c r="I30" s="19"/>
      <c r="J30" s="4"/>
      <c r="K30" s="19"/>
      <c r="L30" s="4"/>
      <c r="M30" s="20"/>
      <c r="N30" s="4"/>
      <c r="O30" s="6">
        <f t="shared" ref="O30:O31" si="5">M30-B30</f>
        <v>0</v>
      </c>
      <c r="P30" s="21">
        <v>0.3541666666666667</v>
      </c>
      <c r="Q30" s="8"/>
    </row>
    <row r="31">
      <c r="A31" s="18" t="s">
        <v>85</v>
      </c>
      <c r="B31" s="20"/>
      <c r="C31" s="4"/>
      <c r="D31" s="19"/>
      <c r="E31" s="3"/>
      <c r="F31" s="4"/>
      <c r="G31" s="19"/>
      <c r="H31" s="4"/>
      <c r="I31" s="19"/>
      <c r="J31" s="4"/>
      <c r="K31" s="19"/>
      <c r="L31" s="4"/>
      <c r="M31" s="20"/>
      <c r="N31" s="4"/>
      <c r="O31" s="6">
        <f t="shared" si="5"/>
        <v>0</v>
      </c>
      <c r="P31" s="21">
        <v>0.3541666666666667</v>
      </c>
      <c r="Q31" s="8"/>
    </row>
    <row r="32">
      <c r="A32" s="18" t="s">
        <v>86</v>
      </c>
      <c r="B32" s="29"/>
      <c r="C32" s="4"/>
      <c r="D32" s="29"/>
      <c r="E32" s="3"/>
      <c r="F32" s="4"/>
      <c r="G32" s="30"/>
      <c r="H32" s="4"/>
      <c r="I32" s="30"/>
      <c r="J32" s="4"/>
      <c r="K32" s="30"/>
      <c r="L32" s="4"/>
      <c r="M32" s="30"/>
      <c r="N32" s="4"/>
      <c r="O32" s="31">
        <f>D32-B32</f>
        <v>0</v>
      </c>
      <c r="P32" s="32">
        <v>0.3541666666666667</v>
      </c>
      <c r="Q32" s="8"/>
    </row>
    <row r="33">
      <c r="A33" s="18" t="s">
        <v>88</v>
      </c>
      <c r="B33" s="19"/>
      <c r="C33" s="4"/>
      <c r="D33" s="19"/>
      <c r="E33" s="3"/>
      <c r="F33" s="4"/>
      <c r="G33" s="19"/>
      <c r="H33" s="4"/>
      <c r="I33" s="19"/>
      <c r="J33" s="4"/>
      <c r="K33" s="19"/>
      <c r="L33" s="4"/>
      <c r="M33" s="19"/>
      <c r="N33" s="4"/>
      <c r="O33" s="6"/>
      <c r="P33" s="7"/>
      <c r="Q33" s="8"/>
    </row>
    <row r="34">
      <c r="A34" s="18" t="s">
        <v>89</v>
      </c>
      <c r="B34" s="20"/>
      <c r="C34" s="4"/>
      <c r="D34" s="19"/>
      <c r="E34" s="3"/>
      <c r="F34" s="4"/>
      <c r="G34" s="19"/>
      <c r="H34" s="4"/>
      <c r="I34" s="19"/>
      <c r="J34" s="4"/>
      <c r="K34" s="19"/>
      <c r="L34" s="4"/>
      <c r="M34" s="20"/>
      <c r="N34" s="4"/>
      <c r="O34" s="6">
        <f>M34-B34</f>
        <v>0</v>
      </c>
      <c r="P34" s="21">
        <v>0.3541666666666667</v>
      </c>
      <c r="Q34" s="8"/>
    </row>
    <row r="35">
      <c r="A35" s="22" t="s">
        <v>90</v>
      </c>
      <c r="B35" s="20"/>
      <c r="C35" s="4"/>
      <c r="D35" s="19"/>
      <c r="E35" s="3"/>
      <c r="F35" s="4"/>
      <c r="G35" s="19"/>
      <c r="H35" s="4"/>
      <c r="I35" s="19"/>
      <c r="J35" s="4"/>
      <c r="K35" s="20"/>
      <c r="L35" s="4"/>
      <c r="M35" s="19"/>
      <c r="N35" s="4"/>
      <c r="O35" s="6">
        <f>K35-B35</f>
        <v>0</v>
      </c>
      <c r="P35" s="21">
        <v>0.3541666666666667</v>
      </c>
      <c r="Q35" s="8"/>
    </row>
    <row r="36">
      <c r="A36" s="22" t="s">
        <v>91</v>
      </c>
      <c r="B36" s="20"/>
      <c r="C36" s="4"/>
      <c r="D36" s="19"/>
      <c r="E36" s="3"/>
      <c r="F36" s="4"/>
      <c r="G36" s="19"/>
      <c r="H36" s="4"/>
      <c r="I36" s="19"/>
      <c r="J36" s="4"/>
      <c r="K36" s="19"/>
      <c r="L36" s="4"/>
      <c r="M36" s="20"/>
      <c r="N36" s="4"/>
      <c r="O36" s="6">
        <f>M36-B36</f>
        <v>0</v>
      </c>
      <c r="P36" s="21">
        <v>0.3541666666666667</v>
      </c>
      <c r="Q36" s="8"/>
    </row>
    <row r="37">
      <c r="A37" s="18" t="s">
        <v>92</v>
      </c>
      <c r="B37" s="20">
        <v>0.16805555555555557</v>
      </c>
      <c r="C37" s="4"/>
      <c r="D37" s="20">
        <v>0.8736111111111111</v>
      </c>
      <c r="E37" s="3"/>
      <c r="F37" s="4"/>
      <c r="G37" s="19"/>
      <c r="H37" s="4"/>
      <c r="I37" s="20"/>
      <c r="J37" s="4"/>
      <c r="K37" s="19"/>
      <c r="L37" s="4"/>
      <c r="M37" s="19"/>
      <c r="N37" s="4"/>
      <c r="O37" s="6">
        <f>D37-B37</f>
        <v>0.7055555556</v>
      </c>
      <c r="P37" s="21">
        <v>0.3541666666666667</v>
      </c>
      <c r="Q37" s="8">
        <f>O37-P37</f>
        <v>0.3513888889</v>
      </c>
      <c r="R37" s="50">
        <f>132.18*8.26</f>
        <v>1091.8068</v>
      </c>
      <c r="S37" s="50">
        <f>R37*30%</f>
        <v>327.54204</v>
      </c>
    </row>
    <row r="38">
      <c r="A38" s="18" t="s">
        <v>93</v>
      </c>
      <c r="B38" s="20"/>
      <c r="C38" s="4"/>
      <c r="D38" s="19"/>
      <c r="E38" s="3"/>
      <c r="F38" s="4"/>
      <c r="G38" s="19"/>
      <c r="H38" s="4"/>
      <c r="I38" s="19"/>
      <c r="J38" s="4"/>
      <c r="K38" s="19"/>
      <c r="L38" s="4"/>
      <c r="M38" s="20"/>
      <c r="N38" s="4"/>
      <c r="O38" s="6">
        <f>M38-B38</f>
        <v>0</v>
      </c>
      <c r="P38" s="21">
        <v>0.3541666666666667</v>
      </c>
      <c r="Q38" s="8"/>
    </row>
    <row r="39">
      <c r="A39" s="18" t="s">
        <v>94</v>
      </c>
      <c r="B39" s="29">
        <v>0.3819444444444444</v>
      </c>
      <c r="C39" s="4"/>
      <c r="D39" s="29">
        <v>0.825</v>
      </c>
      <c r="E39" s="3"/>
      <c r="F39" s="4"/>
      <c r="G39" s="30"/>
      <c r="H39" s="4"/>
      <c r="I39" s="30"/>
      <c r="J39" s="4"/>
      <c r="K39" s="30"/>
      <c r="L39" s="4"/>
      <c r="M39" s="30"/>
      <c r="N39" s="4"/>
      <c r="O39" s="31">
        <f t="shared" ref="O39:O40" si="6">D39-B39</f>
        <v>0.4430555556</v>
      </c>
      <c r="P39" s="32">
        <v>0.3541666666666667</v>
      </c>
      <c r="Q39" s="8">
        <f t="shared" ref="Q39:Q40" si="7">O39-P39</f>
        <v>0.08888888889</v>
      </c>
    </row>
    <row r="40">
      <c r="A40" s="18" t="s">
        <v>95</v>
      </c>
      <c r="B40" s="29">
        <v>0.20277777777777778</v>
      </c>
      <c r="C40" s="4"/>
      <c r="D40" s="29">
        <v>0.8243055555555555</v>
      </c>
      <c r="E40" s="3"/>
      <c r="F40" s="4"/>
      <c r="G40" s="30"/>
      <c r="H40" s="4"/>
      <c r="I40" s="30"/>
      <c r="J40" s="4"/>
      <c r="K40" s="30"/>
      <c r="L40" s="4"/>
      <c r="M40" s="30"/>
      <c r="N40" s="4"/>
      <c r="O40" s="31">
        <f t="shared" si="6"/>
        <v>0.6215277778</v>
      </c>
      <c r="P40" s="32">
        <v>0.3541666666666667</v>
      </c>
      <c r="Q40" s="8">
        <f t="shared" si="7"/>
        <v>0.2673611111</v>
      </c>
    </row>
    <row r="41">
      <c r="A41" s="18" t="s">
        <v>96</v>
      </c>
      <c r="B41" s="20"/>
      <c r="C41" s="4"/>
      <c r="D41" s="19"/>
      <c r="E41" s="3"/>
      <c r="F41" s="4"/>
      <c r="G41" s="19"/>
      <c r="H41" s="4"/>
      <c r="I41" s="19"/>
      <c r="J41" s="4"/>
      <c r="K41" s="19"/>
      <c r="L41" s="4"/>
      <c r="M41" s="20"/>
      <c r="N41" s="4"/>
      <c r="O41" s="6"/>
      <c r="P41" s="21"/>
      <c r="Q41" s="8"/>
    </row>
    <row r="42">
      <c r="A42" s="22" t="s">
        <v>97</v>
      </c>
      <c r="B42" s="20"/>
      <c r="C42" s="4"/>
      <c r="D42" s="19"/>
      <c r="E42" s="3"/>
      <c r="F42" s="4"/>
      <c r="G42" s="19"/>
      <c r="H42" s="4"/>
      <c r="I42" s="19"/>
      <c r="J42" s="4"/>
      <c r="K42" s="19"/>
      <c r="L42" s="4"/>
      <c r="M42" s="20"/>
      <c r="N42" s="4"/>
      <c r="O42" s="6"/>
      <c r="P42" s="21"/>
      <c r="Q42" s="8"/>
    </row>
    <row r="43">
      <c r="A43" s="22" t="s">
        <v>98</v>
      </c>
      <c r="B43" s="20"/>
      <c r="C43" s="4"/>
      <c r="D43" s="19"/>
      <c r="E43" s="3"/>
      <c r="F43" s="4"/>
      <c r="G43" s="19"/>
      <c r="H43" s="4"/>
      <c r="I43" s="19"/>
      <c r="J43" s="4"/>
      <c r="K43" s="19"/>
      <c r="L43" s="4"/>
      <c r="M43" s="20"/>
      <c r="N43" s="4"/>
      <c r="O43" s="6"/>
      <c r="P43" s="21"/>
      <c r="Q43" s="8"/>
    </row>
    <row r="44">
      <c r="A44" s="18" t="s">
        <v>99</v>
      </c>
      <c r="B44" s="23"/>
      <c r="C44" s="4"/>
      <c r="D44" s="24"/>
      <c r="E44" s="3"/>
      <c r="F44" s="3"/>
      <c r="G44" s="25"/>
      <c r="H44" s="3"/>
      <c r="I44" s="26"/>
      <c r="J44" s="3"/>
      <c r="K44" s="24"/>
      <c r="L44" s="3"/>
      <c r="M44" s="24"/>
      <c r="N44" s="4"/>
      <c r="O44" s="6"/>
      <c r="P44" s="7"/>
      <c r="Q44" s="8"/>
    </row>
    <row r="45">
      <c r="O45" s="28" t="s">
        <v>10</v>
      </c>
      <c r="P45" s="7"/>
      <c r="Q45" s="8">
        <f>Q29+Q37+Q39+Q40</f>
        <v>1.040972222</v>
      </c>
    </row>
    <row r="46">
      <c r="O46" s="6"/>
      <c r="P46" s="7"/>
      <c r="Q46" s="8"/>
    </row>
    <row r="47">
      <c r="A47" s="1" t="s">
        <v>0</v>
      </c>
      <c r="B47" s="2" t="s">
        <v>1</v>
      </c>
      <c r="C47" s="3"/>
      <c r="D47" s="3"/>
      <c r="E47" s="3"/>
      <c r="F47" s="3"/>
      <c r="G47" s="3"/>
      <c r="H47" s="4"/>
      <c r="I47" s="1" t="s">
        <v>2</v>
      </c>
      <c r="J47" s="10" t="s">
        <v>34</v>
      </c>
      <c r="K47" s="3"/>
      <c r="L47" s="3"/>
      <c r="M47" s="3"/>
      <c r="N47" s="4"/>
      <c r="O47" s="6"/>
      <c r="P47" s="7"/>
      <c r="Q47" s="8"/>
    </row>
    <row r="48">
      <c r="A48" s="1" t="s">
        <v>4</v>
      </c>
      <c r="B48" s="9" t="s">
        <v>5</v>
      </c>
      <c r="C48" s="3"/>
      <c r="D48" s="3"/>
      <c r="E48" s="3"/>
      <c r="F48" s="3"/>
      <c r="G48" s="3"/>
      <c r="H48" s="4"/>
      <c r="I48" s="1" t="s">
        <v>6</v>
      </c>
      <c r="J48" s="10">
        <v>7.0</v>
      </c>
      <c r="K48" s="3"/>
      <c r="L48" s="3"/>
      <c r="M48" s="3"/>
      <c r="N48" s="4"/>
      <c r="O48" s="6"/>
      <c r="P48" s="7"/>
      <c r="Q48" s="8"/>
    </row>
    <row r="49">
      <c r="A49" s="11" t="s">
        <v>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4"/>
      <c r="O49" s="12" t="s">
        <v>8</v>
      </c>
      <c r="P49" s="13" t="s">
        <v>9</v>
      </c>
      <c r="Q49" s="14" t="s">
        <v>10</v>
      </c>
    </row>
    <row r="50">
      <c r="A50" s="15" t="s">
        <v>11</v>
      </c>
      <c r="B50" s="2" t="s">
        <v>12</v>
      </c>
      <c r="C50" s="3"/>
      <c r="D50" s="3"/>
      <c r="E50" s="3"/>
      <c r="F50" s="4"/>
      <c r="G50" s="2" t="s">
        <v>13</v>
      </c>
      <c r="H50" s="3"/>
      <c r="I50" s="3"/>
      <c r="J50" s="3"/>
      <c r="K50" s="10" t="s">
        <v>14</v>
      </c>
      <c r="L50" s="3"/>
      <c r="M50" s="3"/>
      <c r="N50" s="4"/>
      <c r="O50" s="6"/>
      <c r="P50" s="7"/>
      <c r="Q50" s="8"/>
    </row>
    <row r="51">
      <c r="A51" s="16"/>
      <c r="B51" s="17" t="s">
        <v>15</v>
      </c>
      <c r="C51" s="4"/>
      <c r="D51" s="17" t="s">
        <v>16</v>
      </c>
      <c r="E51" s="3"/>
      <c r="F51" s="4"/>
      <c r="G51" s="17" t="s">
        <v>15</v>
      </c>
      <c r="H51" s="4"/>
      <c r="I51" s="17" t="s">
        <v>16</v>
      </c>
      <c r="J51" s="4"/>
      <c r="K51" s="17" t="s">
        <v>15</v>
      </c>
      <c r="L51" s="4"/>
      <c r="M51" s="17" t="s">
        <v>16</v>
      </c>
      <c r="N51" s="4"/>
      <c r="O51" s="6"/>
      <c r="P51" s="7"/>
      <c r="Q51" s="8"/>
    </row>
    <row r="52">
      <c r="A52" s="18" t="s">
        <v>17</v>
      </c>
      <c r="B52" s="19"/>
      <c r="C52" s="4"/>
      <c r="D52" s="19"/>
      <c r="E52" s="3"/>
      <c r="F52" s="4"/>
      <c r="G52" s="20"/>
      <c r="H52" s="4"/>
      <c r="I52" s="19"/>
      <c r="J52" s="4"/>
      <c r="K52" s="19"/>
      <c r="L52" s="4"/>
      <c r="M52" s="20"/>
      <c r="N52" s="4"/>
      <c r="O52" s="6">
        <f>M52-G52</f>
        <v>0</v>
      </c>
      <c r="P52" s="21">
        <v>0.3541666666666667</v>
      </c>
      <c r="Q52" s="8">
        <f t="shared" ref="Q52:Q54" si="8">O52-P52</f>
        <v>-0.3541666667</v>
      </c>
    </row>
    <row r="53">
      <c r="A53" s="18" t="s">
        <v>18</v>
      </c>
      <c r="B53" s="19"/>
      <c r="C53" s="4"/>
      <c r="D53" s="20"/>
      <c r="E53" s="3"/>
      <c r="F53" s="4"/>
      <c r="G53" s="19"/>
      <c r="H53" s="4"/>
      <c r="I53" s="19"/>
      <c r="J53" s="4"/>
      <c r="K53" s="19"/>
      <c r="L53" s="4"/>
      <c r="M53" s="20"/>
      <c r="N53" s="4"/>
      <c r="O53" s="6">
        <f>M53-D53</f>
        <v>0</v>
      </c>
      <c r="P53" s="21">
        <v>0.3541666666666667</v>
      </c>
      <c r="Q53" s="8">
        <f t="shared" si="8"/>
        <v>-0.3541666667</v>
      </c>
    </row>
    <row r="54">
      <c r="A54" s="18" t="s">
        <v>19</v>
      </c>
      <c r="B54" s="19"/>
      <c r="C54" s="4"/>
      <c r="D54" s="20"/>
      <c r="E54" s="3"/>
      <c r="F54" s="4"/>
      <c r="G54" s="19"/>
      <c r="H54" s="4"/>
      <c r="I54" s="19"/>
      <c r="J54" s="4"/>
      <c r="K54" s="20"/>
      <c r="L54" s="4"/>
      <c r="M54" s="19"/>
      <c r="N54" s="4"/>
      <c r="O54" s="6">
        <f>K54-D54</f>
        <v>0</v>
      </c>
      <c r="P54" s="21">
        <v>0.3541666666666667</v>
      </c>
      <c r="Q54" s="8">
        <f t="shared" si="8"/>
        <v>-0.3541666667</v>
      </c>
    </row>
    <row r="55">
      <c r="A55" s="22" t="s">
        <v>20</v>
      </c>
      <c r="B55" s="19"/>
      <c r="C55" s="4"/>
      <c r="D55" s="19"/>
      <c r="E55" s="3"/>
      <c r="F55" s="4"/>
      <c r="G55" s="19"/>
      <c r="H55" s="4"/>
      <c r="I55" s="19"/>
      <c r="J55" s="4"/>
      <c r="K55" s="19"/>
      <c r="L55" s="4"/>
      <c r="M55" s="19"/>
      <c r="N55" s="4"/>
      <c r="O55" s="6">
        <f t="shared" ref="O55:O57" si="9">M55-G55</f>
        <v>0</v>
      </c>
      <c r="P55" s="7"/>
      <c r="Q55" s="8"/>
    </row>
    <row r="56">
      <c r="A56" s="22" t="s">
        <v>21</v>
      </c>
      <c r="B56" s="19"/>
      <c r="C56" s="4"/>
      <c r="D56" s="19"/>
      <c r="E56" s="3"/>
      <c r="F56" s="4"/>
      <c r="G56" s="19"/>
      <c r="H56" s="4"/>
      <c r="I56" s="19"/>
      <c r="J56" s="4"/>
      <c r="K56" s="19"/>
      <c r="L56" s="4"/>
      <c r="M56" s="19"/>
      <c r="N56" s="4"/>
      <c r="O56" s="6">
        <f t="shared" si="9"/>
        <v>0</v>
      </c>
      <c r="P56" s="7"/>
      <c r="Q56" s="8"/>
    </row>
    <row r="57">
      <c r="A57" s="18" t="s">
        <v>22</v>
      </c>
      <c r="B57" s="23"/>
      <c r="C57" s="4"/>
      <c r="D57" s="24"/>
      <c r="E57" s="3"/>
      <c r="F57" s="3"/>
      <c r="G57" s="25"/>
      <c r="H57" s="3"/>
      <c r="I57" s="26"/>
      <c r="J57" s="3"/>
      <c r="K57" s="24"/>
      <c r="L57" s="3"/>
      <c r="M57" s="24"/>
      <c r="N57" s="4"/>
      <c r="O57" s="6">
        <f t="shared" si="9"/>
        <v>0</v>
      </c>
      <c r="P57" s="7"/>
      <c r="Q57" s="8"/>
    </row>
    <row r="58">
      <c r="A58" s="18" t="s">
        <v>23</v>
      </c>
      <c r="B58" s="20"/>
      <c r="C58" s="4"/>
      <c r="D58" s="19"/>
      <c r="E58" s="3"/>
      <c r="F58" s="4"/>
      <c r="G58" s="19"/>
      <c r="H58" s="4"/>
      <c r="I58" s="19"/>
      <c r="J58" s="4"/>
      <c r="K58" s="20"/>
      <c r="L58" s="4"/>
      <c r="M58" s="19"/>
      <c r="N58" s="4"/>
      <c r="O58" s="6">
        <f>K58-B58</f>
        <v>0</v>
      </c>
      <c r="P58" s="21">
        <v>0.3541666666666667</v>
      </c>
      <c r="Q58" s="8">
        <f t="shared" ref="Q58:Q61" si="10">O58-P58</f>
        <v>-0.3541666667</v>
      </c>
    </row>
    <row r="59">
      <c r="A59" s="18" t="s">
        <v>24</v>
      </c>
      <c r="B59" s="19"/>
      <c r="C59" s="4"/>
      <c r="D59" s="19"/>
      <c r="E59" s="3"/>
      <c r="F59" s="4"/>
      <c r="G59" s="20"/>
      <c r="H59" s="4"/>
      <c r="I59" s="19"/>
      <c r="J59" s="4"/>
      <c r="K59" s="20"/>
      <c r="L59" s="4"/>
      <c r="M59" s="19"/>
      <c r="N59" s="4"/>
      <c r="O59" s="6">
        <f>K59-G59</f>
        <v>0</v>
      </c>
      <c r="P59" s="21">
        <v>0.3541666666666667</v>
      </c>
      <c r="Q59" s="8">
        <f t="shared" si="10"/>
        <v>-0.3541666667</v>
      </c>
    </row>
    <row r="60">
      <c r="A60" s="18" t="s">
        <v>25</v>
      </c>
      <c r="B60" s="20"/>
      <c r="C60" s="4"/>
      <c r="D60" s="19"/>
      <c r="E60" s="3"/>
      <c r="F60" s="4"/>
      <c r="G60" s="19"/>
      <c r="H60" s="4"/>
      <c r="I60" s="20"/>
      <c r="J60" s="4"/>
      <c r="K60" s="19"/>
      <c r="L60" s="4"/>
      <c r="M60" s="19"/>
      <c r="N60" s="4"/>
      <c r="O60" s="6">
        <f>I60-B60</f>
        <v>0</v>
      </c>
      <c r="P60" s="21">
        <v>0.3541666666666667</v>
      </c>
      <c r="Q60" s="8">
        <f t="shared" si="10"/>
        <v>-0.3541666667</v>
      </c>
    </row>
    <row r="61">
      <c r="A61" s="18" t="s">
        <v>26</v>
      </c>
      <c r="B61" s="19"/>
      <c r="C61" s="4"/>
      <c r="D61" s="20"/>
      <c r="E61" s="3"/>
      <c r="F61" s="4"/>
      <c r="G61" s="19"/>
      <c r="H61" s="4"/>
      <c r="I61" s="19"/>
      <c r="J61" s="4"/>
      <c r="K61" s="19"/>
      <c r="L61" s="4"/>
      <c r="M61" s="20"/>
      <c r="N61" s="4"/>
      <c r="O61" s="6">
        <f>M61-D61</f>
        <v>0</v>
      </c>
      <c r="P61" s="21">
        <v>0.3541666666666667</v>
      </c>
      <c r="Q61" s="8">
        <f t="shared" si="10"/>
        <v>-0.3541666667</v>
      </c>
    </row>
    <row r="62">
      <c r="A62" s="22" t="s">
        <v>27</v>
      </c>
      <c r="B62" s="19"/>
      <c r="C62" s="4"/>
      <c r="D62" s="19"/>
      <c r="E62" s="3"/>
      <c r="F62" s="4"/>
      <c r="G62" s="19"/>
      <c r="H62" s="4"/>
      <c r="I62" s="19"/>
      <c r="J62" s="4"/>
      <c r="K62" s="19"/>
      <c r="L62" s="4"/>
      <c r="M62" s="19"/>
      <c r="N62" s="4"/>
      <c r="O62" s="6">
        <f t="shared" ref="O62:O63" si="11">M62-G62</f>
        <v>0</v>
      </c>
      <c r="P62" s="7"/>
      <c r="Q62" s="8"/>
    </row>
    <row r="63">
      <c r="A63" s="22" t="s">
        <v>28</v>
      </c>
      <c r="B63" s="19"/>
      <c r="C63" s="4"/>
      <c r="D63" s="19"/>
      <c r="E63" s="3"/>
      <c r="F63" s="4"/>
      <c r="G63" s="19"/>
      <c r="H63" s="4"/>
      <c r="I63" s="19"/>
      <c r="J63" s="4"/>
      <c r="K63" s="19"/>
      <c r="L63" s="4"/>
      <c r="M63" s="19"/>
      <c r="N63" s="4"/>
      <c r="O63" s="6">
        <f t="shared" si="11"/>
        <v>0</v>
      </c>
      <c r="P63" s="7"/>
      <c r="Q63" s="8"/>
    </row>
    <row r="64">
      <c r="A64" s="18" t="s">
        <v>29</v>
      </c>
      <c r="B64" s="20"/>
      <c r="C64" s="4"/>
      <c r="D64" s="19"/>
      <c r="E64" s="3"/>
      <c r="F64" s="4"/>
      <c r="G64" s="19"/>
      <c r="H64" s="4"/>
      <c r="I64" s="20"/>
      <c r="J64" s="4"/>
      <c r="K64" s="19"/>
      <c r="L64" s="4"/>
      <c r="M64" s="19"/>
      <c r="N64" s="4"/>
      <c r="O64" s="6">
        <f>I64-B64</f>
        <v>0</v>
      </c>
      <c r="P64" s="21">
        <v>0.3541666666666667</v>
      </c>
      <c r="Q64" s="8">
        <f t="shared" ref="Q64:Q66" si="12">O64-P64</f>
        <v>-0.3541666667</v>
      </c>
    </row>
    <row r="65">
      <c r="A65" s="18" t="s">
        <v>30</v>
      </c>
      <c r="B65" s="19"/>
      <c r="C65" s="4"/>
      <c r="D65" s="20"/>
      <c r="E65" s="3"/>
      <c r="F65" s="4"/>
      <c r="G65" s="19"/>
      <c r="H65" s="4"/>
      <c r="I65" s="19"/>
      <c r="J65" s="4"/>
      <c r="K65" s="19"/>
      <c r="L65" s="4"/>
      <c r="M65" s="20"/>
      <c r="N65" s="4"/>
      <c r="O65" s="6">
        <f t="shared" ref="O65:O66" si="13">M65-D65</f>
        <v>0</v>
      </c>
      <c r="P65" s="21">
        <v>0.3541666666666667</v>
      </c>
      <c r="Q65" s="8">
        <f t="shared" si="12"/>
        <v>-0.3541666667</v>
      </c>
    </row>
    <row r="66">
      <c r="A66" s="18" t="s">
        <v>31</v>
      </c>
      <c r="B66" s="19"/>
      <c r="C66" s="4"/>
      <c r="D66" s="20"/>
      <c r="E66" s="3"/>
      <c r="F66" s="4"/>
      <c r="G66" s="19"/>
      <c r="H66" s="4"/>
      <c r="I66" s="19"/>
      <c r="J66" s="4"/>
      <c r="K66" s="19"/>
      <c r="L66" s="4"/>
      <c r="M66" s="20"/>
      <c r="N66" s="4"/>
      <c r="O66" s="6">
        <f t="shared" si="13"/>
        <v>0</v>
      </c>
      <c r="P66" s="21">
        <v>0.3541666666666667</v>
      </c>
      <c r="Q66" s="8">
        <f t="shared" si="12"/>
        <v>-0.3541666667</v>
      </c>
    </row>
    <row r="67">
      <c r="A67" s="18" t="s">
        <v>32</v>
      </c>
      <c r="B67" s="23"/>
      <c r="C67" s="4"/>
      <c r="D67" s="24"/>
      <c r="E67" s="3"/>
      <c r="F67" s="3"/>
      <c r="G67" s="25"/>
      <c r="H67" s="3"/>
      <c r="I67" s="26"/>
      <c r="J67" s="3"/>
      <c r="K67" s="24"/>
      <c r="L67" s="3"/>
      <c r="M67" s="24"/>
      <c r="N67" s="4"/>
      <c r="O67" s="6">
        <f>M67-G67</f>
        <v>0</v>
      </c>
      <c r="P67" s="7"/>
      <c r="Q67" s="8"/>
    </row>
    <row r="68">
      <c r="O68" s="28" t="s">
        <v>10</v>
      </c>
      <c r="P68" s="7"/>
      <c r="Q68" s="8">
        <f>Q53+Q61+Q65+Q66</f>
        <v>-1.416666667</v>
      </c>
    </row>
    <row r="69">
      <c r="O69" s="6"/>
      <c r="P69" s="7"/>
      <c r="Q69" s="8"/>
    </row>
    <row r="70">
      <c r="A70" s="1" t="s">
        <v>0</v>
      </c>
      <c r="B70" s="2" t="s">
        <v>1</v>
      </c>
      <c r="C70" s="3"/>
      <c r="D70" s="3"/>
      <c r="E70" s="3"/>
      <c r="F70" s="3"/>
      <c r="G70" s="3"/>
      <c r="H70" s="4"/>
      <c r="I70" s="1" t="s">
        <v>2</v>
      </c>
      <c r="J70" s="10" t="s">
        <v>35</v>
      </c>
      <c r="K70" s="3"/>
      <c r="L70" s="3"/>
      <c r="M70" s="3"/>
      <c r="N70" s="4"/>
      <c r="O70" s="6"/>
      <c r="P70" s="7"/>
      <c r="Q70" s="8"/>
    </row>
    <row r="71">
      <c r="A71" s="1" t="s">
        <v>4</v>
      </c>
      <c r="B71" s="37" t="s">
        <v>82</v>
      </c>
      <c r="C71" s="3"/>
      <c r="D71" s="3"/>
      <c r="E71" s="3"/>
      <c r="F71" s="3"/>
      <c r="G71" s="3"/>
      <c r="H71" s="4"/>
      <c r="I71" s="1" t="s">
        <v>6</v>
      </c>
      <c r="J71" s="10">
        <v>8.0</v>
      </c>
      <c r="K71" s="3"/>
      <c r="L71" s="3"/>
      <c r="M71" s="3"/>
      <c r="N71" s="4"/>
      <c r="O71" s="6"/>
      <c r="P71" s="7"/>
      <c r="Q71" s="8"/>
    </row>
    <row r="72">
      <c r="A72" s="11" t="s">
        <v>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4"/>
      <c r="O72" s="12" t="s">
        <v>8</v>
      </c>
      <c r="P72" s="13" t="s">
        <v>9</v>
      </c>
      <c r="Q72" s="14" t="s">
        <v>10</v>
      </c>
    </row>
    <row r="73">
      <c r="A73" s="15" t="s">
        <v>11</v>
      </c>
      <c r="B73" s="2" t="s">
        <v>12</v>
      </c>
      <c r="C73" s="3"/>
      <c r="D73" s="3"/>
      <c r="E73" s="3"/>
      <c r="F73" s="4"/>
      <c r="G73" s="2" t="s">
        <v>13</v>
      </c>
      <c r="H73" s="3"/>
      <c r="I73" s="3"/>
      <c r="J73" s="3"/>
      <c r="K73" s="10" t="s">
        <v>14</v>
      </c>
      <c r="L73" s="3"/>
      <c r="M73" s="3"/>
      <c r="N73" s="4"/>
      <c r="O73" s="6"/>
      <c r="P73" s="7"/>
      <c r="Q73" s="8"/>
    </row>
    <row r="74">
      <c r="A74" s="16"/>
      <c r="B74" s="17" t="s">
        <v>15</v>
      </c>
      <c r="C74" s="4"/>
      <c r="D74" s="17" t="s">
        <v>16</v>
      </c>
      <c r="E74" s="3"/>
      <c r="F74" s="4"/>
      <c r="G74" s="17" t="s">
        <v>15</v>
      </c>
      <c r="H74" s="4"/>
      <c r="I74" s="17" t="s">
        <v>16</v>
      </c>
      <c r="J74" s="4"/>
      <c r="K74" s="17" t="s">
        <v>15</v>
      </c>
      <c r="L74" s="4"/>
      <c r="M74" s="17" t="s">
        <v>16</v>
      </c>
      <c r="N74" s="4"/>
      <c r="O74" s="6"/>
      <c r="P74" s="7"/>
      <c r="Q74" s="8"/>
    </row>
    <row r="75">
      <c r="A75" s="22" t="s">
        <v>83</v>
      </c>
      <c r="B75" s="20"/>
      <c r="C75" s="4"/>
      <c r="D75" s="19"/>
      <c r="E75" s="3"/>
      <c r="F75" s="4"/>
      <c r="G75" s="19"/>
      <c r="H75" s="4"/>
      <c r="I75" s="19"/>
      <c r="J75" s="4"/>
      <c r="K75" s="20"/>
      <c r="L75" s="4"/>
      <c r="M75" s="19"/>
      <c r="N75" s="4"/>
      <c r="O75" s="6"/>
      <c r="P75" s="21"/>
      <c r="Q75" s="8"/>
    </row>
    <row r="76">
      <c r="A76" s="18" t="s">
        <v>84</v>
      </c>
      <c r="B76" s="33">
        <v>0.3729166666666667</v>
      </c>
      <c r="C76" s="4"/>
      <c r="D76" s="34">
        <v>0.8506944444444444</v>
      </c>
      <c r="E76" s="3"/>
      <c r="F76" s="3"/>
      <c r="G76" s="25"/>
      <c r="H76" s="3"/>
      <c r="I76" s="26"/>
      <c r="J76" s="3"/>
      <c r="K76" s="24"/>
      <c r="L76" s="3"/>
      <c r="M76" s="24"/>
      <c r="N76" s="4"/>
      <c r="O76" s="6">
        <f t="shared" ref="O76:O80" si="14">D76-B76</f>
        <v>0.4777777778</v>
      </c>
      <c r="P76" s="21">
        <v>0.375</v>
      </c>
      <c r="Q76" s="8">
        <f t="shared" ref="Q76:Q80" si="15">O76-P76</f>
        <v>0.1027777778</v>
      </c>
    </row>
    <row r="77">
      <c r="A77" s="18" t="s">
        <v>85</v>
      </c>
      <c r="B77" s="20">
        <v>0.3715277777777778</v>
      </c>
      <c r="C77" s="4"/>
      <c r="D77" s="20">
        <v>0.7673611111111112</v>
      </c>
      <c r="E77" s="3"/>
      <c r="F77" s="4"/>
      <c r="G77" s="19"/>
      <c r="H77" s="4"/>
      <c r="I77" s="20"/>
      <c r="J77" s="4"/>
      <c r="K77" s="19"/>
      <c r="L77" s="4"/>
      <c r="M77" s="19"/>
      <c r="N77" s="4"/>
      <c r="O77" s="6">
        <f t="shared" si="14"/>
        <v>0.3958333333</v>
      </c>
      <c r="P77" s="21">
        <v>0.375</v>
      </c>
      <c r="Q77" s="8">
        <f t="shared" si="15"/>
        <v>0.02083333333</v>
      </c>
    </row>
    <row r="78">
      <c r="A78" s="18" t="s">
        <v>86</v>
      </c>
      <c r="B78" s="20">
        <v>0.3875</v>
      </c>
      <c r="C78" s="4"/>
      <c r="D78" s="20">
        <v>0.7493055555555556</v>
      </c>
      <c r="E78" s="3"/>
      <c r="F78" s="4"/>
      <c r="G78" s="19"/>
      <c r="H78" s="4"/>
      <c r="I78" s="19"/>
      <c r="J78" s="4"/>
      <c r="K78" s="19"/>
      <c r="L78" s="4"/>
      <c r="M78" s="19"/>
      <c r="N78" s="4"/>
      <c r="O78" s="6">
        <f t="shared" si="14"/>
        <v>0.3618055556</v>
      </c>
      <c r="P78" s="21">
        <v>0.375</v>
      </c>
      <c r="Q78" s="8">
        <f t="shared" si="15"/>
        <v>-0.01319444444</v>
      </c>
    </row>
    <row r="79">
      <c r="A79" s="18" t="s">
        <v>88</v>
      </c>
      <c r="B79" s="20">
        <v>0.3659722222222222</v>
      </c>
      <c r="C79" s="4"/>
      <c r="D79" s="20">
        <v>0.8069444444444445</v>
      </c>
      <c r="E79" s="3"/>
      <c r="F79" s="4"/>
      <c r="G79" s="19"/>
      <c r="H79" s="4"/>
      <c r="I79" s="19"/>
      <c r="J79" s="4"/>
      <c r="K79" s="19"/>
      <c r="L79" s="4"/>
      <c r="M79" s="19"/>
      <c r="N79" s="4"/>
      <c r="O79" s="6">
        <f t="shared" si="14"/>
        <v>0.4409722222</v>
      </c>
      <c r="P79" s="21">
        <v>0.375</v>
      </c>
      <c r="Q79" s="8">
        <f t="shared" si="15"/>
        <v>0.06597222222</v>
      </c>
    </row>
    <row r="80">
      <c r="A80" s="18" t="s">
        <v>89</v>
      </c>
      <c r="B80" s="20">
        <v>0.3729166666666667</v>
      </c>
      <c r="C80" s="4"/>
      <c r="D80" s="20">
        <v>0.7729166666666667</v>
      </c>
      <c r="E80" s="3"/>
      <c r="F80" s="4"/>
      <c r="G80" s="19"/>
      <c r="H80" s="4"/>
      <c r="I80" s="20"/>
      <c r="J80" s="4"/>
      <c r="K80" s="19"/>
      <c r="L80" s="4"/>
      <c r="M80" s="19"/>
      <c r="N80" s="4"/>
      <c r="O80" s="6">
        <f t="shared" si="14"/>
        <v>0.4</v>
      </c>
      <c r="P80" s="21">
        <v>0.375</v>
      </c>
      <c r="Q80" s="8">
        <f t="shared" si="15"/>
        <v>0.025</v>
      </c>
    </row>
    <row r="81">
      <c r="A81" s="22" t="s">
        <v>90</v>
      </c>
      <c r="B81" s="20"/>
      <c r="C81" s="4"/>
      <c r="D81" s="19"/>
      <c r="E81" s="3"/>
      <c r="F81" s="4"/>
      <c r="G81" s="19"/>
      <c r="H81" s="4"/>
      <c r="I81" s="19"/>
      <c r="J81" s="4"/>
      <c r="K81" s="20"/>
      <c r="L81" s="4"/>
      <c r="M81" s="19"/>
      <c r="N81" s="4"/>
      <c r="O81" s="6"/>
      <c r="P81" s="21"/>
      <c r="Q81" s="8"/>
    </row>
    <row r="82">
      <c r="A82" s="22" t="s">
        <v>91</v>
      </c>
      <c r="B82" s="20"/>
      <c r="C82" s="4"/>
      <c r="D82" s="19"/>
      <c r="E82" s="3"/>
      <c r="F82" s="4"/>
      <c r="G82" s="19"/>
      <c r="H82" s="4"/>
      <c r="I82" s="19"/>
      <c r="J82" s="4"/>
      <c r="K82" s="20"/>
      <c r="L82" s="4"/>
      <c r="M82" s="19"/>
      <c r="N82" s="4"/>
      <c r="O82" s="6"/>
      <c r="P82" s="21"/>
      <c r="Q82" s="8"/>
    </row>
    <row r="83">
      <c r="A83" s="18" t="s">
        <v>92</v>
      </c>
      <c r="B83" s="20">
        <v>0.3701388888888889</v>
      </c>
      <c r="C83" s="4"/>
      <c r="D83" s="20">
        <v>0.7625</v>
      </c>
      <c r="E83" s="3"/>
      <c r="F83" s="4"/>
      <c r="G83" s="19"/>
      <c r="H83" s="4"/>
      <c r="I83" s="20"/>
      <c r="J83" s="4"/>
      <c r="K83" s="19"/>
      <c r="L83" s="4"/>
      <c r="M83" s="19"/>
      <c r="N83" s="4"/>
      <c r="O83" s="6">
        <f t="shared" ref="O83:O87" si="16">D83-B83</f>
        <v>0.3923611111</v>
      </c>
      <c r="P83" s="21">
        <v>0.375</v>
      </c>
      <c r="Q83" s="8">
        <f t="shared" ref="Q83:Q87" si="17">O83-P83</f>
        <v>0.01736111111</v>
      </c>
    </row>
    <row r="84">
      <c r="A84" s="18" t="s">
        <v>93</v>
      </c>
      <c r="B84" s="20">
        <v>0.37569444444444444</v>
      </c>
      <c r="C84" s="4"/>
      <c r="D84" s="20">
        <v>0.7729166666666667</v>
      </c>
      <c r="E84" s="3"/>
      <c r="F84" s="4"/>
      <c r="G84" s="19"/>
      <c r="H84" s="4"/>
      <c r="I84" s="20"/>
      <c r="J84" s="4"/>
      <c r="K84" s="19"/>
      <c r="L84" s="4"/>
      <c r="M84" s="19"/>
      <c r="N84" s="4"/>
      <c r="O84" s="6">
        <f t="shared" si="16"/>
        <v>0.3972222222</v>
      </c>
      <c r="P84" s="21">
        <v>0.375</v>
      </c>
      <c r="Q84" s="8">
        <f t="shared" si="17"/>
        <v>0.02222222222</v>
      </c>
    </row>
    <row r="85">
      <c r="A85" s="18" t="s">
        <v>94</v>
      </c>
      <c r="B85" s="20">
        <v>0.3763888888888889</v>
      </c>
      <c r="C85" s="4"/>
      <c r="D85" s="20">
        <v>0.7902777777777777</v>
      </c>
      <c r="E85" s="3"/>
      <c r="F85" s="4"/>
      <c r="G85" s="19"/>
      <c r="H85" s="4"/>
      <c r="I85" s="19"/>
      <c r="J85" s="4"/>
      <c r="K85" s="19"/>
      <c r="L85" s="4"/>
      <c r="M85" s="19"/>
      <c r="N85" s="4"/>
      <c r="O85" s="6">
        <f t="shared" si="16"/>
        <v>0.4138888889</v>
      </c>
      <c r="P85" s="21">
        <v>0.375</v>
      </c>
      <c r="Q85" s="8">
        <f t="shared" si="17"/>
        <v>0.03888888889</v>
      </c>
    </row>
    <row r="86">
      <c r="A86" s="18" t="s">
        <v>95</v>
      </c>
      <c r="B86" s="20">
        <v>0.3854166666666667</v>
      </c>
      <c r="C86" s="4"/>
      <c r="D86" s="20">
        <v>0.7944444444444444</v>
      </c>
      <c r="E86" s="3"/>
      <c r="F86" s="4"/>
      <c r="G86" s="19"/>
      <c r="H86" s="4"/>
      <c r="I86" s="19"/>
      <c r="J86" s="4"/>
      <c r="K86" s="19"/>
      <c r="L86" s="4"/>
      <c r="M86" s="19"/>
      <c r="N86" s="4"/>
      <c r="O86" s="6">
        <f t="shared" si="16"/>
        <v>0.4090277778</v>
      </c>
      <c r="P86" s="21">
        <v>0.375</v>
      </c>
      <c r="Q86" s="8">
        <f t="shared" si="17"/>
        <v>0.03402777778</v>
      </c>
    </row>
    <row r="87">
      <c r="A87" s="18" t="s">
        <v>96</v>
      </c>
      <c r="B87" s="20">
        <v>0.37222222222222223</v>
      </c>
      <c r="C87" s="4"/>
      <c r="D87" s="20">
        <v>0.7868055555555555</v>
      </c>
      <c r="E87" s="3"/>
      <c r="F87" s="4"/>
      <c r="G87" s="19"/>
      <c r="H87" s="4"/>
      <c r="I87" s="20"/>
      <c r="J87" s="4"/>
      <c r="K87" s="19"/>
      <c r="L87" s="4"/>
      <c r="M87" s="19"/>
      <c r="N87" s="4"/>
      <c r="O87" s="6">
        <f t="shared" si="16"/>
        <v>0.4145833333</v>
      </c>
      <c r="P87" s="21">
        <v>0.375</v>
      </c>
      <c r="Q87" s="8">
        <f t="shared" si="17"/>
        <v>0.03958333333</v>
      </c>
    </row>
    <row r="88">
      <c r="A88" s="22" t="s">
        <v>97</v>
      </c>
      <c r="B88" s="19"/>
      <c r="C88" s="4"/>
      <c r="D88" s="20"/>
      <c r="E88" s="3"/>
      <c r="F88" s="4"/>
      <c r="G88" s="19"/>
      <c r="H88" s="4"/>
      <c r="I88" s="19"/>
      <c r="J88" s="4"/>
      <c r="K88" s="19"/>
      <c r="L88" s="4"/>
      <c r="M88" s="20"/>
      <c r="N88" s="4"/>
      <c r="O88" s="6"/>
      <c r="P88" s="21"/>
      <c r="Q88" s="8"/>
    </row>
    <row r="89">
      <c r="A89" s="22" t="s">
        <v>98</v>
      </c>
      <c r="B89" s="20"/>
      <c r="C89" s="4"/>
      <c r="D89" s="19"/>
      <c r="E89" s="3"/>
      <c r="F89" s="4"/>
      <c r="G89" s="19"/>
      <c r="H89" s="4"/>
      <c r="I89" s="19"/>
      <c r="J89" s="4"/>
      <c r="K89" s="20"/>
      <c r="L89" s="4"/>
      <c r="M89" s="19"/>
      <c r="N89" s="4"/>
      <c r="O89" s="6"/>
      <c r="P89" s="21"/>
      <c r="Q89" s="8">
        <f>Q76+Q77+Q79+Q80+Q83+Q84+Q85+Q86+Q87</f>
        <v>0.3666666667</v>
      </c>
    </row>
    <row r="90">
      <c r="A90" s="18" t="s">
        <v>99</v>
      </c>
      <c r="B90" s="23"/>
      <c r="C90" s="4"/>
      <c r="D90" s="24"/>
      <c r="E90" s="3"/>
      <c r="F90" s="3"/>
      <c r="G90" s="25"/>
      <c r="H90" s="3"/>
      <c r="I90" s="26"/>
      <c r="J90" s="3"/>
      <c r="K90" s="24"/>
      <c r="L90" s="3"/>
      <c r="M90" s="24"/>
      <c r="N90" s="4"/>
      <c r="O90" s="6"/>
      <c r="P90" s="7"/>
      <c r="Q90" s="8"/>
    </row>
    <row r="91">
      <c r="O91" s="6"/>
      <c r="P91" s="7"/>
      <c r="Q91" s="8"/>
    </row>
    <row r="92">
      <c r="A92" s="1" t="s">
        <v>0</v>
      </c>
      <c r="B92" s="2" t="s">
        <v>1</v>
      </c>
      <c r="C92" s="3"/>
      <c r="D92" s="3"/>
      <c r="E92" s="3"/>
      <c r="F92" s="3"/>
      <c r="G92" s="3"/>
      <c r="H92" s="4"/>
      <c r="I92" s="1" t="s">
        <v>2</v>
      </c>
      <c r="J92" s="10" t="s">
        <v>36</v>
      </c>
      <c r="K92" s="3"/>
      <c r="L92" s="3"/>
      <c r="M92" s="3"/>
      <c r="N92" s="4"/>
      <c r="O92" s="6"/>
      <c r="P92" s="7"/>
      <c r="Q92" s="8"/>
    </row>
    <row r="93">
      <c r="A93" s="1" t="s">
        <v>4</v>
      </c>
      <c r="B93" s="9" t="s">
        <v>5</v>
      </c>
      <c r="C93" s="3"/>
      <c r="D93" s="3"/>
      <c r="E93" s="3"/>
      <c r="F93" s="3"/>
      <c r="G93" s="3"/>
      <c r="H93" s="4"/>
      <c r="I93" s="1" t="s">
        <v>6</v>
      </c>
      <c r="J93" s="10">
        <v>9.0</v>
      </c>
      <c r="K93" s="3"/>
      <c r="L93" s="3"/>
      <c r="M93" s="3"/>
      <c r="N93" s="4"/>
      <c r="O93" s="6"/>
      <c r="P93" s="7"/>
      <c r="Q93" s="8"/>
    </row>
    <row r="94">
      <c r="A94" s="11" t="s">
        <v>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4"/>
      <c r="O94" s="12" t="s">
        <v>8</v>
      </c>
      <c r="P94" s="13" t="s">
        <v>9</v>
      </c>
      <c r="Q94" s="14" t="s">
        <v>10</v>
      </c>
    </row>
    <row r="95">
      <c r="A95" s="15" t="s">
        <v>11</v>
      </c>
      <c r="B95" s="2" t="s">
        <v>12</v>
      </c>
      <c r="C95" s="3"/>
      <c r="D95" s="3"/>
      <c r="E95" s="3"/>
      <c r="F95" s="4"/>
      <c r="G95" s="2" t="s">
        <v>13</v>
      </c>
      <c r="H95" s="3"/>
      <c r="I95" s="3"/>
      <c r="J95" s="3"/>
      <c r="K95" s="10" t="s">
        <v>14</v>
      </c>
      <c r="L95" s="3"/>
      <c r="M95" s="3"/>
      <c r="N95" s="4"/>
      <c r="O95" s="6"/>
      <c r="P95" s="7"/>
      <c r="Q95" s="8"/>
    </row>
    <row r="96">
      <c r="A96" s="16"/>
      <c r="B96" s="17" t="s">
        <v>15</v>
      </c>
      <c r="C96" s="4"/>
      <c r="D96" s="17" t="s">
        <v>16</v>
      </c>
      <c r="E96" s="3"/>
      <c r="F96" s="4"/>
      <c r="G96" s="17" t="s">
        <v>15</v>
      </c>
      <c r="H96" s="4"/>
      <c r="I96" s="17" t="s">
        <v>16</v>
      </c>
      <c r="J96" s="4"/>
      <c r="K96" s="17" t="s">
        <v>15</v>
      </c>
      <c r="L96" s="4"/>
      <c r="M96" s="17" t="s">
        <v>16</v>
      </c>
      <c r="N96" s="4"/>
      <c r="O96" s="6"/>
      <c r="P96" s="7"/>
      <c r="Q96" s="8"/>
    </row>
    <row r="97">
      <c r="A97" s="18" t="s">
        <v>17</v>
      </c>
      <c r="B97" s="20"/>
      <c r="C97" s="4"/>
      <c r="D97" s="19"/>
      <c r="E97" s="3"/>
      <c r="F97" s="4"/>
      <c r="G97" s="19"/>
      <c r="H97" s="4"/>
      <c r="I97" s="19"/>
      <c r="J97" s="4"/>
      <c r="K97" s="19"/>
      <c r="L97" s="4"/>
      <c r="M97" s="20"/>
      <c r="N97" s="4"/>
      <c r="O97" s="6">
        <f>M97-B97</f>
        <v>0</v>
      </c>
      <c r="P97" s="21">
        <v>0.3541666666666667</v>
      </c>
      <c r="Q97" s="8">
        <f>O97-P97</f>
        <v>-0.3541666667</v>
      </c>
    </row>
    <row r="98">
      <c r="A98" s="18" t="s">
        <v>18</v>
      </c>
      <c r="B98" s="23"/>
      <c r="C98" s="4"/>
      <c r="D98" s="24"/>
      <c r="E98" s="3"/>
      <c r="F98" s="3"/>
      <c r="G98" s="25"/>
      <c r="H98" s="3"/>
      <c r="I98" s="26"/>
      <c r="J98" s="3"/>
      <c r="K98" s="24"/>
      <c r="L98" s="3"/>
      <c r="M98" s="24"/>
      <c r="N98" s="4"/>
      <c r="O98" s="6"/>
      <c r="P98" s="7"/>
      <c r="Q98" s="8"/>
    </row>
    <row r="99">
      <c r="A99" s="18" t="s">
        <v>19</v>
      </c>
      <c r="B99" s="20"/>
      <c r="C99" s="4"/>
      <c r="D99" s="19"/>
      <c r="E99" s="3"/>
      <c r="F99" s="4"/>
      <c r="G99" s="19"/>
      <c r="H99" s="4"/>
      <c r="I99" s="20"/>
      <c r="J99" s="4"/>
      <c r="K99" s="19"/>
      <c r="L99" s="4"/>
      <c r="M99" s="19"/>
      <c r="N99" s="4"/>
      <c r="O99" s="6">
        <f>I99-B99</f>
        <v>0</v>
      </c>
      <c r="P99" s="21">
        <v>0.3541666666666667</v>
      </c>
      <c r="Q99" s="8">
        <f>P99-O99</f>
        <v>0.3541666667</v>
      </c>
    </row>
    <row r="100">
      <c r="A100" s="22" t="s">
        <v>20</v>
      </c>
      <c r="B100" s="20"/>
      <c r="C100" s="4"/>
      <c r="D100" s="20"/>
      <c r="E100" s="3"/>
      <c r="F100" s="4"/>
      <c r="G100" s="19"/>
      <c r="H100" s="4"/>
      <c r="I100" s="19"/>
      <c r="J100" s="4"/>
      <c r="K100" s="19"/>
      <c r="L100" s="4"/>
      <c r="M100" s="19"/>
      <c r="N100" s="4"/>
      <c r="O100" s="6">
        <f>D100-B100</f>
        <v>0</v>
      </c>
      <c r="P100" s="21">
        <v>0.3541666666666667</v>
      </c>
      <c r="Q100" s="8">
        <f>O100-P100</f>
        <v>-0.3541666667</v>
      </c>
    </row>
    <row r="101">
      <c r="A101" s="22" t="s">
        <v>21</v>
      </c>
      <c r="B101" s="19"/>
      <c r="C101" s="4"/>
      <c r="D101" s="19"/>
      <c r="E101" s="3"/>
      <c r="F101" s="4"/>
      <c r="G101" s="19"/>
      <c r="H101" s="4"/>
      <c r="I101" s="19"/>
      <c r="J101" s="4"/>
      <c r="K101" s="19"/>
      <c r="L101" s="4"/>
      <c r="M101" s="19"/>
      <c r="N101" s="4"/>
      <c r="O101" s="6"/>
      <c r="P101" s="7"/>
      <c r="Q101" s="8"/>
    </row>
    <row r="102">
      <c r="A102" s="18" t="s">
        <v>22</v>
      </c>
      <c r="B102" s="20"/>
      <c r="C102" s="4"/>
      <c r="D102" s="19"/>
      <c r="E102" s="3"/>
      <c r="F102" s="4"/>
      <c r="G102" s="20"/>
      <c r="H102" s="4"/>
      <c r="I102" s="19"/>
      <c r="J102" s="4"/>
      <c r="K102" s="19"/>
      <c r="L102" s="4"/>
      <c r="M102" s="19"/>
      <c r="N102" s="4"/>
      <c r="O102" s="6">
        <f t="shared" ref="O102:O103" si="18">G102-B102</f>
        <v>0</v>
      </c>
      <c r="P102" s="21">
        <v>0.3541666666666667</v>
      </c>
      <c r="Q102" s="8">
        <f t="shared" ref="Q102:Q104" si="19">O102-P102</f>
        <v>-0.3541666667</v>
      </c>
    </row>
    <row r="103">
      <c r="A103" s="18" t="s">
        <v>23</v>
      </c>
      <c r="B103" s="20"/>
      <c r="C103" s="4"/>
      <c r="D103" s="19"/>
      <c r="E103" s="3"/>
      <c r="F103" s="4"/>
      <c r="G103" s="20"/>
      <c r="H103" s="4"/>
      <c r="I103" s="19"/>
      <c r="J103" s="4"/>
      <c r="K103" s="19"/>
      <c r="L103" s="4"/>
      <c r="M103" s="19"/>
      <c r="N103" s="4"/>
      <c r="O103" s="6">
        <f t="shared" si="18"/>
        <v>0</v>
      </c>
      <c r="P103" s="21">
        <v>0.3541666666666667</v>
      </c>
      <c r="Q103" s="8">
        <f t="shared" si="19"/>
        <v>-0.3541666667</v>
      </c>
    </row>
    <row r="104">
      <c r="A104" s="18" t="s">
        <v>24</v>
      </c>
      <c r="B104" s="20"/>
      <c r="C104" s="4"/>
      <c r="D104" s="19"/>
      <c r="E104" s="3"/>
      <c r="F104" s="4"/>
      <c r="G104" s="19"/>
      <c r="H104" s="4"/>
      <c r="I104" s="19"/>
      <c r="J104" s="4"/>
      <c r="K104" s="20"/>
      <c r="L104" s="4"/>
      <c r="M104" s="19"/>
      <c r="N104" s="4"/>
      <c r="O104" s="6">
        <f>K104-B104</f>
        <v>0</v>
      </c>
      <c r="P104" s="21">
        <v>0.3541666666666667</v>
      </c>
      <c r="Q104" s="8">
        <f t="shared" si="19"/>
        <v>-0.3541666667</v>
      </c>
    </row>
    <row r="105">
      <c r="A105" s="18" t="s">
        <v>25</v>
      </c>
      <c r="B105" s="23"/>
      <c r="C105" s="4"/>
      <c r="D105" s="24"/>
      <c r="E105" s="3"/>
      <c r="F105" s="3"/>
      <c r="G105" s="25"/>
      <c r="H105" s="3"/>
      <c r="I105" s="26"/>
      <c r="J105" s="3"/>
      <c r="K105" s="24"/>
      <c r="L105" s="3"/>
      <c r="M105" s="24"/>
      <c r="N105" s="4"/>
      <c r="O105" s="6"/>
      <c r="P105" s="7"/>
      <c r="Q105" s="8"/>
    </row>
    <row r="106">
      <c r="A106" s="18" t="s">
        <v>26</v>
      </c>
      <c r="B106" s="20"/>
      <c r="C106" s="4"/>
      <c r="D106" s="19"/>
      <c r="E106" s="3"/>
      <c r="F106" s="4"/>
      <c r="G106" s="20"/>
      <c r="H106" s="4"/>
      <c r="I106" s="19"/>
      <c r="J106" s="4"/>
      <c r="K106" s="19"/>
      <c r="L106" s="4"/>
      <c r="M106" s="19"/>
      <c r="N106" s="4"/>
      <c r="O106" s="6">
        <f>G106-B106</f>
        <v>0</v>
      </c>
      <c r="P106" s="21">
        <v>0.3541666666666667</v>
      </c>
      <c r="Q106" s="8">
        <f t="shared" ref="Q106:Q107" si="20">O106-P106</f>
        <v>-0.3541666667</v>
      </c>
    </row>
    <row r="107">
      <c r="A107" s="22" t="s">
        <v>27</v>
      </c>
      <c r="B107" s="20"/>
      <c r="C107" s="4"/>
      <c r="D107" s="20"/>
      <c r="E107" s="3"/>
      <c r="F107" s="4"/>
      <c r="G107" s="19"/>
      <c r="H107" s="4"/>
      <c r="I107" s="19"/>
      <c r="J107" s="4"/>
      <c r="K107" s="19"/>
      <c r="L107" s="4"/>
      <c r="M107" s="19"/>
      <c r="N107" s="4"/>
      <c r="O107" s="6">
        <f>D107-B107</f>
        <v>0</v>
      </c>
      <c r="P107" s="21">
        <v>0.3541666666666667</v>
      </c>
      <c r="Q107" s="8">
        <f t="shared" si="20"/>
        <v>-0.3541666667</v>
      </c>
    </row>
    <row r="108">
      <c r="A108" s="22" t="s">
        <v>28</v>
      </c>
      <c r="B108" s="19"/>
      <c r="C108" s="4"/>
      <c r="D108" s="19"/>
      <c r="E108" s="3"/>
      <c r="F108" s="4"/>
      <c r="G108" s="19"/>
      <c r="H108" s="4"/>
      <c r="I108" s="19"/>
      <c r="J108" s="4"/>
      <c r="K108" s="19"/>
      <c r="L108" s="4"/>
      <c r="M108" s="19"/>
      <c r="N108" s="4"/>
      <c r="O108" s="6"/>
      <c r="P108" s="7"/>
      <c r="Q108" s="8"/>
    </row>
    <row r="109">
      <c r="A109" s="18" t="s">
        <v>29</v>
      </c>
      <c r="B109" s="20"/>
      <c r="C109" s="4"/>
      <c r="D109" s="19"/>
      <c r="E109" s="3"/>
      <c r="F109" s="4"/>
      <c r="G109" s="19"/>
      <c r="H109" s="4"/>
      <c r="I109" s="19"/>
      <c r="J109" s="4"/>
      <c r="K109" s="20"/>
      <c r="L109" s="4"/>
      <c r="M109" s="19"/>
      <c r="N109" s="4"/>
      <c r="O109" s="6">
        <f>K109-B109</f>
        <v>0</v>
      </c>
      <c r="P109" s="21">
        <v>0.3541666666666667</v>
      </c>
      <c r="Q109" s="8">
        <f t="shared" ref="Q109:Q111" si="21">O109-P109</f>
        <v>-0.3541666667</v>
      </c>
    </row>
    <row r="110">
      <c r="A110" s="18" t="s">
        <v>30</v>
      </c>
      <c r="B110" s="19"/>
      <c r="C110" s="4"/>
      <c r="D110" s="20"/>
      <c r="E110" s="3"/>
      <c r="F110" s="4"/>
      <c r="G110" s="19"/>
      <c r="H110" s="4"/>
      <c r="I110" s="19"/>
      <c r="J110" s="4"/>
      <c r="K110" s="19"/>
      <c r="L110" s="4"/>
      <c r="M110" s="20"/>
      <c r="N110" s="4"/>
      <c r="O110" s="6">
        <f>M110-D110</f>
        <v>0</v>
      </c>
      <c r="P110" s="21">
        <v>0.3541666666666667</v>
      </c>
      <c r="Q110" s="8">
        <f t="shared" si="21"/>
        <v>-0.3541666667</v>
      </c>
    </row>
    <row r="111">
      <c r="A111" s="18" t="s">
        <v>31</v>
      </c>
      <c r="B111" s="20"/>
      <c r="C111" s="4"/>
      <c r="D111" s="19"/>
      <c r="E111" s="3"/>
      <c r="F111" s="4"/>
      <c r="G111" s="19"/>
      <c r="H111" s="4"/>
      <c r="I111" s="19"/>
      <c r="J111" s="4"/>
      <c r="K111" s="20"/>
      <c r="L111" s="4"/>
      <c r="M111" s="19"/>
      <c r="N111" s="4"/>
      <c r="O111" s="6">
        <f>K111-B111</f>
        <v>0</v>
      </c>
      <c r="P111" s="21">
        <v>0.3541666666666667</v>
      </c>
      <c r="Q111" s="8">
        <f t="shared" si="21"/>
        <v>-0.3541666667</v>
      </c>
    </row>
    <row r="112">
      <c r="A112" s="18" t="s">
        <v>32</v>
      </c>
      <c r="B112" s="23"/>
      <c r="C112" s="4"/>
      <c r="D112" s="24"/>
      <c r="E112" s="3"/>
      <c r="F112" s="3"/>
      <c r="G112" s="25"/>
      <c r="H112" s="3"/>
      <c r="I112" s="26"/>
      <c r="J112" s="3"/>
      <c r="K112" s="24"/>
      <c r="L112" s="3"/>
      <c r="M112" s="24"/>
      <c r="N112" s="4"/>
      <c r="O112" s="6"/>
      <c r="P112" s="7"/>
      <c r="Q112" s="8"/>
    </row>
    <row r="113">
      <c r="O113" s="28" t="s">
        <v>10</v>
      </c>
      <c r="P113" s="7"/>
      <c r="Q113" s="8">
        <f>Q97+Q110+Q111</f>
        <v>-1.0625</v>
      </c>
    </row>
    <row r="114">
      <c r="O114" s="6"/>
      <c r="P114" s="7"/>
      <c r="Q114" s="8"/>
    </row>
    <row r="115">
      <c r="A115" s="1" t="s">
        <v>0</v>
      </c>
      <c r="B115" s="2" t="s">
        <v>1</v>
      </c>
      <c r="C115" s="3"/>
      <c r="D115" s="3"/>
      <c r="E115" s="3"/>
      <c r="F115" s="3"/>
      <c r="G115" s="3"/>
      <c r="H115" s="4"/>
      <c r="I115" s="1" t="s">
        <v>2</v>
      </c>
      <c r="J115" s="10" t="s">
        <v>37</v>
      </c>
      <c r="K115" s="3"/>
      <c r="L115" s="3"/>
      <c r="M115" s="3"/>
      <c r="N115" s="4"/>
      <c r="O115" s="6"/>
      <c r="P115" s="7"/>
      <c r="Q115" s="8"/>
    </row>
    <row r="116">
      <c r="A116" s="11" t="s">
        <v>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4"/>
      <c r="O116" s="12" t="s">
        <v>8</v>
      </c>
      <c r="P116" s="13" t="s">
        <v>9</v>
      </c>
      <c r="Q116" s="14" t="s">
        <v>10</v>
      </c>
    </row>
    <row r="117">
      <c r="A117" s="15" t="s">
        <v>11</v>
      </c>
      <c r="B117" s="2" t="s">
        <v>12</v>
      </c>
      <c r="C117" s="3"/>
      <c r="D117" s="3"/>
      <c r="E117" s="3"/>
      <c r="F117" s="4"/>
      <c r="G117" s="2" t="s">
        <v>13</v>
      </c>
      <c r="H117" s="3"/>
      <c r="I117" s="3"/>
      <c r="J117" s="3"/>
      <c r="K117" s="10" t="s">
        <v>14</v>
      </c>
      <c r="L117" s="3"/>
      <c r="M117" s="3"/>
      <c r="N117" s="4"/>
      <c r="O117" s="6"/>
      <c r="P117" s="7"/>
      <c r="Q117" s="8"/>
    </row>
    <row r="118">
      <c r="A118" s="16"/>
      <c r="B118" s="17" t="s">
        <v>15</v>
      </c>
      <c r="C118" s="4"/>
      <c r="D118" s="17" t="s">
        <v>16</v>
      </c>
      <c r="E118" s="3"/>
      <c r="F118" s="4"/>
      <c r="G118" s="17" t="s">
        <v>15</v>
      </c>
      <c r="H118" s="4"/>
      <c r="I118" s="17" t="s">
        <v>16</v>
      </c>
      <c r="J118" s="4"/>
      <c r="K118" s="17" t="s">
        <v>15</v>
      </c>
      <c r="L118" s="4"/>
      <c r="M118" s="17" t="s">
        <v>16</v>
      </c>
      <c r="N118" s="4"/>
      <c r="O118" s="6"/>
      <c r="P118" s="7"/>
      <c r="Q118" s="8"/>
    </row>
    <row r="119">
      <c r="A119" s="22" t="s">
        <v>83</v>
      </c>
      <c r="B119" s="33">
        <v>0.375</v>
      </c>
      <c r="C119" s="4"/>
      <c r="D119" s="34">
        <v>0.875</v>
      </c>
      <c r="E119" s="3"/>
      <c r="F119" s="3"/>
      <c r="G119" s="25"/>
      <c r="H119" s="3"/>
      <c r="I119" s="26"/>
      <c r="J119" s="3"/>
      <c r="K119" s="24"/>
      <c r="L119" s="3"/>
      <c r="M119" s="34"/>
      <c r="N119" s="4"/>
      <c r="O119" s="6">
        <f t="shared" ref="O119:O125" si="22">D119-B119</f>
        <v>0.5</v>
      </c>
      <c r="P119" s="21">
        <v>0.375</v>
      </c>
      <c r="Q119" s="8">
        <f>O119</f>
        <v>0.5</v>
      </c>
    </row>
    <row r="120">
      <c r="A120" s="18" t="s">
        <v>84</v>
      </c>
      <c r="B120" s="20">
        <v>0.34097222222222223</v>
      </c>
      <c r="C120" s="4"/>
      <c r="D120" s="20">
        <v>0.8743055555555556</v>
      </c>
      <c r="E120" s="3"/>
      <c r="F120" s="4"/>
      <c r="G120" s="19"/>
      <c r="H120" s="4"/>
      <c r="I120" s="19"/>
      <c r="J120" s="4"/>
      <c r="K120" s="19"/>
      <c r="L120" s="4"/>
      <c r="M120" s="20"/>
      <c r="N120" s="4"/>
      <c r="O120" s="6">
        <f t="shared" si="22"/>
        <v>0.5333333333</v>
      </c>
      <c r="P120" s="21">
        <v>0.375</v>
      </c>
      <c r="Q120" s="8">
        <f t="shared" ref="Q120:Q124" si="23">O120-P120</f>
        <v>0.1583333333</v>
      </c>
    </row>
    <row r="121">
      <c r="A121" s="18" t="s">
        <v>85</v>
      </c>
      <c r="B121" s="20">
        <v>0.4</v>
      </c>
      <c r="C121" s="4"/>
      <c r="D121" s="20">
        <v>0.8513888888888889</v>
      </c>
      <c r="E121" s="3"/>
      <c r="F121" s="4"/>
      <c r="G121" s="19"/>
      <c r="H121" s="4"/>
      <c r="I121" s="19"/>
      <c r="J121" s="4"/>
      <c r="K121" s="19"/>
      <c r="L121" s="4"/>
      <c r="M121" s="20"/>
      <c r="N121" s="4"/>
      <c r="O121" s="6">
        <f t="shared" si="22"/>
        <v>0.4513888889</v>
      </c>
      <c r="P121" s="21">
        <v>0.375</v>
      </c>
      <c r="Q121" s="8">
        <f t="shared" si="23"/>
        <v>0.07638888889</v>
      </c>
    </row>
    <row r="122">
      <c r="A122" s="18" t="s">
        <v>86</v>
      </c>
      <c r="B122" s="20">
        <v>0.35555555555555557</v>
      </c>
      <c r="C122" s="4"/>
      <c r="D122" s="20">
        <v>0.8541666666666666</v>
      </c>
      <c r="E122" s="3"/>
      <c r="F122" s="4"/>
      <c r="G122" s="19"/>
      <c r="H122" s="4"/>
      <c r="I122" s="19"/>
      <c r="J122" s="4"/>
      <c r="K122" s="19"/>
      <c r="L122" s="4"/>
      <c r="M122" s="20"/>
      <c r="N122" s="4"/>
      <c r="O122" s="35">
        <f t="shared" si="22"/>
        <v>0.4986111111</v>
      </c>
      <c r="P122" s="21">
        <v>0.375</v>
      </c>
      <c r="Q122" s="8">
        <f t="shared" si="23"/>
        <v>0.1236111111</v>
      </c>
    </row>
    <row r="123">
      <c r="A123" s="18" t="s">
        <v>88</v>
      </c>
      <c r="B123" s="20">
        <v>0.42083333333333334</v>
      </c>
      <c r="C123" s="4"/>
      <c r="D123" s="20">
        <v>0.8152777777777778</v>
      </c>
      <c r="E123" s="3"/>
      <c r="F123" s="4"/>
      <c r="G123" s="19"/>
      <c r="H123" s="4"/>
      <c r="I123" s="19"/>
      <c r="J123" s="4"/>
      <c r="K123" s="19"/>
      <c r="L123" s="4"/>
      <c r="M123" s="19"/>
      <c r="N123" s="4"/>
      <c r="O123" s="6">
        <f t="shared" si="22"/>
        <v>0.3944444444</v>
      </c>
      <c r="P123" s="21">
        <v>0.375</v>
      </c>
      <c r="Q123" s="8">
        <f t="shared" si="23"/>
        <v>0.01944444444</v>
      </c>
    </row>
    <row r="124">
      <c r="A124" s="18" t="s">
        <v>89</v>
      </c>
      <c r="B124" s="20">
        <v>0.3423611111111111</v>
      </c>
      <c r="C124" s="4"/>
      <c r="D124" s="20">
        <v>0.8708333333333333</v>
      </c>
      <c r="E124" s="3"/>
      <c r="F124" s="4"/>
      <c r="G124" s="19"/>
      <c r="H124" s="4"/>
      <c r="I124" s="19"/>
      <c r="J124" s="4"/>
      <c r="K124" s="19"/>
      <c r="L124" s="4"/>
      <c r="M124" s="20"/>
      <c r="N124" s="4"/>
      <c r="O124" s="6">
        <f t="shared" si="22"/>
        <v>0.5284722222</v>
      </c>
      <c r="P124" s="21">
        <v>0.375</v>
      </c>
      <c r="Q124" s="8">
        <f t="shared" si="23"/>
        <v>0.1534722222</v>
      </c>
    </row>
    <row r="125">
      <c r="A125" s="22" t="s">
        <v>90</v>
      </c>
      <c r="B125" s="20">
        <v>0.40625</v>
      </c>
      <c r="C125" s="4"/>
      <c r="D125" s="20">
        <v>0.8368055555555556</v>
      </c>
      <c r="E125" s="3"/>
      <c r="F125" s="4"/>
      <c r="G125" s="19"/>
      <c r="H125" s="4"/>
      <c r="I125" s="19"/>
      <c r="J125" s="4"/>
      <c r="K125" s="19"/>
      <c r="L125" s="4"/>
      <c r="M125" s="20"/>
      <c r="N125" s="4"/>
      <c r="O125" s="6">
        <f t="shared" si="22"/>
        <v>0.4305555556</v>
      </c>
      <c r="P125" s="21">
        <v>0.375</v>
      </c>
      <c r="Q125" s="8">
        <f>O125</f>
        <v>0.4305555556</v>
      </c>
    </row>
    <row r="126">
      <c r="A126" s="22" t="s">
        <v>91</v>
      </c>
      <c r="B126" s="33"/>
      <c r="C126" s="4"/>
      <c r="D126" s="24"/>
      <c r="E126" s="3"/>
      <c r="F126" s="3"/>
      <c r="G126" s="25"/>
      <c r="H126" s="3"/>
      <c r="I126" s="26"/>
      <c r="J126" s="3"/>
      <c r="K126" s="24"/>
      <c r="L126" s="3"/>
      <c r="M126" s="34"/>
      <c r="N126" s="4"/>
      <c r="O126" s="6"/>
      <c r="P126" s="21"/>
      <c r="Q126" s="8"/>
    </row>
    <row r="127">
      <c r="A127" s="18" t="s">
        <v>92</v>
      </c>
      <c r="B127" s="20">
        <v>0.4027777777777778</v>
      </c>
      <c r="C127" s="4"/>
      <c r="D127" s="20">
        <v>0.8770833333333333</v>
      </c>
      <c r="E127" s="3"/>
      <c r="F127" s="4"/>
      <c r="G127" s="19"/>
      <c r="H127" s="4"/>
      <c r="I127" s="19"/>
      <c r="J127" s="4"/>
      <c r="K127" s="19"/>
      <c r="L127" s="4"/>
      <c r="M127" s="20"/>
      <c r="N127" s="4"/>
      <c r="O127" s="6">
        <f t="shared" ref="O127:O132" si="24">D127-B127</f>
        <v>0.4743055556</v>
      </c>
      <c r="P127" s="21">
        <v>0.375</v>
      </c>
      <c r="Q127" s="8">
        <f t="shared" ref="Q127:Q131" si="25">O127-P127</f>
        <v>0.09930555556</v>
      </c>
      <c r="R127" s="50">
        <f>57.47*2.23</f>
        <v>128.1581</v>
      </c>
      <c r="S127" s="50">
        <f>R127*30%</f>
        <v>38.44743</v>
      </c>
    </row>
    <row r="128">
      <c r="A128" s="18" t="s">
        <v>93</v>
      </c>
      <c r="B128" s="20">
        <v>0.38958333333333334</v>
      </c>
      <c r="C128" s="4"/>
      <c r="D128" s="20">
        <v>0.8416666666666667</v>
      </c>
      <c r="E128" s="3"/>
      <c r="F128" s="4"/>
      <c r="G128" s="19"/>
      <c r="H128" s="4"/>
      <c r="I128" s="19"/>
      <c r="J128" s="4"/>
      <c r="K128" s="19"/>
      <c r="L128" s="4"/>
      <c r="M128" s="20"/>
      <c r="N128" s="4"/>
      <c r="O128" s="6">
        <f t="shared" si="24"/>
        <v>0.4520833333</v>
      </c>
      <c r="P128" s="21">
        <v>0.375</v>
      </c>
      <c r="Q128" s="8">
        <f t="shared" si="25"/>
        <v>0.07708333333</v>
      </c>
    </row>
    <row r="129">
      <c r="A129" s="18" t="s">
        <v>94</v>
      </c>
      <c r="B129" s="20">
        <v>0.3736111111111111</v>
      </c>
      <c r="C129" s="4"/>
      <c r="D129" s="20">
        <v>0.8347222222222223</v>
      </c>
      <c r="E129" s="3"/>
      <c r="F129" s="4"/>
      <c r="G129" s="19"/>
      <c r="H129" s="4"/>
      <c r="I129" s="19"/>
      <c r="J129" s="4"/>
      <c r="K129" s="19"/>
      <c r="L129" s="4"/>
      <c r="M129" s="20"/>
      <c r="N129" s="4"/>
      <c r="O129" s="36">
        <f t="shared" si="24"/>
        <v>0.4611111111</v>
      </c>
      <c r="P129" s="21">
        <v>0.375</v>
      </c>
      <c r="Q129" s="8">
        <f t="shared" si="25"/>
        <v>0.08611111111</v>
      </c>
    </row>
    <row r="130">
      <c r="A130" s="18" t="s">
        <v>95</v>
      </c>
      <c r="B130" s="20">
        <v>0.4027777777777778</v>
      </c>
      <c r="C130" s="4"/>
      <c r="D130" s="20">
        <v>0.8166666666666667</v>
      </c>
      <c r="E130" s="3"/>
      <c r="F130" s="4"/>
      <c r="G130" s="19"/>
      <c r="H130" s="4"/>
      <c r="I130" s="19"/>
      <c r="J130" s="4"/>
      <c r="K130" s="19"/>
      <c r="L130" s="4"/>
      <c r="M130" s="19"/>
      <c r="N130" s="4"/>
      <c r="O130" s="6">
        <f t="shared" si="24"/>
        <v>0.4138888889</v>
      </c>
      <c r="P130" s="21">
        <v>0.375</v>
      </c>
      <c r="Q130" s="8">
        <f t="shared" si="25"/>
        <v>0.03888888889</v>
      </c>
    </row>
    <row r="131">
      <c r="A131" s="18" t="s">
        <v>96</v>
      </c>
      <c r="B131" s="20">
        <v>0.3215277777777778</v>
      </c>
      <c r="C131" s="4"/>
      <c r="D131" s="20">
        <v>0.875</v>
      </c>
      <c r="E131" s="3"/>
      <c r="F131" s="4"/>
      <c r="G131" s="19"/>
      <c r="H131" s="4"/>
      <c r="I131" s="19"/>
      <c r="J131" s="4"/>
      <c r="K131" s="19"/>
      <c r="L131" s="4"/>
      <c r="M131" s="20"/>
      <c r="N131" s="4"/>
      <c r="O131" s="6">
        <f t="shared" si="24"/>
        <v>0.5534722222</v>
      </c>
      <c r="P131" s="21">
        <v>0.375</v>
      </c>
      <c r="Q131" s="8">
        <f t="shared" si="25"/>
        <v>0.1784722222</v>
      </c>
    </row>
    <row r="132">
      <c r="A132" s="22" t="s">
        <v>97</v>
      </c>
      <c r="B132" s="33">
        <v>0.3902777777777778</v>
      </c>
      <c r="C132" s="4"/>
      <c r="D132" s="34">
        <v>0.8270833333333333</v>
      </c>
      <c r="E132" s="3"/>
      <c r="F132" s="3"/>
      <c r="G132" s="25"/>
      <c r="H132" s="3"/>
      <c r="I132" s="26"/>
      <c r="J132" s="3"/>
      <c r="K132" s="24"/>
      <c r="L132" s="3"/>
      <c r="M132" s="34"/>
      <c r="N132" s="4"/>
      <c r="O132" s="6">
        <f t="shared" si="24"/>
        <v>0.4368055556</v>
      </c>
      <c r="P132" s="21">
        <v>0.375</v>
      </c>
      <c r="Q132" s="8">
        <f>O132</f>
        <v>0.4368055556</v>
      </c>
    </row>
    <row r="133">
      <c r="A133" s="22" t="s">
        <v>98</v>
      </c>
      <c r="B133" s="20"/>
      <c r="C133" s="4"/>
      <c r="D133" s="19"/>
      <c r="E133" s="3"/>
      <c r="F133" s="4"/>
      <c r="G133" s="19"/>
      <c r="H133" s="4"/>
      <c r="I133" s="19"/>
      <c r="J133" s="4"/>
      <c r="K133" s="19"/>
      <c r="L133" s="4"/>
      <c r="M133" s="20"/>
      <c r="N133" s="4"/>
      <c r="O133" s="6"/>
      <c r="P133" s="21"/>
      <c r="Q133" s="8"/>
    </row>
    <row r="134">
      <c r="A134" s="18" t="s">
        <v>99</v>
      </c>
      <c r="B134" s="23"/>
      <c r="C134" s="4"/>
      <c r="D134" s="24"/>
      <c r="E134" s="3"/>
      <c r="F134" s="3"/>
      <c r="G134" s="25"/>
      <c r="H134" s="3"/>
      <c r="I134" s="26"/>
      <c r="J134" s="3"/>
      <c r="K134" s="24"/>
      <c r="L134" s="3"/>
      <c r="M134" s="24"/>
      <c r="N134" s="4"/>
      <c r="O134" s="6"/>
      <c r="P134" s="7"/>
      <c r="Q134" s="8"/>
    </row>
    <row r="135">
      <c r="O135" s="28" t="s">
        <v>10</v>
      </c>
      <c r="P135" s="7"/>
      <c r="Q135" s="14">
        <f>2+Q119+Q120+Q121+Q122+Q124+Q125+Q126+Q127+Q128+Q129+Q131+Q132+Q133</f>
        <v>4.320138889</v>
      </c>
    </row>
    <row r="136">
      <c r="O136" s="6"/>
      <c r="P136" s="7"/>
      <c r="Q136" s="8"/>
    </row>
    <row r="137">
      <c r="A137" s="1" t="s">
        <v>0</v>
      </c>
      <c r="B137" s="2" t="s">
        <v>1</v>
      </c>
      <c r="C137" s="3"/>
      <c r="D137" s="3"/>
      <c r="E137" s="3"/>
      <c r="F137" s="3"/>
      <c r="G137" s="3"/>
      <c r="H137" s="4"/>
      <c r="I137" s="1" t="s">
        <v>2</v>
      </c>
      <c r="J137" s="10" t="s">
        <v>38</v>
      </c>
      <c r="K137" s="3"/>
      <c r="L137" s="3"/>
      <c r="M137" s="3"/>
      <c r="N137" s="4"/>
      <c r="O137" s="6"/>
      <c r="P137" s="7"/>
      <c r="Q137" s="8"/>
    </row>
    <row r="138">
      <c r="A138" s="1" t="s">
        <v>4</v>
      </c>
      <c r="B138" s="37" t="s">
        <v>82</v>
      </c>
      <c r="C138" s="3"/>
      <c r="D138" s="3"/>
      <c r="E138" s="3"/>
      <c r="F138" s="3"/>
      <c r="G138" s="3"/>
      <c r="H138" s="4"/>
      <c r="I138" s="1" t="s">
        <v>6</v>
      </c>
      <c r="J138" s="10">
        <v>11.0</v>
      </c>
      <c r="K138" s="3"/>
      <c r="L138" s="3"/>
      <c r="M138" s="3"/>
      <c r="N138" s="4"/>
      <c r="O138" s="6"/>
      <c r="P138" s="7"/>
      <c r="Q138" s="8"/>
    </row>
    <row r="139">
      <c r="A139" s="11" t="s">
        <v>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4"/>
      <c r="O139" s="12" t="s">
        <v>8</v>
      </c>
      <c r="P139" s="13" t="s">
        <v>9</v>
      </c>
      <c r="Q139" s="14" t="s">
        <v>10</v>
      </c>
    </row>
    <row r="140">
      <c r="A140" s="15" t="s">
        <v>11</v>
      </c>
      <c r="B140" s="2" t="s">
        <v>12</v>
      </c>
      <c r="C140" s="3"/>
      <c r="D140" s="3"/>
      <c r="E140" s="3"/>
      <c r="F140" s="4"/>
      <c r="G140" s="2" t="s">
        <v>13</v>
      </c>
      <c r="H140" s="3"/>
      <c r="I140" s="3"/>
      <c r="J140" s="3"/>
      <c r="K140" s="10" t="s">
        <v>14</v>
      </c>
      <c r="L140" s="3"/>
      <c r="M140" s="3"/>
      <c r="N140" s="4"/>
      <c r="O140" s="6"/>
      <c r="P140" s="7"/>
      <c r="Q140" s="8"/>
    </row>
    <row r="141">
      <c r="A141" s="16"/>
      <c r="B141" s="17" t="s">
        <v>15</v>
      </c>
      <c r="C141" s="4"/>
      <c r="D141" s="17" t="s">
        <v>16</v>
      </c>
      <c r="E141" s="3"/>
      <c r="F141" s="4"/>
      <c r="G141" s="17" t="s">
        <v>15</v>
      </c>
      <c r="H141" s="4"/>
      <c r="I141" s="17" t="s">
        <v>16</v>
      </c>
      <c r="J141" s="4"/>
      <c r="K141" s="17" t="s">
        <v>15</v>
      </c>
      <c r="L141" s="4"/>
      <c r="M141" s="17" t="s">
        <v>16</v>
      </c>
      <c r="N141" s="4"/>
      <c r="O141" s="6"/>
      <c r="P141" s="7"/>
      <c r="Q141" s="8"/>
    </row>
    <row r="142">
      <c r="A142" s="22" t="s">
        <v>83</v>
      </c>
      <c r="B142" s="20"/>
      <c r="C142" s="4"/>
      <c r="D142" s="19"/>
      <c r="E142" s="3"/>
      <c r="F142" s="4"/>
      <c r="G142" s="19"/>
      <c r="H142" s="4"/>
      <c r="I142" s="20"/>
      <c r="J142" s="4"/>
      <c r="K142" s="19"/>
      <c r="L142" s="4"/>
      <c r="M142" s="19"/>
      <c r="N142" s="4"/>
      <c r="O142" s="6">
        <f>I142-B142</f>
        <v>0</v>
      </c>
      <c r="P142" s="21">
        <v>0.3541666666666667</v>
      </c>
      <c r="Q142" s="8"/>
    </row>
    <row r="143">
      <c r="A143" s="18" t="s">
        <v>84</v>
      </c>
      <c r="B143" s="20"/>
      <c r="C143" s="4"/>
      <c r="D143" s="19"/>
      <c r="E143" s="3"/>
      <c r="F143" s="4"/>
      <c r="G143" s="19"/>
      <c r="H143" s="4"/>
      <c r="I143" s="19"/>
      <c r="J143" s="4"/>
      <c r="K143" s="19"/>
      <c r="L143" s="4"/>
      <c r="M143" s="20"/>
      <c r="N143" s="4"/>
      <c r="O143" s="6">
        <f>M143-B143</f>
        <v>0</v>
      </c>
      <c r="P143" s="21">
        <v>0.3541666666666667</v>
      </c>
      <c r="Q143" s="8"/>
    </row>
    <row r="144">
      <c r="A144" s="18" t="s">
        <v>85</v>
      </c>
      <c r="B144" s="23"/>
      <c r="C144" s="4"/>
      <c r="D144" s="24"/>
      <c r="E144" s="3"/>
      <c r="F144" s="3"/>
      <c r="G144" s="25"/>
      <c r="H144" s="3"/>
      <c r="I144" s="26"/>
      <c r="J144" s="3"/>
      <c r="K144" s="24"/>
      <c r="L144" s="3"/>
      <c r="M144" s="24"/>
      <c r="N144" s="4"/>
      <c r="O144" s="6"/>
      <c r="P144" s="7"/>
      <c r="Q144" s="8"/>
    </row>
    <row r="145">
      <c r="A145" s="18" t="s">
        <v>86</v>
      </c>
      <c r="B145" s="20"/>
      <c r="C145" s="4"/>
      <c r="D145" s="20"/>
      <c r="E145" s="3"/>
      <c r="F145" s="4"/>
      <c r="G145" s="19"/>
      <c r="H145" s="4"/>
      <c r="I145" s="19"/>
      <c r="J145" s="4"/>
      <c r="K145" s="19"/>
      <c r="L145" s="4"/>
      <c r="M145" s="19"/>
      <c r="N145" s="4"/>
      <c r="O145" s="6">
        <f>D145-B145</f>
        <v>0</v>
      </c>
      <c r="P145" s="21">
        <v>0.3541666666666667</v>
      </c>
      <c r="Q145" s="8"/>
    </row>
    <row r="146">
      <c r="A146" s="18" t="s">
        <v>88</v>
      </c>
      <c r="B146" s="19"/>
      <c r="C146" s="4"/>
      <c r="D146" s="19"/>
      <c r="E146" s="3"/>
      <c r="F146" s="4"/>
      <c r="G146" s="19"/>
      <c r="H146" s="4"/>
      <c r="I146" s="19"/>
      <c r="J146" s="4"/>
      <c r="K146" s="19"/>
      <c r="L146" s="4"/>
      <c r="M146" s="19"/>
      <c r="N146" s="4"/>
      <c r="O146" s="6"/>
      <c r="P146" s="7"/>
      <c r="Q146" s="8"/>
    </row>
    <row r="147">
      <c r="A147" s="18" t="s">
        <v>89</v>
      </c>
      <c r="B147" s="20"/>
      <c r="C147" s="4"/>
      <c r="D147" s="19"/>
      <c r="E147" s="3"/>
      <c r="F147" s="4"/>
      <c r="G147" s="19"/>
      <c r="H147" s="4"/>
      <c r="I147" s="19"/>
      <c r="J147" s="4"/>
      <c r="K147" s="19"/>
      <c r="L147" s="4"/>
      <c r="M147" s="20"/>
      <c r="N147" s="4"/>
      <c r="O147" s="6">
        <f>M147-B147</f>
        <v>0</v>
      </c>
      <c r="P147" s="21">
        <v>0.3541666666666667</v>
      </c>
      <c r="Q147" s="8"/>
    </row>
    <row r="148">
      <c r="A148" s="22" t="s">
        <v>90</v>
      </c>
      <c r="B148" s="20"/>
      <c r="C148" s="4"/>
      <c r="D148" s="19"/>
      <c r="E148" s="3"/>
      <c r="F148" s="4"/>
      <c r="G148" s="19"/>
      <c r="H148" s="4"/>
      <c r="I148" s="19"/>
      <c r="J148" s="4"/>
      <c r="K148" s="20"/>
      <c r="L148" s="4"/>
      <c r="M148" s="19"/>
      <c r="N148" s="4"/>
      <c r="O148" s="6">
        <f>K148-B148</f>
        <v>0</v>
      </c>
      <c r="P148" s="21">
        <v>0.3541666666666667</v>
      </c>
      <c r="Q148" s="8"/>
    </row>
    <row r="149">
      <c r="A149" s="22" t="s">
        <v>91</v>
      </c>
      <c r="B149" s="20"/>
      <c r="C149" s="4"/>
      <c r="D149" s="19"/>
      <c r="E149" s="3"/>
      <c r="F149" s="4"/>
      <c r="G149" s="20"/>
      <c r="H149" s="4"/>
      <c r="I149" s="19"/>
      <c r="J149" s="4"/>
      <c r="K149" s="19"/>
      <c r="L149" s="4"/>
      <c r="M149" s="19"/>
      <c r="N149" s="4"/>
      <c r="O149" s="6">
        <f t="shared" ref="O149:O150" si="26">G149-B149</f>
        <v>0</v>
      </c>
      <c r="P149" s="21">
        <v>0.3541666666666667</v>
      </c>
      <c r="Q149" s="8"/>
    </row>
    <row r="150">
      <c r="A150" s="18" t="s">
        <v>92</v>
      </c>
      <c r="B150" s="20"/>
      <c r="C150" s="4"/>
      <c r="D150" s="19"/>
      <c r="E150" s="3"/>
      <c r="F150" s="4"/>
      <c r="G150" s="20"/>
      <c r="H150" s="4"/>
      <c r="I150" s="19"/>
      <c r="J150" s="4"/>
      <c r="K150" s="19"/>
      <c r="L150" s="4"/>
      <c r="M150" s="19"/>
      <c r="N150" s="4"/>
      <c r="O150" s="6">
        <f t="shared" si="26"/>
        <v>0</v>
      </c>
      <c r="P150" s="21">
        <v>0.3541666666666667</v>
      </c>
      <c r="Q150" s="8"/>
    </row>
    <row r="151">
      <c r="A151" s="18" t="s">
        <v>93</v>
      </c>
      <c r="B151" s="23"/>
      <c r="C151" s="4"/>
      <c r="D151" s="24"/>
      <c r="E151" s="3"/>
      <c r="F151" s="3"/>
      <c r="G151" s="25"/>
      <c r="H151" s="3"/>
      <c r="I151" s="26"/>
      <c r="J151" s="3"/>
      <c r="K151" s="24"/>
      <c r="L151" s="3"/>
      <c r="M151" s="24"/>
      <c r="N151" s="4"/>
      <c r="O151" s="6"/>
      <c r="P151" s="7"/>
      <c r="Q151" s="8"/>
    </row>
    <row r="152">
      <c r="A152" s="18" t="s">
        <v>94</v>
      </c>
      <c r="B152" s="20"/>
      <c r="C152" s="4"/>
      <c r="D152" s="20"/>
      <c r="E152" s="3"/>
      <c r="F152" s="4"/>
      <c r="G152" s="19"/>
      <c r="H152" s="4"/>
      <c r="I152" s="19"/>
      <c r="J152" s="4"/>
      <c r="K152" s="19"/>
      <c r="L152" s="4"/>
      <c r="M152" s="19"/>
      <c r="N152" s="4"/>
      <c r="O152" s="6">
        <f>D152-B152</f>
        <v>0</v>
      </c>
      <c r="P152" s="21">
        <v>0.3541666666666667</v>
      </c>
      <c r="Q152" s="8"/>
    </row>
    <row r="153">
      <c r="A153" s="18" t="s">
        <v>95</v>
      </c>
      <c r="B153" s="19"/>
      <c r="C153" s="4"/>
      <c r="D153" s="19"/>
      <c r="E153" s="3"/>
      <c r="F153" s="4"/>
      <c r="G153" s="19"/>
      <c r="H153" s="4"/>
      <c r="I153" s="19"/>
      <c r="J153" s="4"/>
      <c r="K153" s="19"/>
      <c r="L153" s="4"/>
      <c r="M153" s="19"/>
      <c r="N153" s="4"/>
      <c r="O153" s="6"/>
      <c r="P153" s="7"/>
      <c r="Q153" s="8"/>
    </row>
    <row r="154">
      <c r="A154" s="18" t="s">
        <v>96</v>
      </c>
      <c r="B154" s="20">
        <v>0.19375</v>
      </c>
      <c r="C154" s="4"/>
      <c r="D154" s="20">
        <v>0.63125</v>
      </c>
      <c r="E154" s="3"/>
      <c r="F154" s="4"/>
      <c r="G154" s="20"/>
      <c r="H154" s="4"/>
      <c r="I154" s="19"/>
      <c r="J154" s="4"/>
      <c r="K154" s="19"/>
      <c r="L154" s="4"/>
      <c r="M154" s="19"/>
      <c r="N154" s="4"/>
      <c r="O154" s="6">
        <f t="shared" ref="O154:O155" si="27">D154-B154</f>
        <v>0.4375</v>
      </c>
      <c r="P154" s="21">
        <v>0.3541666666666667</v>
      </c>
      <c r="Q154" s="8">
        <f t="shared" ref="Q154:Q155" si="28">O154-P154</f>
        <v>0.08333333333</v>
      </c>
    </row>
    <row r="155">
      <c r="A155" s="22" t="s">
        <v>97</v>
      </c>
      <c r="B155" s="33">
        <v>0.3701388888888889</v>
      </c>
      <c r="C155" s="4"/>
      <c r="D155" s="34">
        <v>0.8118055555555556</v>
      </c>
      <c r="E155" s="3"/>
      <c r="F155" s="3"/>
      <c r="G155" s="25"/>
      <c r="H155" s="3"/>
      <c r="I155" s="26"/>
      <c r="J155" s="3"/>
      <c r="K155" s="24"/>
      <c r="L155" s="3"/>
      <c r="M155" s="24"/>
      <c r="N155" s="4"/>
      <c r="O155" s="6">
        <f t="shared" si="27"/>
        <v>0.4416666667</v>
      </c>
      <c r="P155" s="21">
        <v>0.3541666666666667</v>
      </c>
      <c r="Q155" s="8">
        <f t="shared" si="28"/>
        <v>0.0875</v>
      </c>
    </row>
    <row r="156">
      <c r="A156" s="22" t="s">
        <v>98</v>
      </c>
      <c r="B156" s="20"/>
      <c r="C156" s="4"/>
      <c r="D156" s="19"/>
      <c r="E156" s="3"/>
      <c r="F156" s="4"/>
      <c r="G156" s="20"/>
      <c r="H156" s="4"/>
      <c r="I156" s="19"/>
      <c r="J156" s="4"/>
      <c r="K156" s="19"/>
      <c r="L156" s="4"/>
      <c r="M156" s="19"/>
      <c r="N156" s="4"/>
      <c r="O156" s="6">
        <f>G156-B156</f>
        <v>0</v>
      </c>
      <c r="P156" s="21">
        <v>0.3541666666666667</v>
      </c>
      <c r="Q156" s="8"/>
    </row>
    <row r="157">
      <c r="A157" s="18" t="s">
        <v>99</v>
      </c>
      <c r="B157" s="20"/>
      <c r="C157" s="4"/>
      <c r="D157" s="19"/>
      <c r="E157" s="3"/>
      <c r="F157" s="4"/>
      <c r="G157" s="19"/>
      <c r="H157" s="4"/>
      <c r="I157" s="19"/>
      <c r="J157" s="4"/>
      <c r="K157" s="19"/>
      <c r="L157" s="4"/>
      <c r="M157" s="19"/>
      <c r="N157" s="4"/>
      <c r="O157" s="6"/>
      <c r="P157" s="21">
        <v>0.3541666666666667</v>
      </c>
      <c r="Q157" s="8"/>
    </row>
    <row r="158">
      <c r="O158" s="28" t="s">
        <v>10</v>
      </c>
      <c r="P158" s="7"/>
      <c r="Q158" s="8">
        <f>Q154+Q155</f>
        <v>0.1708333333</v>
      </c>
    </row>
    <row r="159">
      <c r="O159" s="6"/>
      <c r="P159" s="7"/>
      <c r="Q159" s="8"/>
    </row>
    <row r="160">
      <c r="A160" s="1" t="s">
        <v>0</v>
      </c>
      <c r="B160" s="2" t="s">
        <v>1</v>
      </c>
      <c r="C160" s="3"/>
      <c r="D160" s="3"/>
      <c r="E160" s="3"/>
      <c r="F160" s="3"/>
      <c r="G160" s="3"/>
      <c r="H160" s="4"/>
      <c r="I160" s="1" t="s">
        <v>2</v>
      </c>
      <c r="J160" s="10" t="s">
        <v>39</v>
      </c>
      <c r="K160" s="3"/>
      <c r="L160" s="3"/>
      <c r="M160" s="3"/>
      <c r="N160" s="4"/>
      <c r="O160" s="6"/>
      <c r="P160" s="7"/>
      <c r="Q160" s="8"/>
    </row>
    <row r="161">
      <c r="A161" s="1" t="s">
        <v>4</v>
      </c>
      <c r="B161" s="9" t="s">
        <v>5</v>
      </c>
      <c r="C161" s="3"/>
      <c r="D161" s="3"/>
      <c r="E161" s="3"/>
      <c r="F161" s="3"/>
      <c r="G161" s="3"/>
      <c r="H161" s="4"/>
      <c r="I161" s="1" t="s">
        <v>6</v>
      </c>
      <c r="J161" s="10">
        <v>12.0</v>
      </c>
      <c r="K161" s="3"/>
      <c r="L161" s="3"/>
      <c r="M161" s="3"/>
      <c r="N161" s="4"/>
      <c r="O161" s="6"/>
      <c r="P161" s="7"/>
      <c r="Q161" s="8"/>
    </row>
    <row r="162">
      <c r="A162" s="11" t="s">
        <v>7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4"/>
      <c r="O162" s="12" t="s">
        <v>8</v>
      </c>
      <c r="P162" s="13" t="s">
        <v>9</v>
      </c>
      <c r="Q162" s="14" t="s">
        <v>10</v>
      </c>
    </row>
    <row r="163">
      <c r="A163" s="15" t="s">
        <v>11</v>
      </c>
      <c r="B163" s="2" t="s">
        <v>12</v>
      </c>
      <c r="C163" s="3"/>
      <c r="D163" s="3"/>
      <c r="E163" s="3"/>
      <c r="F163" s="4"/>
      <c r="G163" s="2" t="s">
        <v>13</v>
      </c>
      <c r="H163" s="3"/>
      <c r="I163" s="3"/>
      <c r="J163" s="3"/>
      <c r="K163" s="10" t="s">
        <v>14</v>
      </c>
      <c r="L163" s="3"/>
      <c r="M163" s="3"/>
      <c r="N163" s="4"/>
      <c r="O163" s="6"/>
      <c r="P163" s="7"/>
      <c r="Q163" s="8"/>
    </row>
    <row r="164">
      <c r="A164" s="16"/>
      <c r="B164" s="17" t="s">
        <v>15</v>
      </c>
      <c r="C164" s="4"/>
      <c r="D164" s="17" t="s">
        <v>16</v>
      </c>
      <c r="E164" s="3"/>
      <c r="F164" s="4"/>
      <c r="G164" s="17" t="s">
        <v>15</v>
      </c>
      <c r="H164" s="4"/>
      <c r="I164" s="17" t="s">
        <v>16</v>
      </c>
      <c r="J164" s="4"/>
      <c r="K164" s="17" t="s">
        <v>15</v>
      </c>
      <c r="L164" s="4"/>
      <c r="M164" s="17" t="s">
        <v>16</v>
      </c>
      <c r="N164" s="4"/>
      <c r="O164" s="6"/>
      <c r="P164" s="7"/>
      <c r="Q164" s="8"/>
    </row>
    <row r="165">
      <c r="A165" s="18" t="s">
        <v>17</v>
      </c>
      <c r="B165" s="23"/>
      <c r="C165" s="4"/>
      <c r="D165" s="24"/>
      <c r="E165" s="3"/>
      <c r="F165" s="3"/>
      <c r="G165" s="25"/>
      <c r="H165" s="3"/>
      <c r="I165" s="26"/>
      <c r="J165" s="3"/>
      <c r="K165" s="24"/>
      <c r="L165" s="3"/>
      <c r="M165" s="24"/>
      <c r="N165" s="4"/>
      <c r="O165" s="6"/>
      <c r="P165" s="21">
        <v>0.3541666666666667</v>
      </c>
      <c r="Q165" s="8"/>
    </row>
    <row r="166">
      <c r="A166" s="18" t="s">
        <v>18</v>
      </c>
      <c r="B166" s="20"/>
      <c r="C166" s="4"/>
      <c r="D166" s="19"/>
      <c r="E166" s="3"/>
      <c r="F166" s="4"/>
      <c r="G166" s="20"/>
      <c r="H166" s="4"/>
      <c r="I166" s="19"/>
      <c r="J166" s="4"/>
      <c r="K166" s="19"/>
      <c r="L166" s="4"/>
      <c r="M166" s="19"/>
      <c r="N166" s="4"/>
      <c r="O166" s="6">
        <f t="shared" ref="O166:O167" si="29">G166-B166</f>
        <v>0</v>
      </c>
      <c r="P166" s="21">
        <v>0.3541666666666667</v>
      </c>
      <c r="Q166" s="8">
        <f t="shared" ref="Q166:Q168" si="30">O166-P166</f>
        <v>-0.3541666667</v>
      </c>
    </row>
    <row r="167">
      <c r="A167" s="18" t="s">
        <v>19</v>
      </c>
      <c r="B167" s="20"/>
      <c r="C167" s="4"/>
      <c r="D167" s="19"/>
      <c r="E167" s="3"/>
      <c r="F167" s="4"/>
      <c r="G167" s="20"/>
      <c r="H167" s="4"/>
      <c r="I167" s="19"/>
      <c r="J167" s="4"/>
      <c r="K167" s="19"/>
      <c r="L167" s="4"/>
      <c r="M167" s="19"/>
      <c r="N167" s="4"/>
      <c r="O167" s="6">
        <f t="shared" si="29"/>
        <v>0</v>
      </c>
      <c r="P167" s="21">
        <v>0.3541666666666667</v>
      </c>
      <c r="Q167" s="8">
        <f t="shared" si="30"/>
        <v>-0.3541666667</v>
      </c>
    </row>
    <row r="168">
      <c r="A168" s="22" t="s">
        <v>20</v>
      </c>
      <c r="B168" s="20"/>
      <c r="C168" s="4"/>
      <c r="D168" s="20"/>
      <c r="E168" s="3"/>
      <c r="F168" s="4"/>
      <c r="G168" s="19"/>
      <c r="H168" s="4"/>
      <c r="I168" s="19"/>
      <c r="J168" s="4"/>
      <c r="K168" s="19"/>
      <c r="L168" s="4"/>
      <c r="M168" s="19"/>
      <c r="N168" s="4"/>
      <c r="O168" s="6">
        <f>D168-B168</f>
        <v>0</v>
      </c>
      <c r="P168" s="21">
        <v>0.3541666666666667</v>
      </c>
      <c r="Q168" s="8">
        <f t="shared" si="30"/>
        <v>-0.3541666667</v>
      </c>
    </row>
    <row r="169">
      <c r="A169" s="22" t="s">
        <v>21</v>
      </c>
      <c r="B169" s="19"/>
      <c r="C169" s="4"/>
      <c r="D169" s="19"/>
      <c r="E169" s="3"/>
      <c r="F169" s="4"/>
      <c r="G169" s="19"/>
      <c r="H169" s="4"/>
      <c r="I169" s="19"/>
      <c r="J169" s="4"/>
      <c r="K169" s="19"/>
      <c r="L169" s="4"/>
      <c r="M169" s="19"/>
      <c r="N169" s="4"/>
      <c r="O169" s="6"/>
      <c r="P169" s="7"/>
      <c r="Q169" s="8"/>
    </row>
    <row r="170">
      <c r="A170" s="18" t="s">
        <v>22</v>
      </c>
      <c r="B170" s="20"/>
      <c r="C170" s="4"/>
      <c r="D170" s="19"/>
      <c r="E170" s="3"/>
      <c r="F170" s="4"/>
      <c r="G170" s="20"/>
      <c r="H170" s="4"/>
      <c r="I170" s="19"/>
      <c r="J170" s="4"/>
      <c r="K170" s="19"/>
      <c r="L170" s="4"/>
      <c r="M170" s="19"/>
      <c r="N170" s="4"/>
      <c r="O170" s="6">
        <f t="shared" ref="O170:O171" si="31">G170-B170</f>
        <v>0</v>
      </c>
      <c r="P170" s="21">
        <v>0.3541666666666667</v>
      </c>
      <c r="Q170" s="8">
        <f>O170-P170</f>
        <v>-0.3541666667</v>
      </c>
    </row>
    <row r="171">
      <c r="A171" s="18" t="s">
        <v>23</v>
      </c>
      <c r="B171" s="20"/>
      <c r="C171" s="4"/>
      <c r="D171" s="19"/>
      <c r="E171" s="3"/>
      <c r="F171" s="4"/>
      <c r="G171" s="20"/>
      <c r="H171" s="4"/>
      <c r="I171" s="19"/>
      <c r="J171" s="4"/>
      <c r="K171" s="19"/>
      <c r="L171" s="4"/>
      <c r="M171" s="19"/>
      <c r="N171" s="4"/>
      <c r="O171" s="6">
        <f t="shared" si="31"/>
        <v>0</v>
      </c>
      <c r="P171" s="21">
        <v>0.3541666666666667</v>
      </c>
      <c r="Q171" s="8">
        <f>P171-O171</f>
        <v>0.3541666667</v>
      </c>
    </row>
    <row r="172">
      <c r="A172" s="18" t="s">
        <v>24</v>
      </c>
      <c r="B172" s="20"/>
      <c r="C172" s="4"/>
      <c r="D172" s="19"/>
      <c r="E172" s="3"/>
      <c r="F172" s="4"/>
      <c r="G172" s="19"/>
      <c r="H172" s="4"/>
      <c r="I172" s="20"/>
      <c r="J172" s="4"/>
      <c r="K172" s="19"/>
      <c r="L172" s="4"/>
      <c r="M172" s="19"/>
      <c r="N172" s="4"/>
      <c r="O172" s="6">
        <f t="shared" ref="O172:O173" si="32">I172-B172</f>
        <v>0</v>
      </c>
      <c r="P172" s="21">
        <v>0.3541666666666667</v>
      </c>
      <c r="Q172" s="8">
        <f t="shared" ref="Q172:Q174" si="33">O172-P172</f>
        <v>-0.3541666667</v>
      </c>
    </row>
    <row r="173">
      <c r="A173" s="18" t="s">
        <v>25</v>
      </c>
      <c r="B173" s="20"/>
      <c r="C173" s="4"/>
      <c r="D173" s="19"/>
      <c r="E173" s="3"/>
      <c r="F173" s="4"/>
      <c r="G173" s="19"/>
      <c r="H173" s="4"/>
      <c r="I173" s="20"/>
      <c r="J173" s="4"/>
      <c r="K173" s="19"/>
      <c r="L173" s="4"/>
      <c r="M173" s="19"/>
      <c r="N173" s="4"/>
      <c r="O173" s="6">
        <f t="shared" si="32"/>
        <v>0</v>
      </c>
      <c r="P173" s="21">
        <v>0.3541666666666667</v>
      </c>
      <c r="Q173" s="8">
        <f t="shared" si="33"/>
        <v>-0.3541666667</v>
      </c>
    </row>
    <row r="174">
      <c r="A174" s="18" t="s">
        <v>26</v>
      </c>
      <c r="B174" s="19"/>
      <c r="C174" s="4"/>
      <c r="D174" s="20"/>
      <c r="E174" s="3"/>
      <c r="F174" s="4"/>
      <c r="G174" s="19"/>
      <c r="H174" s="4"/>
      <c r="I174" s="19"/>
      <c r="J174" s="4"/>
      <c r="K174" s="19"/>
      <c r="L174" s="4"/>
      <c r="M174" s="20"/>
      <c r="N174" s="4"/>
      <c r="O174" s="6">
        <f>M174-D174</f>
        <v>0</v>
      </c>
      <c r="P174" s="21">
        <v>0.3541666666666667</v>
      </c>
      <c r="Q174" s="8">
        <f t="shared" si="33"/>
        <v>-0.3541666667</v>
      </c>
    </row>
    <row r="175">
      <c r="A175" s="22" t="s">
        <v>27</v>
      </c>
      <c r="B175" s="19"/>
      <c r="C175" s="4"/>
      <c r="D175" s="19"/>
      <c r="E175" s="3"/>
      <c r="F175" s="4"/>
      <c r="G175" s="19"/>
      <c r="H175" s="4"/>
      <c r="I175" s="19"/>
      <c r="J175" s="4"/>
      <c r="K175" s="19"/>
      <c r="L175" s="4"/>
      <c r="M175" s="19"/>
      <c r="N175" s="4"/>
      <c r="O175" s="6"/>
      <c r="P175" s="21"/>
      <c r="Q175" s="8"/>
    </row>
    <row r="176">
      <c r="A176" s="22" t="s">
        <v>28</v>
      </c>
      <c r="B176" s="19"/>
      <c r="C176" s="4"/>
      <c r="D176" s="19"/>
      <c r="E176" s="3"/>
      <c r="F176" s="4"/>
      <c r="G176" s="19"/>
      <c r="H176" s="4"/>
      <c r="I176" s="19"/>
      <c r="J176" s="4"/>
      <c r="K176" s="19"/>
      <c r="L176" s="4"/>
      <c r="M176" s="19"/>
      <c r="N176" s="4"/>
      <c r="O176" s="6"/>
      <c r="P176" s="7"/>
      <c r="Q176" s="8"/>
    </row>
    <row r="177">
      <c r="A177" s="18" t="s">
        <v>29</v>
      </c>
      <c r="B177" s="20"/>
      <c r="C177" s="4"/>
      <c r="D177" s="19"/>
      <c r="E177" s="3"/>
      <c r="F177" s="4"/>
      <c r="G177" s="19"/>
      <c r="H177" s="4"/>
      <c r="I177" s="19"/>
      <c r="J177" s="4"/>
      <c r="K177" s="20"/>
      <c r="L177" s="4"/>
      <c r="M177" s="19"/>
      <c r="N177" s="4"/>
      <c r="O177" s="6">
        <f>K177-B177</f>
        <v>0</v>
      </c>
      <c r="P177" s="21">
        <v>0.3541666666666667</v>
      </c>
      <c r="Q177" s="8">
        <f t="shared" ref="Q177:Q179" si="34">O177-P177</f>
        <v>-0.3541666667</v>
      </c>
    </row>
    <row r="178">
      <c r="A178" s="18" t="s">
        <v>30</v>
      </c>
      <c r="B178" s="20"/>
      <c r="C178" s="4"/>
      <c r="D178" s="19"/>
      <c r="E178" s="3"/>
      <c r="F178" s="4"/>
      <c r="G178" s="19"/>
      <c r="H178" s="4"/>
      <c r="I178" s="20"/>
      <c r="J178" s="4"/>
      <c r="K178" s="19"/>
      <c r="L178" s="4"/>
      <c r="M178" s="19"/>
      <c r="N178" s="4"/>
      <c r="O178" s="6">
        <f>I178-B178</f>
        <v>0</v>
      </c>
      <c r="P178" s="21">
        <v>0.3541666666666667</v>
      </c>
      <c r="Q178" s="8">
        <f t="shared" si="34"/>
        <v>-0.3541666667</v>
      </c>
    </row>
    <row r="179">
      <c r="A179" s="18" t="s">
        <v>31</v>
      </c>
      <c r="B179" s="19"/>
      <c r="C179" s="4"/>
      <c r="D179" s="20"/>
      <c r="E179" s="3"/>
      <c r="F179" s="4"/>
      <c r="G179" s="19"/>
      <c r="H179" s="4"/>
      <c r="I179" s="19"/>
      <c r="J179" s="4"/>
      <c r="K179" s="19"/>
      <c r="L179" s="4"/>
      <c r="M179" s="20"/>
      <c r="N179" s="4"/>
      <c r="O179" s="6">
        <f>M179-D179</f>
        <v>0</v>
      </c>
      <c r="P179" s="21">
        <v>0.3541666666666667</v>
      </c>
      <c r="Q179" s="8">
        <f t="shared" si="34"/>
        <v>-0.3541666667</v>
      </c>
    </row>
    <row r="180">
      <c r="A180" s="18" t="s">
        <v>32</v>
      </c>
      <c r="B180" s="23"/>
      <c r="C180" s="4"/>
      <c r="D180" s="24"/>
      <c r="E180" s="3"/>
      <c r="F180" s="3"/>
      <c r="G180" s="25"/>
      <c r="H180" s="3"/>
      <c r="I180" s="26"/>
      <c r="J180" s="3"/>
      <c r="K180" s="24"/>
      <c r="L180" s="3"/>
      <c r="M180" s="24"/>
      <c r="N180" s="4"/>
      <c r="O180" s="6"/>
      <c r="P180" s="7"/>
      <c r="Q180" s="8"/>
    </row>
    <row r="181">
      <c r="O181" s="28" t="s">
        <v>10</v>
      </c>
      <c r="P181" s="7"/>
      <c r="Q181" s="8">
        <f>Q174+Q177+Q178+Q179</f>
        <v>-1.416666667</v>
      </c>
    </row>
    <row r="182">
      <c r="O182" s="6"/>
      <c r="P182" s="7"/>
      <c r="Q182" s="8"/>
    </row>
    <row r="183">
      <c r="A183" s="1" t="s">
        <v>0</v>
      </c>
      <c r="B183" s="2" t="s">
        <v>1</v>
      </c>
      <c r="C183" s="3"/>
      <c r="D183" s="3"/>
      <c r="E183" s="3"/>
      <c r="F183" s="3"/>
      <c r="G183" s="3"/>
      <c r="H183" s="4"/>
      <c r="I183" s="1" t="s">
        <v>2</v>
      </c>
      <c r="J183" s="10" t="s">
        <v>40</v>
      </c>
      <c r="K183" s="3"/>
      <c r="L183" s="3"/>
      <c r="M183" s="3"/>
      <c r="N183" s="4"/>
      <c r="O183" s="6"/>
      <c r="P183" s="7"/>
      <c r="Q183" s="8"/>
    </row>
    <row r="184">
      <c r="A184" s="1" t="s">
        <v>4</v>
      </c>
      <c r="B184" s="37" t="s">
        <v>82</v>
      </c>
      <c r="C184" s="3"/>
      <c r="D184" s="3"/>
      <c r="E184" s="3"/>
      <c r="F184" s="3"/>
      <c r="G184" s="3"/>
      <c r="H184" s="4"/>
      <c r="I184" s="1" t="s">
        <v>6</v>
      </c>
      <c r="J184" s="10">
        <v>13.0</v>
      </c>
      <c r="K184" s="3"/>
      <c r="L184" s="3"/>
      <c r="M184" s="3"/>
      <c r="N184" s="4"/>
      <c r="O184" s="6"/>
      <c r="P184" s="7"/>
      <c r="Q184" s="8"/>
    </row>
    <row r="185">
      <c r="A185" s="11" t="s">
        <v>7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4"/>
      <c r="O185" s="12" t="s">
        <v>8</v>
      </c>
      <c r="P185" s="13" t="s">
        <v>9</v>
      </c>
      <c r="Q185" s="14" t="s">
        <v>10</v>
      </c>
      <c r="R185" s="48" t="s">
        <v>100</v>
      </c>
    </row>
    <row r="186">
      <c r="A186" s="15" t="s">
        <v>11</v>
      </c>
      <c r="B186" s="2" t="s">
        <v>12</v>
      </c>
      <c r="C186" s="3"/>
      <c r="D186" s="3"/>
      <c r="E186" s="3"/>
      <c r="F186" s="4"/>
      <c r="G186" s="2" t="s">
        <v>13</v>
      </c>
      <c r="H186" s="3"/>
      <c r="I186" s="3"/>
      <c r="J186" s="3"/>
      <c r="K186" s="10" t="s">
        <v>14</v>
      </c>
      <c r="L186" s="3"/>
      <c r="M186" s="3"/>
      <c r="N186" s="4"/>
      <c r="O186" s="6"/>
      <c r="P186" s="7"/>
      <c r="Q186" s="8"/>
    </row>
    <row r="187">
      <c r="A187" s="16"/>
      <c r="B187" s="17" t="s">
        <v>15</v>
      </c>
      <c r="C187" s="4"/>
      <c r="D187" s="17" t="s">
        <v>16</v>
      </c>
      <c r="E187" s="3"/>
      <c r="F187" s="4"/>
      <c r="G187" s="17" t="s">
        <v>15</v>
      </c>
      <c r="H187" s="4"/>
      <c r="I187" s="17" t="s">
        <v>16</v>
      </c>
      <c r="J187" s="4"/>
      <c r="K187" s="17" t="s">
        <v>15</v>
      </c>
      <c r="L187" s="4"/>
      <c r="M187" s="17" t="s">
        <v>16</v>
      </c>
      <c r="N187" s="4"/>
      <c r="O187" s="6"/>
      <c r="P187" s="7"/>
      <c r="Q187" s="8"/>
    </row>
    <row r="188">
      <c r="A188" s="22" t="s">
        <v>83</v>
      </c>
      <c r="B188" s="23"/>
      <c r="C188" s="4"/>
      <c r="D188" s="24"/>
      <c r="E188" s="3"/>
      <c r="F188" s="3"/>
      <c r="G188" s="25"/>
      <c r="H188" s="3"/>
      <c r="I188" s="26"/>
      <c r="J188" s="3"/>
      <c r="K188" s="24"/>
      <c r="L188" s="3"/>
      <c r="M188" s="24"/>
      <c r="N188" s="4"/>
      <c r="O188" s="6"/>
      <c r="P188" s="21"/>
      <c r="Q188" s="8"/>
    </row>
    <row r="189">
      <c r="A189" s="18" t="s">
        <v>84</v>
      </c>
      <c r="B189" s="20">
        <v>0.5763888888888888</v>
      </c>
      <c r="C189" s="4"/>
      <c r="D189" s="20">
        <v>0.8645833333333334</v>
      </c>
      <c r="E189" s="3"/>
      <c r="F189" s="4"/>
      <c r="G189" s="20"/>
      <c r="H189" s="4"/>
      <c r="I189" s="19"/>
      <c r="J189" s="4"/>
      <c r="K189" s="19"/>
      <c r="L189" s="4"/>
      <c r="M189" s="20"/>
      <c r="N189" s="4"/>
      <c r="O189" s="6">
        <f t="shared" ref="O189:O190" si="35">D189-B189</f>
        <v>0.2881944444</v>
      </c>
      <c r="P189" s="21">
        <v>0.3541666666666667</v>
      </c>
      <c r="Q189" s="8"/>
      <c r="R189" s="48">
        <v>45.0</v>
      </c>
    </row>
    <row r="190">
      <c r="A190" s="18" t="s">
        <v>85</v>
      </c>
      <c r="B190" s="20">
        <v>0.5784722222222223</v>
      </c>
      <c r="C190" s="4"/>
      <c r="D190" s="20">
        <v>0.85</v>
      </c>
      <c r="E190" s="3"/>
      <c r="F190" s="4"/>
      <c r="G190" s="19"/>
      <c r="H190" s="4"/>
      <c r="I190" s="19"/>
      <c r="J190" s="4"/>
      <c r="K190" s="19"/>
      <c r="L190" s="4"/>
      <c r="M190" s="20"/>
      <c r="N190" s="4"/>
      <c r="O190" s="6">
        <f t="shared" si="35"/>
        <v>0.2715277778</v>
      </c>
      <c r="P190" s="21">
        <v>0.3541666666666667</v>
      </c>
      <c r="Q190" s="8"/>
      <c r="R190" s="48">
        <v>48.0</v>
      </c>
    </row>
    <row r="191">
      <c r="A191" s="18" t="s">
        <v>86</v>
      </c>
      <c r="B191" s="20"/>
      <c r="C191" s="4"/>
      <c r="D191" s="20"/>
      <c r="E191" s="3"/>
      <c r="F191" s="4"/>
      <c r="G191" s="19"/>
      <c r="H191" s="4"/>
      <c r="I191" s="19"/>
      <c r="J191" s="4"/>
      <c r="K191" s="19"/>
      <c r="L191" s="4"/>
      <c r="M191" s="19"/>
      <c r="N191" s="4"/>
      <c r="O191" s="6"/>
      <c r="P191" s="21"/>
      <c r="Q191" s="8"/>
    </row>
    <row r="192">
      <c r="A192" s="18" t="s">
        <v>88</v>
      </c>
      <c r="B192" s="20">
        <v>0.5701388888888889</v>
      </c>
      <c r="C192" s="4"/>
      <c r="D192" s="20">
        <v>0.8090277777777778</v>
      </c>
      <c r="E192" s="3"/>
      <c r="F192" s="4"/>
      <c r="G192" s="19"/>
      <c r="H192" s="4"/>
      <c r="I192" s="19"/>
      <c r="J192" s="4"/>
      <c r="K192" s="19"/>
      <c r="L192" s="4"/>
      <c r="M192" s="19"/>
      <c r="N192" s="4"/>
      <c r="O192" s="6">
        <f t="shared" ref="O192:O194" si="36">D192-B192</f>
        <v>0.2388888889</v>
      </c>
      <c r="P192" s="21">
        <v>0.3541666666666667</v>
      </c>
      <c r="Q192" s="8"/>
      <c r="R192" s="48">
        <v>36.0</v>
      </c>
    </row>
    <row r="193">
      <c r="A193" s="18" t="s">
        <v>89</v>
      </c>
      <c r="B193" s="20">
        <v>0.5652777777777778</v>
      </c>
      <c r="C193" s="4"/>
      <c r="D193" s="20">
        <v>0.8472222222222222</v>
      </c>
      <c r="E193" s="3"/>
      <c r="F193" s="4"/>
      <c r="G193" s="20"/>
      <c r="H193" s="4"/>
      <c r="I193" s="19"/>
      <c r="J193" s="4"/>
      <c r="K193" s="19"/>
      <c r="L193" s="4"/>
      <c r="M193" s="20"/>
      <c r="N193" s="4"/>
      <c r="O193" s="6">
        <f t="shared" si="36"/>
        <v>0.2819444444</v>
      </c>
      <c r="P193" s="21">
        <v>0.3541666666666667</v>
      </c>
      <c r="Q193" s="8"/>
      <c r="R193" s="48">
        <v>29.0</v>
      </c>
    </row>
    <row r="194">
      <c r="A194" s="22" t="s">
        <v>90</v>
      </c>
      <c r="B194" s="20">
        <v>0.5666666666666667</v>
      </c>
      <c r="C194" s="4"/>
      <c r="D194" s="20">
        <v>0.8298611111111112</v>
      </c>
      <c r="E194" s="3"/>
      <c r="F194" s="4"/>
      <c r="G194" s="19"/>
      <c r="H194" s="4"/>
      <c r="I194" s="19"/>
      <c r="J194" s="4"/>
      <c r="K194" s="19"/>
      <c r="L194" s="4"/>
      <c r="M194" s="20"/>
      <c r="N194" s="4"/>
      <c r="O194" s="6">
        <f t="shared" si="36"/>
        <v>0.2631944444</v>
      </c>
      <c r="P194" s="21">
        <v>0.3541666666666667</v>
      </c>
      <c r="Q194" s="8"/>
      <c r="R194" s="48">
        <v>31.0</v>
      </c>
    </row>
    <row r="195">
      <c r="A195" s="22" t="s">
        <v>91</v>
      </c>
      <c r="B195" s="19"/>
      <c r="C195" s="4"/>
      <c r="D195" s="19"/>
      <c r="E195" s="3"/>
      <c r="F195" s="4"/>
      <c r="G195" s="20"/>
      <c r="H195" s="4"/>
      <c r="I195" s="19"/>
      <c r="J195" s="4"/>
      <c r="K195" s="19"/>
      <c r="L195" s="4"/>
      <c r="M195" s="20"/>
      <c r="N195" s="4"/>
      <c r="O195" s="6"/>
      <c r="P195" s="21"/>
      <c r="Q195" s="8"/>
    </row>
    <row r="196">
      <c r="A196" s="18" t="s">
        <v>92</v>
      </c>
      <c r="B196" s="33">
        <v>0.575</v>
      </c>
      <c r="C196" s="4"/>
      <c r="D196" s="34">
        <v>0.8715277777777778</v>
      </c>
      <c r="E196" s="3"/>
      <c r="F196" s="3"/>
      <c r="G196" s="25"/>
      <c r="H196" s="3"/>
      <c r="I196" s="26"/>
      <c r="J196" s="3"/>
      <c r="K196" s="24"/>
      <c r="L196" s="3"/>
      <c r="M196" s="24"/>
      <c r="N196" s="4"/>
      <c r="O196" s="6">
        <f t="shared" ref="O196:O197" si="37">D196-B196</f>
        <v>0.2965277778</v>
      </c>
      <c r="P196" s="21">
        <v>0.3541666666666667</v>
      </c>
      <c r="Q196" s="8"/>
      <c r="R196" s="48">
        <v>43.0</v>
      </c>
    </row>
    <row r="197">
      <c r="A197" s="18" t="s">
        <v>93</v>
      </c>
      <c r="B197" s="33">
        <v>0.5819444444444445</v>
      </c>
      <c r="C197" s="4"/>
      <c r="D197" s="34">
        <v>0.8361111111111111</v>
      </c>
      <c r="E197" s="3"/>
      <c r="F197" s="3"/>
      <c r="G197" s="25"/>
      <c r="H197" s="3"/>
      <c r="I197" s="26"/>
      <c r="J197" s="3"/>
      <c r="K197" s="24"/>
      <c r="L197" s="3"/>
      <c r="M197" s="24"/>
      <c r="N197" s="4"/>
      <c r="O197" s="6">
        <f t="shared" si="37"/>
        <v>0.2541666667</v>
      </c>
      <c r="P197" s="21">
        <v>0.3541666666666667</v>
      </c>
      <c r="Q197" s="8"/>
      <c r="R197" s="48">
        <v>53.0</v>
      </c>
    </row>
    <row r="198">
      <c r="A198" s="18" t="s">
        <v>94</v>
      </c>
      <c r="B198" s="20"/>
      <c r="C198" s="4"/>
      <c r="D198" s="20"/>
      <c r="E198" s="3"/>
      <c r="F198" s="4"/>
      <c r="G198" s="19"/>
      <c r="H198" s="4"/>
      <c r="I198" s="19"/>
      <c r="J198" s="4"/>
      <c r="K198" s="19"/>
      <c r="L198" s="4"/>
      <c r="M198" s="19"/>
      <c r="N198" s="4"/>
      <c r="O198" s="6"/>
      <c r="P198" s="21"/>
      <c r="Q198" s="8"/>
    </row>
    <row r="199">
      <c r="A199" s="18" t="s">
        <v>95</v>
      </c>
      <c r="B199" s="20">
        <v>0.5548611111111111</v>
      </c>
      <c r="C199" s="4"/>
      <c r="D199" s="20">
        <v>0.8069444444444445</v>
      </c>
      <c r="E199" s="3"/>
      <c r="F199" s="4"/>
      <c r="G199" s="19"/>
      <c r="H199" s="4"/>
      <c r="I199" s="19"/>
      <c r="J199" s="4"/>
      <c r="K199" s="19"/>
      <c r="L199" s="4"/>
      <c r="M199" s="19"/>
      <c r="N199" s="4"/>
      <c r="O199" s="6">
        <f t="shared" ref="O199:O200" si="38">D199-B199</f>
        <v>0.2520833333</v>
      </c>
      <c r="P199" s="21">
        <v>0.3541666666666667</v>
      </c>
      <c r="Q199" s="8"/>
      <c r="R199" s="48">
        <v>16.0</v>
      </c>
    </row>
    <row r="200">
      <c r="A200" s="18" t="s">
        <v>96</v>
      </c>
      <c r="B200" s="20">
        <v>0.5861111111111111</v>
      </c>
      <c r="C200" s="4"/>
      <c r="D200" s="20">
        <v>0.86875</v>
      </c>
      <c r="E200" s="3"/>
      <c r="F200" s="4"/>
      <c r="G200" s="20"/>
      <c r="H200" s="4"/>
      <c r="I200" s="19"/>
      <c r="J200" s="4"/>
      <c r="K200" s="19"/>
      <c r="L200" s="4"/>
      <c r="M200" s="20"/>
      <c r="N200" s="4"/>
      <c r="O200" s="6">
        <f t="shared" si="38"/>
        <v>0.2826388889</v>
      </c>
      <c r="P200" s="21">
        <v>0.3541666666666667</v>
      </c>
      <c r="Q200" s="8"/>
      <c r="R200" s="48">
        <v>59.0</v>
      </c>
    </row>
    <row r="201">
      <c r="A201" s="22" t="s">
        <v>97</v>
      </c>
      <c r="B201" s="19"/>
      <c r="C201" s="4"/>
      <c r="D201" s="20"/>
      <c r="E201" s="3"/>
      <c r="F201" s="4"/>
      <c r="G201" s="19"/>
      <c r="H201" s="4"/>
      <c r="I201" s="19"/>
      <c r="J201" s="4"/>
      <c r="K201" s="19"/>
      <c r="L201" s="4"/>
      <c r="M201" s="20"/>
      <c r="N201" s="4"/>
      <c r="O201" s="6"/>
      <c r="P201" s="21"/>
      <c r="Q201" s="8"/>
      <c r="R201" s="52">
        <f>R189+R190+R192+R193+R194+R196+R197+R199+R200</f>
        <v>360</v>
      </c>
      <c r="S201" s="50">
        <f>R201*2.2</f>
        <v>792</v>
      </c>
    </row>
    <row r="202">
      <c r="A202" s="22" t="s">
        <v>98</v>
      </c>
      <c r="B202" s="23"/>
      <c r="C202" s="4"/>
      <c r="D202" s="24"/>
      <c r="E202" s="3"/>
      <c r="F202" s="3"/>
      <c r="G202" s="25"/>
      <c r="H202" s="3"/>
      <c r="I202" s="26"/>
      <c r="J202" s="3"/>
      <c r="K202" s="24"/>
      <c r="L202" s="3"/>
      <c r="M202" s="24"/>
      <c r="N202" s="4"/>
      <c r="O202" s="6"/>
      <c r="P202" s="7"/>
      <c r="Q202" s="8"/>
    </row>
    <row r="203">
      <c r="A203" s="18" t="s">
        <v>99</v>
      </c>
      <c r="B203" s="23"/>
      <c r="C203" s="4"/>
      <c r="D203" s="24"/>
      <c r="E203" s="3"/>
      <c r="F203" s="3"/>
      <c r="G203" s="25"/>
      <c r="H203" s="3"/>
      <c r="I203" s="26"/>
      <c r="J203" s="3"/>
      <c r="K203" s="24"/>
      <c r="L203" s="3"/>
      <c r="M203" s="24"/>
      <c r="N203" s="4"/>
      <c r="O203" s="6"/>
      <c r="P203" s="7"/>
      <c r="Q203" s="8"/>
    </row>
    <row r="204">
      <c r="O204" s="28" t="s">
        <v>10</v>
      </c>
      <c r="P204" s="7"/>
      <c r="Q204" s="8" t="str">
        <f>Q190</f>
        <v/>
      </c>
    </row>
    <row r="205">
      <c r="A205" s="1" t="s">
        <v>0</v>
      </c>
      <c r="B205" s="2" t="s">
        <v>1</v>
      </c>
      <c r="C205" s="3"/>
      <c r="D205" s="3"/>
      <c r="E205" s="3"/>
      <c r="F205" s="3"/>
      <c r="G205" s="3"/>
      <c r="H205" s="4"/>
      <c r="I205" s="1" t="s">
        <v>2</v>
      </c>
      <c r="J205" s="10" t="s">
        <v>41</v>
      </c>
      <c r="K205" s="3"/>
      <c r="L205" s="3"/>
      <c r="M205" s="3"/>
      <c r="N205" s="4"/>
      <c r="O205" s="6"/>
      <c r="P205" s="7"/>
      <c r="Q205" s="8"/>
    </row>
    <row r="206">
      <c r="A206" s="1" t="s">
        <v>4</v>
      </c>
      <c r="B206" s="9" t="s">
        <v>5</v>
      </c>
      <c r="C206" s="3"/>
      <c r="D206" s="3"/>
      <c r="E206" s="3"/>
      <c r="F206" s="3"/>
      <c r="G206" s="3"/>
      <c r="H206" s="4"/>
      <c r="I206" s="1" t="s">
        <v>6</v>
      </c>
      <c r="J206" s="10">
        <v>14.0</v>
      </c>
      <c r="K206" s="3"/>
      <c r="L206" s="3"/>
      <c r="M206" s="3"/>
      <c r="N206" s="4"/>
      <c r="O206" s="6"/>
      <c r="P206" s="7"/>
      <c r="Q206" s="8"/>
    </row>
    <row r="207">
      <c r="A207" s="11" t="s">
        <v>7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4"/>
      <c r="O207" s="12" t="s">
        <v>8</v>
      </c>
      <c r="P207" s="13" t="s">
        <v>9</v>
      </c>
      <c r="Q207" s="14" t="s">
        <v>10</v>
      </c>
    </row>
    <row r="208">
      <c r="A208" s="15" t="s">
        <v>11</v>
      </c>
      <c r="B208" s="2" t="s">
        <v>12</v>
      </c>
      <c r="C208" s="3"/>
      <c r="D208" s="3"/>
      <c r="E208" s="3"/>
      <c r="F208" s="4"/>
      <c r="G208" s="2" t="s">
        <v>13</v>
      </c>
      <c r="H208" s="3"/>
      <c r="I208" s="3"/>
      <c r="J208" s="3"/>
      <c r="K208" s="10" t="s">
        <v>14</v>
      </c>
      <c r="L208" s="3"/>
      <c r="M208" s="3"/>
      <c r="N208" s="4"/>
      <c r="O208" s="6"/>
      <c r="P208" s="7"/>
      <c r="Q208" s="8"/>
    </row>
    <row r="209">
      <c r="A209" s="16"/>
      <c r="B209" s="17" t="s">
        <v>15</v>
      </c>
      <c r="C209" s="4"/>
      <c r="D209" s="17" t="s">
        <v>16</v>
      </c>
      <c r="E209" s="3"/>
      <c r="F209" s="4"/>
      <c r="G209" s="17" t="s">
        <v>15</v>
      </c>
      <c r="H209" s="4"/>
      <c r="I209" s="17" t="s">
        <v>16</v>
      </c>
      <c r="J209" s="4"/>
      <c r="K209" s="17" t="s">
        <v>15</v>
      </c>
      <c r="L209" s="4"/>
      <c r="M209" s="17" t="s">
        <v>16</v>
      </c>
      <c r="N209" s="4"/>
      <c r="O209" s="6"/>
      <c r="P209" s="7"/>
      <c r="Q209" s="8"/>
    </row>
    <row r="210">
      <c r="A210" s="18" t="s">
        <v>17</v>
      </c>
      <c r="B210" s="23"/>
      <c r="C210" s="4"/>
      <c r="D210" s="24"/>
      <c r="E210" s="3"/>
      <c r="F210" s="3"/>
      <c r="G210" s="25"/>
      <c r="H210" s="3"/>
      <c r="I210" s="26"/>
      <c r="J210" s="3"/>
      <c r="K210" s="24"/>
      <c r="L210" s="3"/>
      <c r="M210" s="24"/>
      <c r="N210" s="4"/>
      <c r="O210" s="6"/>
      <c r="P210" s="21">
        <v>0.3541666666666667</v>
      </c>
      <c r="Q210" s="8"/>
    </row>
    <row r="211">
      <c r="A211" s="18" t="s">
        <v>18</v>
      </c>
      <c r="B211" s="20"/>
      <c r="C211" s="4"/>
      <c r="D211" s="19"/>
      <c r="E211" s="3"/>
      <c r="F211" s="4"/>
      <c r="G211" s="20"/>
      <c r="H211" s="4"/>
      <c r="I211" s="19"/>
      <c r="J211" s="4"/>
      <c r="K211" s="19"/>
      <c r="L211" s="4"/>
      <c r="M211" s="19"/>
      <c r="N211" s="4"/>
      <c r="O211" s="6">
        <f t="shared" ref="O211:O212" si="39">G211-B211</f>
        <v>0</v>
      </c>
      <c r="P211" s="21">
        <v>0.3541666666666667</v>
      </c>
      <c r="Q211" s="8">
        <f t="shared" ref="Q211:Q213" si="40">O211-P211</f>
        <v>-0.3541666667</v>
      </c>
    </row>
    <row r="212">
      <c r="A212" s="18" t="s">
        <v>19</v>
      </c>
      <c r="B212" s="20"/>
      <c r="C212" s="4"/>
      <c r="D212" s="19"/>
      <c r="E212" s="3"/>
      <c r="F212" s="4"/>
      <c r="G212" s="20"/>
      <c r="H212" s="4"/>
      <c r="I212" s="19"/>
      <c r="J212" s="4"/>
      <c r="K212" s="19"/>
      <c r="L212" s="4"/>
      <c r="M212" s="19"/>
      <c r="N212" s="4"/>
      <c r="O212" s="6">
        <f t="shared" si="39"/>
        <v>0</v>
      </c>
      <c r="P212" s="21">
        <v>0.3541666666666667</v>
      </c>
      <c r="Q212" s="8">
        <f t="shared" si="40"/>
        <v>-0.3541666667</v>
      </c>
    </row>
    <row r="213">
      <c r="A213" s="22" t="s">
        <v>20</v>
      </c>
      <c r="B213" s="20"/>
      <c r="C213" s="4"/>
      <c r="D213" s="20"/>
      <c r="E213" s="3"/>
      <c r="F213" s="4"/>
      <c r="G213" s="19"/>
      <c r="H213" s="4"/>
      <c r="I213" s="19"/>
      <c r="J213" s="4"/>
      <c r="K213" s="19"/>
      <c r="L213" s="4"/>
      <c r="M213" s="19"/>
      <c r="N213" s="4"/>
      <c r="O213" s="6">
        <f>D213-B213</f>
        <v>0</v>
      </c>
      <c r="P213" s="21">
        <v>0.3541666666666667</v>
      </c>
      <c r="Q213" s="8">
        <f t="shared" si="40"/>
        <v>-0.3541666667</v>
      </c>
    </row>
    <row r="214">
      <c r="A214" s="22" t="s">
        <v>21</v>
      </c>
      <c r="B214" s="19"/>
      <c r="C214" s="4"/>
      <c r="D214" s="19"/>
      <c r="E214" s="3"/>
      <c r="F214" s="4"/>
      <c r="G214" s="19"/>
      <c r="H214" s="4"/>
      <c r="I214" s="19"/>
      <c r="J214" s="4"/>
      <c r="K214" s="19"/>
      <c r="L214" s="4"/>
      <c r="M214" s="19"/>
      <c r="N214" s="4"/>
      <c r="O214" s="6"/>
      <c r="P214" s="7"/>
      <c r="Q214" s="8"/>
    </row>
    <row r="215">
      <c r="A215" s="18" t="s">
        <v>22</v>
      </c>
      <c r="B215" s="20"/>
      <c r="C215" s="4"/>
      <c r="D215" s="19"/>
      <c r="E215" s="3"/>
      <c r="F215" s="4"/>
      <c r="G215" s="19"/>
      <c r="H215" s="4"/>
      <c r="I215" s="20"/>
      <c r="J215" s="4"/>
      <c r="K215" s="19"/>
      <c r="L215" s="4"/>
      <c r="M215" s="19"/>
      <c r="N215" s="4"/>
      <c r="O215" s="6">
        <f>I215-B215</f>
        <v>0</v>
      </c>
      <c r="P215" s="21">
        <v>0.3541666666666667</v>
      </c>
      <c r="Q215" s="8">
        <f>O215-P215</f>
        <v>-0.3541666667</v>
      </c>
    </row>
    <row r="216">
      <c r="A216" s="18" t="s">
        <v>23</v>
      </c>
      <c r="B216" s="23"/>
      <c r="C216" s="4"/>
      <c r="D216" s="24"/>
      <c r="E216" s="3"/>
      <c r="F216" s="3"/>
      <c r="G216" s="25"/>
      <c r="H216" s="3"/>
      <c r="I216" s="26"/>
      <c r="J216" s="3"/>
      <c r="K216" s="24"/>
      <c r="L216" s="3"/>
      <c r="M216" s="24"/>
      <c r="N216" s="4"/>
      <c r="O216" s="6"/>
      <c r="P216" s="7"/>
      <c r="Q216" s="8"/>
    </row>
    <row r="217">
      <c r="A217" s="18" t="s">
        <v>24</v>
      </c>
      <c r="B217" s="20"/>
      <c r="C217" s="4"/>
      <c r="D217" s="19"/>
      <c r="E217" s="3"/>
      <c r="F217" s="4"/>
      <c r="G217" s="20"/>
      <c r="H217" s="4"/>
      <c r="I217" s="19"/>
      <c r="J217" s="4"/>
      <c r="K217" s="19"/>
      <c r="L217" s="4"/>
      <c r="M217" s="19"/>
      <c r="N217" s="4"/>
      <c r="O217" s="6">
        <f t="shared" ref="O217:O218" si="41">G217-B217</f>
        <v>0</v>
      </c>
      <c r="P217" s="21">
        <v>0.3541666666666667</v>
      </c>
      <c r="Q217" s="8">
        <f t="shared" ref="Q217:Q220" si="42">O217-P217</f>
        <v>-0.3541666667</v>
      </c>
    </row>
    <row r="218">
      <c r="A218" s="18" t="s">
        <v>25</v>
      </c>
      <c r="B218" s="20"/>
      <c r="C218" s="4"/>
      <c r="D218" s="19"/>
      <c r="E218" s="3"/>
      <c r="F218" s="4"/>
      <c r="G218" s="20"/>
      <c r="H218" s="4"/>
      <c r="I218" s="19"/>
      <c r="J218" s="4"/>
      <c r="K218" s="19"/>
      <c r="L218" s="4"/>
      <c r="M218" s="19"/>
      <c r="N218" s="4"/>
      <c r="O218" s="6">
        <f t="shared" si="41"/>
        <v>0</v>
      </c>
      <c r="P218" s="21">
        <v>0.3541666666666667</v>
      </c>
      <c r="Q218" s="8">
        <f t="shared" si="42"/>
        <v>-0.3541666667</v>
      </c>
    </row>
    <row r="219">
      <c r="A219" s="18" t="s">
        <v>26</v>
      </c>
      <c r="B219" s="20"/>
      <c r="C219" s="4"/>
      <c r="D219" s="19"/>
      <c r="E219" s="3"/>
      <c r="F219" s="4"/>
      <c r="G219" s="19"/>
      <c r="H219" s="4"/>
      <c r="I219" s="20"/>
      <c r="J219" s="4"/>
      <c r="K219" s="19"/>
      <c r="L219" s="4"/>
      <c r="M219" s="19"/>
      <c r="N219" s="4"/>
      <c r="O219" s="6">
        <f>I219-B219</f>
        <v>0</v>
      </c>
      <c r="P219" s="21">
        <v>0.3541666666666667</v>
      </c>
      <c r="Q219" s="8">
        <f t="shared" si="42"/>
        <v>-0.3541666667</v>
      </c>
    </row>
    <row r="220">
      <c r="A220" s="22" t="s">
        <v>27</v>
      </c>
      <c r="B220" s="20"/>
      <c r="C220" s="4"/>
      <c r="D220" s="20"/>
      <c r="E220" s="3"/>
      <c r="F220" s="4"/>
      <c r="G220" s="19"/>
      <c r="H220" s="4"/>
      <c r="I220" s="19"/>
      <c r="J220" s="4"/>
      <c r="K220" s="19"/>
      <c r="L220" s="4"/>
      <c r="M220" s="19"/>
      <c r="N220" s="4"/>
      <c r="O220" s="6">
        <f>D220-B220</f>
        <v>0</v>
      </c>
      <c r="P220" s="21">
        <v>0.3541666666666667</v>
      </c>
      <c r="Q220" s="8">
        <f t="shared" si="42"/>
        <v>-0.3541666667</v>
      </c>
    </row>
    <row r="221">
      <c r="A221" s="22" t="s">
        <v>28</v>
      </c>
      <c r="B221" s="19"/>
      <c r="C221" s="4"/>
      <c r="D221" s="19"/>
      <c r="E221" s="3"/>
      <c r="F221" s="4"/>
      <c r="G221" s="19"/>
      <c r="H221" s="4"/>
      <c r="I221" s="19"/>
      <c r="J221" s="4"/>
      <c r="K221" s="19"/>
      <c r="L221" s="4"/>
      <c r="M221" s="19"/>
      <c r="N221" s="4"/>
      <c r="O221" s="6"/>
      <c r="P221" s="7"/>
      <c r="Q221" s="8"/>
    </row>
    <row r="222">
      <c r="A222" s="18" t="s">
        <v>29</v>
      </c>
      <c r="B222" s="20"/>
      <c r="C222" s="4"/>
      <c r="D222" s="19"/>
      <c r="E222" s="3"/>
      <c r="F222" s="4"/>
      <c r="G222" s="20"/>
      <c r="H222" s="4"/>
      <c r="I222" s="19"/>
      <c r="J222" s="4"/>
      <c r="K222" s="19"/>
      <c r="L222" s="4"/>
      <c r="M222" s="19"/>
      <c r="N222" s="4"/>
      <c r="O222" s="6">
        <f>G222-B222</f>
        <v>0</v>
      </c>
      <c r="P222" s="21">
        <v>0.3541666666666667</v>
      </c>
      <c r="Q222" s="8">
        <f t="shared" ref="Q222:Q224" si="43">O222-P222</f>
        <v>-0.3541666667</v>
      </c>
    </row>
    <row r="223">
      <c r="A223" s="18" t="s">
        <v>30</v>
      </c>
      <c r="B223" s="20"/>
      <c r="C223" s="4"/>
      <c r="D223" s="19"/>
      <c r="E223" s="3"/>
      <c r="F223" s="4"/>
      <c r="G223" s="19"/>
      <c r="H223" s="4"/>
      <c r="I223" s="20"/>
      <c r="J223" s="4"/>
      <c r="K223" s="19"/>
      <c r="L223" s="4"/>
      <c r="M223" s="19"/>
      <c r="N223" s="4"/>
      <c r="O223" s="6">
        <f>I223-B223</f>
        <v>0</v>
      </c>
      <c r="P223" s="21">
        <v>0.3541666666666667</v>
      </c>
      <c r="Q223" s="8">
        <f t="shared" si="43"/>
        <v>-0.3541666667</v>
      </c>
    </row>
    <row r="224">
      <c r="A224" s="18" t="s">
        <v>31</v>
      </c>
      <c r="B224" s="20"/>
      <c r="C224" s="4"/>
      <c r="D224" s="19"/>
      <c r="E224" s="3"/>
      <c r="F224" s="4"/>
      <c r="G224" s="20"/>
      <c r="H224" s="4"/>
      <c r="I224" s="19"/>
      <c r="J224" s="4"/>
      <c r="K224" s="19"/>
      <c r="L224" s="4"/>
      <c r="M224" s="19"/>
      <c r="N224" s="4"/>
      <c r="O224" s="6">
        <f>G224-B224</f>
        <v>0</v>
      </c>
      <c r="P224" s="21">
        <v>0.3541666666666667</v>
      </c>
      <c r="Q224" s="8">
        <f t="shared" si="43"/>
        <v>-0.3541666667</v>
      </c>
    </row>
    <row r="225">
      <c r="A225" s="18" t="s">
        <v>32</v>
      </c>
      <c r="B225" s="20"/>
      <c r="C225" s="4"/>
      <c r="D225" s="19"/>
      <c r="E225" s="3"/>
      <c r="F225" s="4"/>
      <c r="G225" s="19"/>
      <c r="H225" s="4"/>
      <c r="I225" s="19"/>
      <c r="J225" s="4"/>
      <c r="K225" s="19"/>
      <c r="L225" s="4"/>
      <c r="M225" s="19"/>
      <c r="N225" s="4"/>
      <c r="O225" s="6"/>
      <c r="P225" s="7"/>
      <c r="Q225" s="8"/>
    </row>
    <row r="226">
      <c r="O226" s="28" t="s">
        <v>10</v>
      </c>
      <c r="P226" s="7"/>
      <c r="Q226" s="8">
        <f>Q213+Q219+Q223</f>
        <v>-1.0625</v>
      </c>
    </row>
    <row r="227">
      <c r="O227" s="6"/>
      <c r="P227" s="7"/>
      <c r="Q227" s="8"/>
    </row>
    <row r="228">
      <c r="A228" s="1" t="s">
        <v>0</v>
      </c>
      <c r="B228" s="2" t="s">
        <v>1</v>
      </c>
      <c r="C228" s="3"/>
      <c r="D228" s="3"/>
      <c r="E228" s="3"/>
      <c r="F228" s="3"/>
      <c r="G228" s="3"/>
      <c r="H228" s="4"/>
      <c r="I228" s="1" t="s">
        <v>2</v>
      </c>
      <c r="J228" s="10" t="s">
        <v>101</v>
      </c>
      <c r="K228" s="3"/>
      <c r="L228" s="3"/>
      <c r="M228" s="3"/>
      <c r="N228" s="4"/>
      <c r="O228" s="6"/>
      <c r="P228" s="7"/>
      <c r="Q228" s="8"/>
    </row>
    <row r="229">
      <c r="A229" s="1" t="s">
        <v>4</v>
      </c>
      <c r="B229" s="37" t="s">
        <v>82</v>
      </c>
      <c r="C229" s="3"/>
      <c r="D229" s="3"/>
      <c r="E229" s="3"/>
      <c r="F229" s="3"/>
      <c r="G229" s="3"/>
      <c r="H229" s="4"/>
      <c r="I229" s="1" t="s">
        <v>6</v>
      </c>
      <c r="J229" s="10">
        <v>13.0</v>
      </c>
      <c r="K229" s="3"/>
      <c r="L229" s="3"/>
      <c r="M229" s="3"/>
      <c r="N229" s="4"/>
      <c r="O229" s="6"/>
      <c r="P229" s="7"/>
      <c r="Q229" s="8"/>
    </row>
    <row r="230">
      <c r="A230" s="11" t="s">
        <v>7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4"/>
      <c r="O230" s="6"/>
      <c r="P230" s="7"/>
      <c r="Q230" s="8"/>
    </row>
    <row r="231">
      <c r="A231" s="15" t="s">
        <v>11</v>
      </c>
      <c r="B231" s="2" t="s">
        <v>12</v>
      </c>
      <c r="C231" s="3"/>
      <c r="D231" s="3"/>
      <c r="E231" s="3"/>
      <c r="F231" s="4"/>
      <c r="G231" s="2" t="s">
        <v>13</v>
      </c>
      <c r="H231" s="3"/>
      <c r="I231" s="3"/>
      <c r="J231" s="3"/>
      <c r="K231" s="10" t="s">
        <v>14</v>
      </c>
      <c r="L231" s="3"/>
      <c r="M231" s="3"/>
      <c r="N231" s="4"/>
      <c r="O231" s="6"/>
      <c r="P231" s="7"/>
      <c r="Q231" s="8"/>
    </row>
    <row r="232">
      <c r="A232" s="16"/>
      <c r="B232" s="17" t="s">
        <v>15</v>
      </c>
      <c r="C232" s="4"/>
      <c r="D232" s="17" t="s">
        <v>16</v>
      </c>
      <c r="E232" s="3"/>
      <c r="F232" s="4"/>
      <c r="G232" s="17" t="s">
        <v>15</v>
      </c>
      <c r="H232" s="4"/>
      <c r="I232" s="17" t="s">
        <v>16</v>
      </c>
      <c r="J232" s="4"/>
      <c r="K232" s="17" t="s">
        <v>15</v>
      </c>
      <c r="L232" s="4"/>
      <c r="M232" s="17" t="s">
        <v>16</v>
      </c>
      <c r="N232" s="4"/>
      <c r="O232" s="6"/>
      <c r="P232" s="7"/>
      <c r="Q232" s="8"/>
    </row>
    <row r="233">
      <c r="A233" s="22" t="s">
        <v>83</v>
      </c>
      <c r="B233" s="33">
        <v>0.36875</v>
      </c>
      <c r="C233" s="4"/>
      <c r="D233" s="34">
        <v>0.5590277777777778</v>
      </c>
      <c r="E233" s="3"/>
      <c r="F233" s="3"/>
      <c r="G233" s="25"/>
      <c r="H233" s="3"/>
      <c r="I233" s="26"/>
      <c r="J233" s="3"/>
      <c r="K233" s="24"/>
      <c r="L233" s="3"/>
      <c r="M233" s="24"/>
      <c r="N233" s="4"/>
      <c r="O233" s="6">
        <f t="shared" ref="O233:O239" si="44">D233-B233</f>
        <v>0.1902777778</v>
      </c>
      <c r="P233" s="21">
        <v>0.3541666666666667</v>
      </c>
      <c r="Q233" s="8">
        <f>O233</f>
        <v>0.1902777778</v>
      </c>
    </row>
    <row r="234">
      <c r="A234" s="18" t="s">
        <v>84</v>
      </c>
      <c r="B234" s="20">
        <v>0.18194444444444444</v>
      </c>
      <c r="C234" s="4"/>
      <c r="D234" s="20">
        <v>0.8722222222222222</v>
      </c>
      <c r="E234" s="3"/>
      <c r="F234" s="4"/>
      <c r="G234" s="20"/>
      <c r="H234" s="4"/>
      <c r="I234" s="19"/>
      <c r="J234" s="4"/>
      <c r="K234" s="19"/>
      <c r="L234" s="4"/>
      <c r="M234" s="20"/>
      <c r="N234" s="4"/>
      <c r="O234" s="6">
        <f t="shared" si="44"/>
        <v>0.6902777778</v>
      </c>
      <c r="P234" s="21">
        <v>0.3541666666666667</v>
      </c>
      <c r="Q234" s="8">
        <f t="shared" ref="Q234:Q239" si="45">O234-P234</f>
        <v>0.3361111111</v>
      </c>
    </row>
    <row r="235">
      <c r="A235" s="18" t="s">
        <v>85</v>
      </c>
      <c r="B235" s="20">
        <v>0.3645833333333333</v>
      </c>
      <c r="C235" s="4"/>
      <c r="D235" s="20">
        <v>0.8513888888888889</v>
      </c>
      <c r="E235" s="3"/>
      <c r="F235" s="4"/>
      <c r="G235" s="19"/>
      <c r="H235" s="4"/>
      <c r="I235" s="19"/>
      <c r="J235" s="4"/>
      <c r="K235" s="19"/>
      <c r="L235" s="4"/>
      <c r="M235" s="20"/>
      <c r="N235" s="4"/>
      <c r="O235" s="6">
        <f t="shared" si="44"/>
        <v>0.4868055556</v>
      </c>
      <c r="P235" s="21">
        <v>0.3541666666666667</v>
      </c>
      <c r="Q235" s="8">
        <f t="shared" si="45"/>
        <v>0.1326388889</v>
      </c>
    </row>
    <row r="236">
      <c r="A236" s="18" t="s">
        <v>86</v>
      </c>
      <c r="B236" s="20">
        <v>0.3680555555555556</v>
      </c>
      <c r="C236" s="4"/>
      <c r="D236" s="20">
        <v>0.8541666666666666</v>
      </c>
      <c r="E236" s="3"/>
      <c r="F236" s="4"/>
      <c r="G236" s="19"/>
      <c r="H236" s="4"/>
      <c r="I236" s="19"/>
      <c r="J236" s="4"/>
      <c r="K236" s="19"/>
      <c r="L236" s="4"/>
      <c r="M236" s="19"/>
      <c r="N236" s="4"/>
      <c r="O236" s="6">
        <f t="shared" si="44"/>
        <v>0.4861111111</v>
      </c>
      <c r="P236" s="21">
        <v>0.3541666666666667</v>
      </c>
      <c r="Q236" s="8">
        <f t="shared" si="45"/>
        <v>0.1319444444</v>
      </c>
    </row>
    <row r="237">
      <c r="A237" s="18" t="s">
        <v>88</v>
      </c>
      <c r="B237" s="20">
        <v>0.36736111111111114</v>
      </c>
      <c r="C237" s="4"/>
      <c r="D237" s="20">
        <v>0.8131944444444444</v>
      </c>
      <c r="E237" s="3"/>
      <c r="F237" s="4"/>
      <c r="G237" s="19"/>
      <c r="H237" s="4"/>
      <c r="I237" s="19"/>
      <c r="J237" s="4"/>
      <c r="K237" s="19"/>
      <c r="L237" s="4"/>
      <c r="M237" s="19"/>
      <c r="N237" s="4"/>
      <c r="O237" s="6">
        <f t="shared" si="44"/>
        <v>0.4458333333</v>
      </c>
      <c r="P237" s="21">
        <v>0.3541666666666667</v>
      </c>
      <c r="Q237" s="8">
        <f t="shared" si="45"/>
        <v>0.09166666667</v>
      </c>
    </row>
    <row r="238">
      <c r="A238" s="18" t="s">
        <v>89</v>
      </c>
      <c r="B238" s="20">
        <v>0.36944444444444446</v>
      </c>
      <c r="C238" s="4"/>
      <c r="D238" s="20">
        <v>0.8708333333333333</v>
      </c>
      <c r="E238" s="3"/>
      <c r="F238" s="4"/>
      <c r="G238" s="20"/>
      <c r="H238" s="4"/>
      <c r="I238" s="19"/>
      <c r="J238" s="4"/>
      <c r="K238" s="19"/>
      <c r="L238" s="4"/>
      <c r="M238" s="20"/>
      <c r="N238" s="4"/>
      <c r="O238" s="6">
        <f t="shared" si="44"/>
        <v>0.5013888889</v>
      </c>
      <c r="P238" s="21">
        <v>0.3541666666666667</v>
      </c>
      <c r="Q238" s="8">
        <f t="shared" si="45"/>
        <v>0.1472222222</v>
      </c>
    </row>
    <row r="239">
      <c r="A239" s="22" t="s">
        <v>90</v>
      </c>
      <c r="B239" s="20">
        <v>0.18194444444444444</v>
      </c>
      <c r="C239" s="4"/>
      <c r="D239" s="20">
        <v>0.8291666666666667</v>
      </c>
      <c r="E239" s="3"/>
      <c r="F239" s="4"/>
      <c r="G239" s="19"/>
      <c r="H239" s="4"/>
      <c r="I239" s="19"/>
      <c r="J239" s="4"/>
      <c r="K239" s="19"/>
      <c r="L239" s="4"/>
      <c r="M239" s="20"/>
      <c r="N239" s="4"/>
      <c r="O239" s="6">
        <f t="shared" si="44"/>
        <v>0.6472222222</v>
      </c>
      <c r="P239" s="21">
        <v>0.3541666666666667</v>
      </c>
      <c r="Q239" s="8">
        <f t="shared" si="45"/>
        <v>0.2930555556</v>
      </c>
    </row>
    <row r="240">
      <c r="A240" s="22" t="s">
        <v>91</v>
      </c>
      <c r="B240" s="19"/>
      <c r="C240" s="4"/>
      <c r="D240" s="19"/>
      <c r="E240" s="3"/>
      <c r="F240" s="4"/>
      <c r="G240" s="20"/>
      <c r="H240" s="4"/>
      <c r="I240" s="19"/>
      <c r="J240" s="4"/>
      <c r="K240" s="19"/>
      <c r="L240" s="4"/>
      <c r="M240" s="20"/>
      <c r="N240" s="4"/>
      <c r="O240" s="6"/>
      <c r="P240" s="7"/>
      <c r="Q240" s="8"/>
    </row>
    <row r="241">
      <c r="A241" s="18" t="s">
        <v>92</v>
      </c>
      <c r="B241" s="33"/>
      <c r="C241" s="4"/>
      <c r="D241" s="34"/>
      <c r="E241" s="3"/>
      <c r="F241" s="3"/>
      <c r="G241" s="25"/>
      <c r="H241" s="3"/>
      <c r="I241" s="26"/>
      <c r="J241" s="3"/>
      <c r="K241" s="24"/>
      <c r="L241" s="3"/>
      <c r="M241" s="24"/>
      <c r="N241" s="4"/>
      <c r="O241" s="6"/>
      <c r="P241" s="7"/>
      <c r="Q241" s="8"/>
    </row>
    <row r="242">
      <c r="A242" s="18" t="s">
        <v>93</v>
      </c>
      <c r="B242" s="33">
        <v>0.35138888888888886</v>
      </c>
      <c r="C242" s="4"/>
      <c r="D242" s="34">
        <v>0.8416666666666667</v>
      </c>
      <c r="E242" s="3"/>
      <c r="F242" s="3"/>
      <c r="G242" s="25"/>
      <c r="H242" s="3"/>
      <c r="I242" s="26"/>
      <c r="J242" s="3"/>
      <c r="K242" s="24"/>
      <c r="L242" s="3"/>
      <c r="M242" s="24"/>
      <c r="N242" s="4"/>
      <c r="O242" s="6">
        <f t="shared" ref="O242:O245" si="46">D242-B242</f>
        <v>0.4902777778</v>
      </c>
      <c r="P242" s="21">
        <v>0.3541666666666667</v>
      </c>
      <c r="Q242" s="8">
        <f t="shared" ref="Q242:Q245" si="47">O242-P242</f>
        <v>0.1361111111</v>
      </c>
    </row>
    <row r="243">
      <c r="A243" s="18" t="s">
        <v>94</v>
      </c>
      <c r="B243" s="20">
        <v>0.17847222222222223</v>
      </c>
      <c r="C243" s="4"/>
      <c r="D243" s="20">
        <v>0.5215277777777778</v>
      </c>
      <c r="E243" s="3"/>
      <c r="F243" s="4"/>
      <c r="G243" s="19"/>
      <c r="H243" s="4"/>
      <c r="I243" s="19"/>
      <c r="J243" s="4"/>
      <c r="K243" s="19"/>
      <c r="L243" s="4"/>
      <c r="M243" s="19"/>
      <c r="N243" s="4"/>
      <c r="O243" s="6">
        <f t="shared" si="46"/>
        <v>0.3430555556</v>
      </c>
      <c r="P243" s="21">
        <v>0.3541666666666667</v>
      </c>
      <c r="Q243" s="8">
        <f t="shared" si="47"/>
        <v>-0.01111111111</v>
      </c>
    </row>
    <row r="244">
      <c r="A244" s="18" t="s">
        <v>95</v>
      </c>
      <c r="B244" s="20">
        <v>0.33611111111111114</v>
      </c>
      <c r="C244" s="4"/>
      <c r="D244" s="20">
        <v>0.8006944444444445</v>
      </c>
      <c r="E244" s="3"/>
      <c r="F244" s="4"/>
      <c r="G244" s="19"/>
      <c r="H244" s="4"/>
      <c r="I244" s="19"/>
      <c r="J244" s="4"/>
      <c r="K244" s="19"/>
      <c r="L244" s="4"/>
      <c r="M244" s="19"/>
      <c r="N244" s="4"/>
      <c r="O244" s="6">
        <f t="shared" si="46"/>
        <v>0.4645833333</v>
      </c>
      <c r="P244" s="21">
        <v>0.3541666666666667</v>
      </c>
      <c r="Q244" s="8">
        <f t="shared" si="47"/>
        <v>0.1104166667</v>
      </c>
    </row>
    <row r="245">
      <c r="A245" s="18" t="s">
        <v>96</v>
      </c>
      <c r="B245" s="20">
        <v>0.3645833333333333</v>
      </c>
      <c r="C245" s="4"/>
      <c r="D245" s="20">
        <v>0.875</v>
      </c>
      <c r="E245" s="3"/>
      <c r="F245" s="4"/>
      <c r="G245" s="20"/>
      <c r="H245" s="4"/>
      <c r="I245" s="19"/>
      <c r="J245" s="4"/>
      <c r="K245" s="19"/>
      <c r="L245" s="4"/>
      <c r="M245" s="20"/>
      <c r="N245" s="4"/>
      <c r="O245" s="6">
        <f t="shared" si="46"/>
        <v>0.5104166667</v>
      </c>
      <c r="P245" s="21">
        <v>0.3541666666666667</v>
      </c>
      <c r="Q245" s="8">
        <f t="shared" si="47"/>
        <v>0.15625</v>
      </c>
    </row>
    <row r="246">
      <c r="A246" s="22" t="s">
        <v>97</v>
      </c>
      <c r="B246" s="19"/>
      <c r="C246" s="4"/>
      <c r="D246" s="20"/>
      <c r="E246" s="3"/>
      <c r="F246" s="4"/>
      <c r="G246" s="19"/>
      <c r="H246" s="4"/>
      <c r="I246" s="19"/>
      <c r="J246" s="4"/>
      <c r="K246" s="19"/>
      <c r="L246" s="4"/>
      <c r="M246" s="20"/>
      <c r="N246" s="4"/>
      <c r="O246" s="6"/>
      <c r="P246" s="7"/>
      <c r="Q246" s="8"/>
    </row>
    <row r="247">
      <c r="A247" s="22" t="s">
        <v>98</v>
      </c>
      <c r="B247" s="23"/>
      <c r="C247" s="4"/>
      <c r="D247" s="24"/>
      <c r="E247" s="3"/>
      <c r="F247" s="3"/>
      <c r="G247" s="25"/>
      <c r="H247" s="3"/>
      <c r="I247" s="26"/>
      <c r="J247" s="3"/>
      <c r="K247" s="24"/>
      <c r="L247" s="3"/>
      <c r="M247" s="24"/>
      <c r="N247" s="4"/>
      <c r="O247" s="6"/>
      <c r="P247" s="7"/>
      <c r="Q247" s="8"/>
    </row>
    <row r="248">
      <c r="A248" s="18" t="s">
        <v>99</v>
      </c>
      <c r="B248" s="23"/>
      <c r="C248" s="4"/>
      <c r="D248" s="24"/>
      <c r="E248" s="3"/>
      <c r="F248" s="3"/>
      <c r="G248" s="25"/>
      <c r="H248" s="3"/>
      <c r="I248" s="26"/>
      <c r="J248" s="3"/>
      <c r="K248" s="24"/>
      <c r="L248" s="3"/>
      <c r="M248" s="24"/>
      <c r="N248" s="4"/>
      <c r="O248" s="6"/>
      <c r="P248" s="7"/>
      <c r="Q248" s="8"/>
    </row>
    <row r="249">
      <c r="O249" s="6"/>
      <c r="P249" s="7"/>
      <c r="Q249" s="8">
        <f>Q233+Q234+Q235+Q236+Q237+Q238+Q239+Q242+Q244+Q245</f>
        <v>1.725694444</v>
      </c>
    </row>
    <row r="250">
      <c r="O250" s="6"/>
      <c r="P250" s="7"/>
      <c r="Q250" s="8"/>
    </row>
    <row r="251">
      <c r="O251" s="6"/>
      <c r="P251" s="7"/>
      <c r="Q251" s="8"/>
    </row>
    <row r="252">
      <c r="O252" s="6"/>
      <c r="P252" s="7"/>
      <c r="Q252" s="8"/>
    </row>
    <row r="253">
      <c r="O253" s="6"/>
      <c r="P253" s="7"/>
      <c r="Q253" s="8"/>
    </row>
    <row r="254">
      <c r="O254" s="6"/>
      <c r="P254" s="7"/>
      <c r="Q254" s="8"/>
    </row>
    <row r="255">
      <c r="O255" s="6"/>
      <c r="P255" s="7"/>
      <c r="Q255" s="8"/>
    </row>
    <row r="256">
      <c r="O256" s="6"/>
      <c r="P256" s="7"/>
      <c r="Q256" s="8"/>
    </row>
    <row r="257">
      <c r="O257" s="6"/>
      <c r="P257" s="7"/>
      <c r="Q257" s="8"/>
    </row>
    <row r="258">
      <c r="O258" s="6"/>
      <c r="P258" s="7"/>
      <c r="Q258" s="8"/>
    </row>
    <row r="259">
      <c r="O259" s="6"/>
      <c r="P259" s="7"/>
      <c r="Q259" s="8"/>
    </row>
    <row r="260">
      <c r="O260" s="6"/>
      <c r="P260" s="7"/>
      <c r="Q260" s="8"/>
    </row>
    <row r="261">
      <c r="O261" s="6"/>
      <c r="P261" s="7"/>
      <c r="Q261" s="8"/>
    </row>
    <row r="262">
      <c r="O262" s="6"/>
      <c r="P262" s="7"/>
      <c r="Q262" s="8"/>
    </row>
    <row r="263">
      <c r="O263" s="6"/>
      <c r="P263" s="7"/>
      <c r="Q263" s="8"/>
    </row>
    <row r="264">
      <c r="O264" s="6"/>
      <c r="P264" s="7"/>
      <c r="Q264" s="8"/>
    </row>
    <row r="265">
      <c r="O265" s="6"/>
      <c r="P265" s="7"/>
      <c r="Q265" s="8"/>
    </row>
    <row r="266">
      <c r="O266" s="6"/>
      <c r="P266" s="7"/>
      <c r="Q266" s="8"/>
    </row>
    <row r="267">
      <c r="O267" s="6"/>
      <c r="P267" s="7"/>
      <c r="Q267" s="8"/>
    </row>
    <row r="268">
      <c r="O268" s="6"/>
      <c r="P268" s="7"/>
      <c r="Q268" s="8"/>
    </row>
    <row r="269">
      <c r="O269" s="6"/>
      <c r="P269" s="7"/>
      <c r="Q269" s="8"/>
    </row>
    <row r="270">
      <c r="O270" s="6"/>
      <c r="P270" s="7"/>
      <c r="Q270" s="8"/>
    </row>
    <row r="271">
      <c r="O271" s="6"/>
      <c r="P271" s="7"/>
      <c r="Q271" s="8"/>
    </row>
    <row r="272">
      <c r="O272" s="6"/>
      <c r="P272" s="7"/>
      <c r="Q272" s="8"/>
    </row>
    <row r="273">
      <c r="O273" s="6"/>
      <c r="P273" s="7"/>
      <c r="Q273" s="8"/>
    </row>
    <row r="274">
      <c r="O274" s="6"/>
      <c r="P274" s="7"/>
      <c r="Q274" s="8"/>
    </row>
    <row r="275">
      <c r="O275" s="6"/>
      <c r="P275" s="7"/>
      <c r="Q275" s="8"/>
    </row>
    <row r="276">
      <c r="O276" s="6"/>
      <c r="P276" s="7"/>
      <c r="Q276" s="8"/>
    </row>
    <row r="277">
      <c r="O277" s="6"/>
      <c r="P277" s="7"/>
      <c r="Q277" s="8"/>
    </row>
    <row r="278">
      <c r="O278" s="6"/>
      <c r="P278" s="7"/>
      <c r="Q278" s="8"/>
    </row>
    <row r="279">
      <c r="O279" s="6"/>
      <c r="P279" s="7"/>
      <c r="Q279" s="8"/>
    </row>
    <row r="280">
      <c r="O280" s="6"/>
      <c r="P280" s="7"/>
      <c r="Q280" s="8"/>
    </row>
    <row r="281">
      <c r="O281" s="6"/>
      <c r="P281" s="7"/>
      <c r="Q281" s="8"/>
    </row>
    <row r="282">
      <c r="O282" s="6"/>
      <c r="P282" s="7"/>
      <c r="Q282" s="8"/>
    </row>
    <row r="283">
      <c r="O283" s="6"/>
      <c r="P283" s="7"/>
      <c r="Q283" s="8"/>
    </row>
    <row r="284">
      <c r="O284" s="6"/>
      <c r="P284" s="7"/>
      <c r="Q284" s="8"/>
    </row>
    <row r="285">
      <c r="O285" s="6"/>
      <c r="P285" s="7"/>
      <c r="Q285" s="8"/>
    </row>
    <row r="286">
      <c r="O286" s="6"/>
      <c r="P286" s="7"/>
      <c r="Q286" s="8"/>
    </row>
    <row r="287">
      <c r="O287" s="6"/>
      <c r="P287" s="7"/>
      <c r="Q287" s="8"/>
    </row>
    <row r="288">
      <c r="O288" s="6"/>
      <c r="P288" s="7"/>
      <c r="Q288" s="8"/>
    </row>
    <row r="289">
      <c r="O289" s="6"/>
      <c r="P289" s="7"/>
      <c r="Q289" s="8"/>
    </row>
    <row r="290">
      <c r="O290" s="6"/>
      <c r="P290" s="7"/>
      <c r="Q290" s="8"/>
    </row>
    <row r="291">
      <c r="O291" s="6"/>
      <c r="P291" s="7"/>
      <c r="Q291" s="8"/>
    </row>
    <row r="292">
      <c r="O292" s="6"/>
      <c r="P292" s="7"/>
      <c r="Q292" s="8"/>
    </row>
    <row r="293">
      <c r="O293" s="6"/>
      <c r="P293" s="7"/>
      <c r="Q293" s="8"/>
    </row>
    <row r="294">
      <c r="O294" s="6"/>
      <c r="P294" s="7"/>
      <c r="Q294" s="8"/>
    </row>
    <row r="295">
      <c r="O295" s="6"/>
      <c r="P295" s="7"/>
      <c r="Q295" s="8"/>
    </row>
    <row r="296">
      <c r="O296" s="6"/>
      <c r="P296" s="7"/>
      <c r="Q296" s="8"/>
    </row>
    <row r="297">
      <c r="O297" s="6"/>
      <c r="P297" s="7"/>
      <c r="Q297" s="8"/>
    </row>
    <row r="298">
      <c r="O298" s="6"/>
      <c r="P298" s="7"/>
      <c r="Q298" s="8"/>
    </row>
    <row r="299">
      <c r="O299" s="6"/>
      <c r="P299" s="7"/>
      <c r="Q299" s="8"/>
    </row>
    <row r="300">
      <c r="O300" s="6"/>
      <c r="P300" s="7"/>
      <c r="Q300" s="8"/>
    </row>
    <row r="301">
      <c r="O301" s="6"/>
      <c r="P301" s="7"/>
      <c r="Q301" s="8"/>
    </row>
    <row r="302">
      <c r="O302" s="6"/>
      <c r="P302" s="7"/>
      <c r="Q302" s="8"/>
    </row>
    <row r="303">
      <c r="O303" s="6"/>
      <c r="P303" s="7"/>
      <c r="Q303" s="8"/>
    </row>
    <row r="304">
      <c r="O304" s="6"/>
      <c r="P304" s="7"/>
      <c r="Q304" s="8"/>
    </row>
    <row r="305">
      <c r="O305" s="6"/>
      <c r="P305" s="7"/>
      <c r="Q305" s="8"/>
    </row>
    <row r="306">
      <c r="O306" s="6"/>
      <c r="P306" s="7"/>
      <c r="Q306" s="8"/>
    </row>
    <row r="307">
      <c r="O307" s="6"/>
      <c r="P307" s="7"/>
      <c r="Q307" s="8"/>
    </row>
    <row r="308">
      <c r="O308" s="6"/>
      <c r="P308" s="7"/>
      <c r="Q308" s="8"/>
    </row>
    <row r="309">
      <c r="O309" s="6"/>
      <c r="P309" s="7"/>
      <c r="Q309" s="8"/>
    </row>
    <row r="310">
      <c r="O310" s="6"/>
      <c r="P310" s="7"/>
      <c r="Q310" s="8"/>
    </row>
    <row r="311">
      <c r="O311" s="6"/>
      <c r="P311" s="7"/>
      <c r="Q311" s="8"/>
    </row>
    <row r="312">
      <c r="O312" s="6"/>
      <c r="P312" s="7"/>
      <c r="Q312" s="8"/>
    </row>
    <row r="313">
      <c r="O313" s="6"/>
      <c r="P313" s="7"/>
      <c r="Q313" s="8"/>
    </row>
    <row r="314">
      <c r="O314" s="6"/>
      <c r="P314" s="7"/>
      <c r="Q314" s="8"/>
    </row>
    <row r="315">
      <c r="O315" s="6"/>
      <c r="P315" s="7"/>
      <c r="Q315" s="8"/>
    </row>
    <row r="316">
      <c r="O316" s="6"/>
      <c r="P316" s="7"/>
      <c r="Q316" s="8"/>
    </row>
    <row r="317">
      <c r="O317" s="6"/>
      <c r="P317" s="7"/>
      <c r="Q317" s="8"/>
    </row>
    <row r="318">
      <c r="O318" s="6"/>
      <c r="P318" s="7"/>
      <c r="Q318" s="8"/>
    </row>
    <row r="319">
      <c r="O319" s="6"/>
      <c r="P319" s="7"/>
      <c r="Q319" s="8"/>
    </row>
    <row r="320">
      <c r="O320" s="6"/>
      <c r="P320" s="7"/>
      <c r="Q320" s="8"/>
    </row>
    <row r="321">
      <c r="O321" s="6"/>
      <c r="P321" s="7"/>
      <c r="Q321" s="8"/>
    </row>
    <row r="322">
      <c r="O322" s="6"/>
      <c r="P322" s="7"/>
      <c r="Q322" s="8"/>
    </row>
    <row r="323">
      <c r="O323" s="6"/>
      <c r="P323" s="7"/>
      <c r="Q323" s="8"/>
    </row>
    <row r="324">
      <c r="O324" s="6"/>
      <c r="P324" s="7"/>
      <c r="Q324" s="8"/>
    </row>
    <row r="325">
      <c r="O325" s="6"/>
      <c r="P325" s="7"/>
      <c r="Q325" s="8"/>
    </row>
    <row r="326">
      <c r="O326" s="6"/>
      <c r="P326" s="7"/>
      <c r="Q326" s="8"/>
    </row>
    <row r="327">
      <c r="O327" s="6"/>
      <c r="P327" s="7"/>
      <c r="Q327" s="8"/>
    </row>
    <row r="328">
      <c r="O328" s="6"/>
      <c r="P328" s="7"/>
      <c r="Q328" s="8"/>
    </row>
    <row r="329">
      <c r="O329" s="6"/>
      <c r="P329" s="7"/>
      <c r="Q329" s="8"/>
    </row>
    <row r="330">
      <c r="O330" s="6"/>
      <c r="P330" s="7"/>
      <c r="Q330" s="8"/>
    </row>
    <row r="331">
      <c r="O331" s="6"/>
      <c r="P331" s="7"/>
      <c r="Q331" s="8"/>
    </row>
    <row r="332">
      <c r="O332" s="6"/>
      <c r="P332" s="7"/>
      <c r="Q332" s="8"/>
    </row>
    <row r="333">
      <c r="O333" s="6"/>
      <c r="P333" s="7"/>
      <c r="Q333" s="8"/>
    </row>
    <row r="334">
      <c r="O334" s="6"/>
      <c r="P334" s="7"/>
      <c r="Q334" s="8"/>
    </row>
    <row r="335">
      <c r="O335" s="6"/>
      <c r="P335" s="7"/>
      <c r="Q335" s="8"/>
    </row>
    <row r="336">
      <c r="O336" s="6"/>
      <c r="P336" s="7"/>
      <c r="Q336" s="8"/>
    </row>
    <row r="337">
      <c r="O337" s="6"/>
      <c r="P337" s="7"/>
      <c r="Q337" s="8"/>
    </row>
    <row r="338">
      <c r="O338" s="6"/>
      <c r="P338" s="7"/>
      <c r="Q338" s="8"/>
    </row>
    <row r="339">
      <c r="O339" s="6"/>
      <c r="P339" s="7"/>
      <c r="Q339" s="8"/>
    </row>
    <row r="340">
      <c r="O340" s="6"/>
      <c r="P340" s="7"/>
      <c r="Q340" s="8"/>
    </row>
    <row r="341">
      <c r="O341" s="6"/>
      <c r="P341" s="7"/>
      <c r="Q341" s="8"/>
    </row>
    <row r="342">
      <c r="O342" s="6"/>
      <c r="P342" s="7"/>
      <c r="Q342" s="8"/>
    </row>
    <row r="343">
      <c r="O343" s="6"/>
      <c r="P343" s="7"/>
      <c r="Q343" s="8"/>
    </row>
    <row r="344">
      <c r="O344" s="6"/>
      <c r="P344" s="7"/>
      <c r="Q344" s="8"/>
    </row>
    <row r="345">
      <c r="O345" s="6"/>
      <c r="P345" s="7"/>
      <c r="Q345" s="8"/>
    </row>
    <row r="346">
      <c r="O346" s="6"/>
      <c r="P346" s="7"/>
      <c r="Q346" s="8"/>
    </row>
    <row r="347">
      <c r="O347" s="6"/>
      <c r="P347" s="7"/>
      <c r="Q347" s="8"/>
    </row>
    <row r="348">
      <c r="O348" s="6"/>
      <c r="P348" s="7"/>
      <c r="Q348" s="8"/>
    </row>
    <row r="349">
      <c r="O349" s="6"/>
      <c r="P349" s="7"/>
      <c r="Q349" s="8"/>
    </row>
    <row r="350">
      <c r="O350" s="6"/>
      <c r="P350" s="7"/>
      <c r="Q350" s="8"/>
    </row>
    <row r="351">
      <c r="O351" s="6"/>
      <c r="P351" s="7"/>
      <c r="Q351" s="8"/>
    </row>
    <row r="352">
      <c r="O352" s="6"/>
      <c r="P352" s="7"/>
      <c r="Q352" s="8"/>
    </row>
    <row r="353">
      <c r="O353" s="6"/>
      <c r="P353" s="7"/>
      <c r="Q353" s="8"/>
    </row>
    <row r="354">
      <c r="O354" s="6"/>
      <c r="P354" s="7"/>
      <c r="Q354" s="8"/>
    </row>
    <row r="355">
      <c r="O355" s="6"/>
      <c r="P355" s="7"/>
      <c r="Q355" s="8"/>
    </row>
    <row r="356">
      <c r="O356" s="6"/>
      <c r="P356" s="7"/>
      <c r="Q356" s="8"/>
    </row>
    <row r="357">
      <c r="O357" s="6"/>
      <c r="P357" s="7"/>
      <c r="Q357" s="8"/>
    </row>
    <row r="358">
      <c r="O358" s="6"/>
      <c r="P358" s="7"/>
      <c r="Q358" s="8"/>
    </row>
    <row r="359">
      <c r="O359" s="6"/>
      <c r="P359" s="7"/>
      <c r="Q359" s="8"/>
    </row>
    <row r="360">
      <c r="O360" s="6"/>
      <c r="P360" s="7"/>
      <c r="Q360" s="8"/>
    </row>
    <row r="361">
      <c r="O361" s="6"/>
      <c r="P361" s="7"/>
      <c r="Q361" s="8"/>
    </row>
    <row r="362">
      <c r="O362" s="6"/>
      <c r="P362" s="7"/>
      <c r="Q362" s="8"/>
    </row>
    <row r="363">
      <c r="O363" s="6"/>
      <c r="P363" s="7"/>
      <c r="Q363" s="8"/>
    </row>
    <row r="364">
      <c r="O364" s="6"/>
      <c r="P364" s="7"/>
      <c r="Q364" s="8"/>
    </row>
    <row r="365">
      <c r="O365" s="6"/>
      <c r="P365" s="7"/>
      <c r="Q365" s="8"/>
    </row>
    <row r="366">
      <c r="O366" s="6"/>
      <c r="P366" s="7"/>
      <c r="Q366" s="8"/>
    </row>
    <row r="367">
      <c r="O367" s="6"/>
      <c r="P367" s="7"/>
      <c r="Q367" s="8"/>
    </row>
    <row r="368">
      <c r="O368" s="6"/>
      <c r="P368" s="7"/>
      <c r="Q368" s="8"/>
    </row>
    <row r="369">
      <c r="O369" s="6"/>
      <c r="P369" s="7"/>
      <c r="Q369" s="8"/>
    </row>
    <row r="370">
      <c r="O370" s="6"/>
      <c r="P370" s="7"/>
      <c r="Q370" s="8"/>
    </row>
    <row r="371">
      <c r="O371" s="6"/>
      <c r="P371" s="7"/>
      <c r="Q371" s="8"/>
    </row>
    <row r="372">
      <c r="O372" s="6"/>
      <c r="P372" s="7"/>
      <c r="Q372" s="8"/>
    </row>
    <row r="373">
      <c r="O373" s="6"/>
      <c r="P373" s="7"/>
      <c r="Q373" s="8"/>
    </row>
    <row r="374">
      <c r="O374" s="6"/>
      <c r="P374" s="7"/>
      <c r="Q374" s="8"/>
    </row>
    <row r="375">
      <c r="O375" s="6"/>
      <c r="P375" s="7"/>
      <c r="Q375" s="8"/>
    </row>
    <row r="376">
      <c r="O376" s="6"/>
      <c r="P376" s="7"/>
      <c r="Q376" s="8"/>
    </row>
    <row r="377">
      <c r="O377" s="6"/>
      <c r="P377" s="7"/>
      <c r="Q377" s="8"/>
    </row>
    <row r="378">
      <c r="O378" s="6"/>
      <c r="P378" s="7"/>
      <c r="Q378" s="8"/>
    </row>
    <row r="379">
      <c r="O379" s="6"/>
      <c r="P379" s="7"/>
      <c r="Q379" s="8"/>
    </row>
    <row r="380">
      <c r="O380" s="6"/>
      <c r="P380" s="7"/>
      <c r="Q380" s="8"/>
    </row>
    <row r="381">
      <c r="O381" s="6"/>
      <c r="P381" s="7"/>
      <c r="Q381" s="8"/>
    </row>
    <row r="382">
      <c r="O382" s="6"/>
      <c r="P382" s="7"/>
      <c r="Q382" s="8"/>
    </row>
    <row r="383">
      <c r="O383" s="6"/>
      <c r="P383" s="7"/>
      <c r="Q383" s="8"/>
    </row>
    <row r="384">
      <c r="O384" s="6"/>
      <c r="P384" s="7"/>
      <c r="Q384" s="8"/>
    </row>
    <row r="385">
      <c r="O385" s="6"/>
      <c r="P385" s="7"/>
      <c r="Q385" s="8"/>
    </row>
    <row r="386">
      <c r="O386" s="6"/>
      <c r="P386" s="7"/>
      <c r="Q386" s="8"/>
    </row>
    <row r="387">
      <c r="O387" s="6"/>
      <c r="P387" s="7"/>
      <c r="Q387" s="8"/>
    </row>
    <row r="388">
      <c r="O388" s="6"/>
      <c r="P388" s="7"/>
      <c r="Q388" s="8"/>
    </row>
    <row r="389">
      <c r="O389" s="6"/>
      <c r="P389" s="7"/>
      <c r="Q389" s="8"/>
    </row>
    <row r="390">
      <c r="O390" s="6"/>
      <c r="P390" s="7"/>
      <c r="Q390" s="8"/>
    </row>
    <row r="391">
      <c r="O391" s="6"/>
      <c r="P391" s="7"/>
      <c r="Q391" s="8"/>
    </row>
    <row r="392">
      <c r="O392" s="6"/>
      <c r="P392" s="7"/>
      <c r="Q392" s="8"/>
    </row>
    <row r="393">
      <c r="O393" s="6"/>
      <c r="P393" s="7"/>
      <c r="Q393" s="8"/>
    </row>
    <row r="394">
      <c r="O394" s="6"/>
      <c r="P394" s="7"/>
      <c r="Q394" s="8"/>
    </row>
    <row r="395">
      <c r="O395" s="6"/>
      <c r="P395" s="7"/>
      <c r="Q395" s="8"/>
    </row>
    <row r="396">
      <c r="O396" s="6"/>
      <c r="P396" s="7"/>
      <c r="Q396" s="8"/>
    </row>
    <row r="397">
      <c r="O397" s="6"/>
      <c r="P397" s="7"/>
      <c r="Q397" s="8"/>
    </row>
    <row r="398">
      <c r="O398" s="6"/>
      <c r="P398" s="7"/>
      <c r="Q398" s="8"/>
    </row>
    <row r="399">
      <c r="O399" s="6"/>
      <c r="P399" s="7"/>
      <c r="Q399" s="8"/>
    </row>
    <row r="400">
      <c r="O400" s="6"/>
      <c r="P400" s="7"/>
      <c r="Q400" s="8"/>
    </row>
    <row r="401">
      <c r="O401" s="6"/>
      <c r="P401" s="7"/>
      <c r="Q401" s="8"/>
    </row>
    <row r="402">
      <c r="O402" s="6"/>
      <c r="P402" s="7"/>
      <c r="Q402" s="8"/>
    </row>
    <row r="403">
      <c r="O403" s="6"/>
      <c r="P403" s="7"/>
      <c r="Q403" s="8"/>
    </row>
    <row r="404">
      <c r="O404" s="6"/>
      <c r="P404" s="7"/>
      <c r="Q404" s="8"/>
    </row>
    <row r="405">
      <c r="O405" s="6"/>
      <c r="P405" s="7"/>
      <c r="Q405" s="8"/>
    </row>
    <row r="406">
      <c r="O406" s="6"/>
      <c r="P406" s="7"/>
      <c r="Q406" s="8"/>
    </row>
    <row r="407">
      <c r="O407" s="6"/>
      <c r="P407" s="7"/>
      <c r="Q407" s="8"/>
    </row>
    <row r="408">
      <c r="O408" s="6"/>
      <c r="P408" s="7"/>
      <c r="Q408" s="8"/>
    </row>
    <row r="409">
      <c r="O409" s="6"/>
      <c r="P409" s="7"/>
      <c r="Q409" s="8"/>
    </row>
    <row r="410">
      <c r="O410" s="6"/>
      <c r="P410" s="7"/>
      <c r="Q410" s="8"/>
    </row>
    <row r="411">
      <c r="O411" s="6"/>
      <c r="P411" s="7"/>
      <c r="Q411" s="8"/>
    </row>
    <row r="412">
      <c r="O412" s="6"/>
      <c r="P412" s="7"/>
      <c r="Q412" s="8"/>
    </row>
    <row r="413">
      <c r="O413" s="6"/>
      <c r="P413" s="7"/>
      <c r="Q413" s="8"/>
    </row>
    <row r="414">
      <c r="O414" s="6"/>
      <c r="P414" s="7"/>
      <c r="Q414" s="8"/>
    </row>
    <row r="415">
      <c r="O415" s="6"/>
      <c r="P415" s="7"/>
      <c r="Q415" s="8"/>
    </row>
    <row r="416">
      <c r="O416" s="6"/>
      <c r="P416" s="7"/>
      <c r="Q416" s="8"/>
    </row>
    <row r="417">
      <c r="O417" s="6"/>
      <c r="P417" s="7"/>
      <c r="Q417" s="8"/>
    </row>
    <row r="418">
      <c r="O418" s="6"/>
      <c r="P418" s="7"/>
      <c r="Q418" s="8"/>
    </row>
    <row r="419">
      <c r="O419" s="6"/>
      <c r="P419" s="7"/>
      <c r="Q419" s="8"/>
    </row>
    <row r="420">
      <c r="O420" s="6"/>
      <c r="P420" s="7"/>
      <c r="Q420" s="8"/>
    </row>
    <row r="421">
      <c r="O421" s="6"/>
      <c r="P421" s="7"/>
      <c r="Q421" s="8"/>
    </row>
    <row r="422">
      <c r="O422" s="6"/>
      <c r="P422" s="7"/>
      <c r="Q422" s="8"/>
    </row>
    <row r="423">
      <c r="O423" s="6"/>
      <c r="P423" s="7"/>
      <c r="Q423" s="8"/>
    </row>
    <row r="424">
      <c r="O424" s="6"/>
      <c r="P424" s="7"/>
      <c r="Q424" s="8"/>
    </row>
    <row r="425">
      <c r="O425" s="6"/>
      <c r="P425" s="7"/>
      <c r="Q425" s="8"/>
    </row>
    <row r="426">
      <c r="O426" s="6"/>
      <c r="P426" s="7"/>
      <c r="Q426" s="8"/>
    </row>
    <row r="427">
      <c r="O427" s="6"/>
      <c r="P427" s="7"/>
      <c r="Q427" s="8"/>
    </row>
    <row r="428">
      <c r="O428" s="6"/>
      <c r="P428" s="7"/>
      <c r="Q428" s="8"/>
    </row>
    <row r="429">
      <c r="O429" s="6"/>
      <c r="P429" s="7"/>
      <c r="Q429" s="8"/>
    </row>
    <row r="430">
      <c r="O430" s="6"/>
      <c r="P430" s="7"/>
      <c r="Q430" s="8"/>
    </row>
    <row r="431">
      <c r="O431" s="6"/>
      <c r="P431" s="7"/>
      <c r="Q431" s="8"/>
    </row>
    <row r="432">
      <c r="O432" s="6"/>
      <c r="P432" s="7"/>
      <c r="Q432" s="8"/>
    </row>
    <row r="433">
      <c r="O433" s="6"/>
      <c r="P433" s="7"/>
      <c r="Q433" s="8"/>
    </row>
    <row r="434">
      <c r="O434" s="6"/>
      <c r="P434" s="7"/>
      <c r="Q434" s="8"/>
    </row>
    <row r="435">
      <c r="O435" s="6"/>
      <c r="P435" s="7"/>
      <c r="Q435" s="8"/>
    </row>
    <row r="436">
      <c r="O436" s="6"/>
      <c r="P436" s="7"/>
      <c r="Q436" s="8"/>
    </row>
    <row r="437">
      <c r="O437" s="6"/>
      <c r="P437" s="7"/>
      <c r="Q437" s="8"/>
    </row>
    <row r="438">
      <c r="O438" s="6"/>
      <c r="P438" s="7"/>
      <c r="Q438" s="8"/>
    </row>
    <row r="439">
      <c r="O439" s="6"/>
      <c r="P439" s="7"/>
      <c r="Q439" s="8"/>
    </row>
    <row r="440">
      <c r="O440" s="6"/>
      <c r="P440" s="7"/>
      <c r="Q440" s="8"/>
    </row>
    <row r="441">
      <c r="O441" s="6"/>
      <c r="P441" s="7"/>
      <c r="Q441" s="8"/>
    </row>
    <row r="442">
      <c r="O442" s="6"/>
      <c r="P442" s="7"/>
      <c r="Q442" s="8"/>
    </row>
    <row r="443">
      <c r="O443" s="6"/>
      <c r="P443" s="7"/>
      <c r="Q443" s="8"/>
    </row>
    <row r="444">
      <c r="O444" s="6"/>
      <c r="P444" s="7"/>
      <c r="Q444" s="8"/>
    </row>
    <row r="445">
      <c r="O445" s="6"/>
      <c r="P445" s="7"/>
      <c r="Q445" s="8"/>
    </row>
    <row r="446">
      <c r="O446" s="6"/>
      <c r="P446" s="7"/>
      <c r="Q446" s="8"/>
    </row>
    <row r="447">
      <c r="O447" s="6"/>
      <c r="P447" s="7"/>
      <c r="Q447" s="8"/>
    </row>
    <row r="448">
      <c r="O448" s="6"/>
      <c r="P448" s="7"/>
      <c r="Q448" s="8"/>
    </row>
    <row r="449">
      <c r="O449" s="6"/>
      <c r="P449" s="7"/>
      <c r="Q449" s="8"/>
    </row>
    <row r="450">
      <c r="O450" s="6"/>
      <c r="P450" s="7"/>
      <c r="Q450" s="8"/>
    </row>
    <row r="451">
      <c r="O451" s="6"/>
      <c r="P451" s="7"/>
      <c r="Q451" s="8"/>
    </row>
    <row r="452">
      <c r="O452" s="6"/>
      <c r="P452" s="7"/>
      <c r="Q452" s="8"/>
    </row>
    <row r="453">
      <c r="O453" s="6"/>
      <c r="P453" s="7"/>
      <c r="Q453" s="8"/>
    </row>
    <row r="454">
      <c r="O454" s="6"/>
      <c r="P454" s="7"/>
      <c r="Q454" s="8"/>
    </row>
    <row r="455">
      <c r="O455" s="6"/>
      <c r="P455" s="7"/>
      <c r="Q455" s="8"/>
    </row>
    <row r="456">
      <c r="O456" s="6"/>
      <c r="P456" s="7"/>
      <c r="Q456" s="8"/>
    </row>
    <row r="457">
      <c r="O457" s="6"/>
      <c r="P457" s="7"/>
      <c r="Q457" s="8"/>
    </row>
    <row r="458">
      <c r="O458" s="6"/>
      <c r="P458" s="7"/>
      <c r="Q458" s="8"/>
    </row>
    <row r="459">
      <c r="O459" s="6"/>
      <c r="P459" s="7"/>
      <c r="Q459" s="8"/>
    </row>
    <row r="460">
      <c r="O460" s="6"/>
      <c r="P460" s="7"/>
      <c r="Q460" s="8"/>
    </row>
    <row r="461">
      <c r="O461" s="6"/>
      <c r="P461" s="7"/>
      <c r="Q461" s="8"/>
    </row>
    <row r="462">
      <c r="O462" s="6"/>
      <c r="P462" s="7"/>
      <c r="Q462" s="8"/>
    </row>
    <row r="463">
      <c r="O463" s="6"/>
      <c r="P463" s="7"/>
      <c r="Q463" s="8"/>
    </row>
    <row r="464">
      <c r="O464" s="6"/>
      <c r="P464" s="7"/>
      <c r="Q464" s="8"/>
    </row>
    <row r="465">
      <c r="O465" s="6"/>
      <c r="P465" s="7"/>
      <c r="Q465" s="8"/>
    </row>
    <row r="466">
      <c r="O466" s="6"/>
      <c r="P466" s="7"/>
      <c r="Q466" s="8"/>
    </row>
    <row r="467">
      <c r="O467" s="6"/>
      <c r="P467" s="7"/>
      <c r="Q467" s="8"/>
    </row>
    <row r="468">
      <c r="O468" s="6"/>
      <c r="P468" s="7"/>
      <c r="Q468" s="8"/>
    </row>
    <row r="469">
      <c r="O469" s="6"/>
      <c r="P469" s="7"/>
      <c r="Q469" s="8"/>
    </row>
    <row r="470">
      <c r="O470" s="6"/>
      <c r="P470" s="7"/>
      <c r="Q470" s="8"/>
    </row>
    <row r="471">
      <c r="O471" s="6"/>
      <c r="P471" s="7"/>
      <c r="Q471" s="8"/>
    </row>
    <row r="472">
      <c r="O472" s="6"/>
      <c r="P472" s="7"/>
      <c r="Q472" s="8"/>
    </row>
    <row r="473">
      <c r="O473" s="6"/>
      <c r="P473" s="7"/>
      <c r="Q473" s="8"/>
    </row>
    <row r="474">
      <c r="O474" s="6"/>
      <c r="P474" s="7"/>
      <c r="Q474" s="8"/>
    </row>
    <row r="475">
      <c r="O475" s="6"/>
      <c r="P475" s="7"/>
      <c r="Q475" s="8"/>
    </row>
    <row r="476">
      <c r="O476" s="6"/>
      <c r="P476" s="7"/>
      <c r="Q476" s="8"/>
    </row>
    <row r="477">
      <c r="O477" s="6"/>
      <c r="P477" s="7"/>
      <c r="Q477" s="8"/>
    </row>
    <row r="478">
      <c r="O478" s="6"/>
      <c r="P478" s="7"/>
      <c r="Q478" s="8"/>
    </row>
    <row r="479">
      <c r="O479" s="6"/>
      <c r="P479" s="7"/>
      <c r="Q479" s="8"/>
    </row>
    <row r="480">
      <c r="O480" s="6"/>
      <c r="P480" s="7"/>
      <c r="Q480" s="8"/>
    </row>
    <row r="481">
      <c r="O481" s="6"/>
      <c r="P481" s="7"/>
      <c r="Q481" s="8"/>
    </row>
    <row r="482">
      <c r="O482" s="6"/>
      <c r="P482" s="7"/>
      <c r="Q482" s="8"/>
    </row>
    <row r="483">
      <c r="O483" s="6"/>
      <c r="P483" s="7"/>
      <c r="Q483" s="8"/>
    </row>
    <row r="484">
      <c r="O484" s="6"/>
      <c r="P484" s="7"/>
      <c r="Q484" s="8"/>
    </row>
    <row r="485">
      <c r="O485" s="6"/>
      <c r="P485" s="7"/>
      <c r="Q485" s="8"/>
    </row>
    <row r="486">
      <c r="O486" s="6"/>
      <c r="P486" s="7"/>
      <c r="Q486" s="8"/>
    </row>
    <row r="487">
      <c r="O487" s="6"/>
      <c r="P487" s="7"/>
      <c r="Q487" s="8"/>
    </row>
    <row r="488">
      <c r="O488" s="6"/>
      <c r="P488" s="7"/>
      <c r="Q488" s="8"/>
    </row>
    <row r="489">
      <c r="O489" s="6"/>
      <c r="P489" s="7"/>
      <c r="Q489" s="8"/>
    </row>
    <row r="490">
      <c r="O490" s="6"/>
      <c r="P490" s="7"/>
      <c r="Q490" s="8"/>
    </row>
    <row r="491">
      <c r="O491" s="6"/>
      <c r="P491" s="7"/>
      <c r="Q491" s="8"/>
    </row>
    <row r="492">
      <c r="O492" s="6"/>
      <c r="P492" s="7"/>
      <c r="Q492" s="8"/>
    </row>
    <row r="493">
      <c r="O493" s="6"/>
      <c r="P493" s="7"/>
      <c r="Q493" s="8"/>
    </row>
    <row r="494">
      <c r="O494" s="6"/>
      <c r="P494" s="7"/>
      <c r="Q494" s="8"/>
    </row>
    <row r="495">
      <c r="O495" s="6"/>
      <c r="P495" s="7"/>
      <c r="Q495" s="8"/>
    </row>
    <row r="496">
      <c r="O496" s="6"/>
      <c r="P496" s="7"/>
      <c r="Q496" s="8"/>
    </row>
    <row r="497">
      <c r="O497" s="6"/>
      <c r="P497" s="7"/>
      <c r="Q497" s="8"/>
    </row>
    <row r="498">
      <c r="O498" s="6"/>
      <c r="P498" s="7"/>
      <c r="Q498" s="8"/>
    </row>
    <row r="499">
      <c r="O499" s="6"/>
      <c r="P499" s="7"/>
      <c r="Q499" s="8"/>
    </row>
    <row r="500">
      <c r="O500" s="6"/>
      <c r="P500" s="7"/>
      <c r="Q500" s="8"/>
    </row>
    <row r="501">
      <c r="O501" s="6"/>
      <c r="P501" s="7"/>
      <c r="Q501" s="8"/>
    </row>
    <row r="502">
      <c r="O502" s="6"/>
      <c r="P502" s="7"/>
      <c r="Q502" s="8"/>
    </row>
    <row r="503">
      <c r="O503" s="6"/>
      <c r="P503" s="7"/>
      <c r="Q503" s="8"/>
    </row>
    <row r="504">
      <c r="O504" s="6"/>
      <c r="P504" s="7"/>
      <c r="Q504" s="8"/>
    </row>
    <row r="505">
      <c r="O505" s="6"/>
      <c r="P505" s="7"/>
      <c r="Q505" s="8"/>
    </row>
    <row r="506">
      <c r="O506" s="6"/>
      <c r="P506" s="7"/>
      <c r="Q506" s="8"/>
    </row>
    <row r="507">
      <c r="O507" s="6"/>
      <c r="P507" s="7"/>
      <c r="Q507" s="8"/>
    </row>
    <row r="508">
      <c r="O508" s="6"/>
      <c r="P508" s="7"/>
      <c r="Q508" s="8"/>
    </row>
    <row r="509">
      <c r="O509" s="6"/>
      <c r="P509" s="7"/>
      <c r="Q509" s="8"/>
    </row>
    <row r="510">
      <c r="O510" s="6"/>
      <c r="P510" s="7"/>
      <c r="Q510" s="8"/>
    </row>
    <row r="511">
      <c r="O511" s="6"/>
      <c r="P511" s="7"/>
      <c r="Q511" s="8"/>
    </row>
    <row r="512">
      <c r="O512" s="6"/>
      <c r="P512" s="7"/>
      <c r="Q512" s="8"/>
    </row>
    <row r="513">
      <c r="O513" s="6"/>
      <c r="P513" s="7"/>
      <c r="Q513" s="8"/>
    </row>
    <row r="514">
      <c r="O514" s="6"/>
      <c r="P514" s="7"/>
      <c r="Q514" s="8"/>
    </row>
    <row r="515">
      <c r="O515" s="6"/>
      <c r="P515" s="7"/>
      <c r="Q515" s="8"/>
    </row>
    <row r="516">
      <c r="O516" s="6"/>
      <c r="P516" s="7"/>
      <c r="Q516" s="8"/>
    </row>
    <row r="517">
      <c r="O517" s="6"/>
      <c r="P517" s="7"/>
      <c r="Q517" s="8"/>
    </row>
    <row r="518">
      <c r="O518" s="6"/>
      <c r="P518" s="7"/>
      <c r="Q518" s="8"/>
    </row>
    <row r="519">
      <c r="O519" s="6"/>
      <c r="P519" s="7"/>
      <c r="Q519" s="8"/>
    </row>
    <row r="520">
      <c r="O520" s="6"/>
      <c r="P520" s="7"/>
      <c r="Q520" s="8"/>
    </row>
    <row r="521">
      <c r="O521" s="6"/>
      <c r="P521" s="7"/>
      <c r="Q521" s="8"/>
    </row>
    <row r="522">
      <c r="O522" s="6"/>
      <c r="P522" s="7"/>
      <c r="Q522" s="8"/>
    </row>
    <row r="523">
      <c r="O523" s="6"/>
      <c r="P523" s="7"/>
      <c r="Q523" s="8"/>
    </row>
    <row r="524">
      <c r="O524" s="6"/>
      <c r="P524" s="7"/>
      <c r="Q524" s="8"/>
    </row>
    <row r="525">
      <c r="O525" s="6"/>
      <c r="P525" s="7"/>
      <c r="Q525" s="8"/>
    </row>
    <row r="526">
      <c r="O526" s="6"/>
      <c r="P526" s="7"/>
      <c r="Q526" s="8"/>
    </row>
    <row r="527">
      <c r="O527" s="6"/>
      <c r="P527" s="7"/>
      <c r="Q527" s="8"/>
    </row>
    <row r="528">
      <c r="O528" s="6"/>
      <c r="P528" s="7"/>
      <c r="Q528" s="8"/>
    </row>
    <row r="529">
      <c r="O529" s="6"/>
      <c r="P529" s="7"/>
      <c r="Q529" s="8"/>
    </row>
    <row r="530">
      <c r="O530" s="6"/>
      <c r="P530" s="7"/>
      <c r="Q530" s="8"/>
    </row>
    <row r="531">
      <c r="O531" s="6"/>
      <c r="P531" s="7"/>
      <c r="Q531" s="8"/>
    </row>
    <row r="532">
      <c r="O532" s="6"/>
      <c r="P532" s="7"/>
      <c r="Q532" s="8"/>
    </row>
    <row r="533">
      <c r="O533" s="6"/>
      <c r="P533" s="7"/>
      <c r="Q533" s="8"/>
    </row>
    <row r="534">
      <c r="O534" s="6"/>
      <c r="P534" s="7"/>
      <c r="Q534" s="8"/>
    </row>
    <row r="535">
      <c r="O535" s="6"/>
      <c r="P535" s="7"/>
      <c r="Q535" s="8"/>
    </row>
    <row r="536">
      <c r="O536" s="6"/>
      <c r="P536" s="7"/>
      <c r="Q536" s="8"/>
    </row>
    <row r="537">
      <c r="O537" s="6"/>
      <c r="P537" s="7"/>
      <c r="Q537" s="8"/>
    </row>
    <row r="538">
      <c r="O538" s="6"/>
      <c r="P538" s="7"/>
      <c r="Q538" s="8"/>
    </row>
    <row r="539">
      <c r="O539" s="6"/>
      <c r="P539" s="7"/>
      <c r="Q539" s="8"/>
    </row>
    <row r="540">
      <c r="O540" s="6"/>
      <c r="P540" s="7"/>
      <c r="Q540" s="8"/>
    </row>
    <row r="541">
      <c r="O541" s="6"/>
      <c r="P541" s="7"/>
      <c r="Q541" s="8"/>
    </row>
    <row r="542">
      <c r="O542" s="6"/>
      <c r="P542" s="7"/>
      <c r="Q542" s="8"/>
    </row>
    <row r="543">
      <c r="O543" s="6"/>
      <c r="P543" s="7"/>
      <c r="Q543" s="8"/>
    </row>
    <row r="544">
      <c r="O544" s="6"/>
      <c r="P544" s="7"/>
      <c r="Q544" s="8"/>
    </row>
    <row r="545">
      <c r="O545" s="6"/>
      <c r="P545" s="7"/>
      <c r="Q545" s="8"/>
    </row>
    <row r="546">
      <c r="O546" s="6"/>
      <c r="P546" s="7"/>
      <c r="Q546" s="8"/>
    </row>
    <row r="547">
      <c r="O547" s="6"/>
      <c r="P547" s="7"/>
      <c r="Q547" s="8"/>
    </row>
    <row r="548">
      <c r="O548" s="6"/>
      <c r="P548" s="7"/>
      <c r="Q548" s="8"/>
    </row>
    <row r="549">
      <c r="O549" s="6"/>
      <c r="P549" s="7"/>
      <c r="Q549" s="8"/>
    </row>
    <row r="550">
      <c r="O550" s="6"/>
      <c r="P550" s="7"/>
      <c r="Q550" s="8"/>
    </row>
    <row r="551">
      <c r="O551" s="6"/>
      <c r="P551" s="7"/>
      <c r="Q551" s="8"/>
    </row>
    <row r="552">
      <c r="O552" s="6"/>
      <c r="P552" s="7"/>
      <c r="Q552" s="8"/>
    </row>
    <row r="553">
      <c r="O553" s="6"/>
      <c r="P553" s="7"/>
      <c r="Q553" s="8"/>
    </row>
    <row r="554">
      <c r="O554" s="6"/>
      <c r="P554" s="7"/>
      <c r="Q554" s="8"/>
    </row>
    <row r="555">
      <c r="O555" s="6"/>
      <c r="P555" s="7"/>
      <c r="Q555" s="8"/>
    </row>
    <row r="556">
      <c r="O556" s="6"/>
      <c r="P556" s="7"/>
      <c r="Q556" s="8"/>
    </row>
    <row r="557">
      <c r="O557" s="6"/>
      <c r="P557" s="7"/>
      <c r="Q557" s="8"/>
    </row>
    <row r="558">
      <c r="O558" s="6"/>
      <c r="P558" s="7"/>
      <c r="Q558" s="8"/>
    </row>
    <row r="559">
      <c r="O559" s="6"/>
      <c r="P559" s="7"/>
      <c r="Q559" s="8"/>
    </row>
    <row r="560">
      <c r="O560" s="6"/>
      <c r="P560" s="7"/>
      <c r="Q560" s="8"/>
    </row>
    <row r="561">
      <c r="O561" s="6"/>
      <c r="P561" s="7"/>
      <c r="Q561" s="8"/>
    </row>
    <row r="562">
      <c r="O562" s="6"/>
      <c r="P562" s="7"/>
      <c r="Q562" s="8"/>
    </row>
    <row r="563">
      <c r="O563" s="6"/>
      <c r="P563" s="7"/>
      <c r="Q563" s="8"/>
    </row>
    <row r="564">
      <c r="O564" s="6"/>
      <c r="P564" s="7"/>
      <c r="Q564" s="8"/>
    </row>
    <row r="565">
      <c r="O565" s="6"/>
      <c r="P565" s="7"/>
      <c r="Q565" s="8"/>
    </row>
    <row r="566">
      <c r="O566" s="6"/>
      <c r="P566" s="7"/>
      <c r="Q566" s="8"/>
    </row>
    <row r="567">
      <c r="O567" s="6"/>
      <c r="P567" s="7"/>
      <c r="Q567" s="8"/>
    </row>
    <row r="568">
      <c r="O568" s="6"/>
      <c r="P568" s="7"/>
      <c r="Q568" s="8"/>
    </row>
    <row r="569">
      <c r="O569" s="6"/>
      <c r="P569" s="7"/>
      <c r="Q569" s="8"/>
    </row>
    <row r="570">
      <c r="O570" s="6"/>
      <c r="P570" s="7"/>
      <c r="Q570" s="8"/>
    </row>
    <row r="571">
      <c r="O571" s="6"/>
      <c r="P571" s="7"/>
      <c r="Q571" s="8"/>
    </row>
    <row r="572">
      <c r="O572" s="6"/>
      <c r="P572" s="7"/>
      <c r="Q572" s="8"/>
    </row>
    <row r="573">
      <c r="O573" s="6"/>
      <c r="P573" s="7"/>
      <c r="Q573" s="8"/>
    </row>
    <row r="574">
      <c r="O574" s="6"/>
      <c r="P574" s="7"/>
      <c r="Q574" s="8"/>
    </row>
    <row r="575">
      <c r="O575" s="6"/>
      <c r="P575" s="7"/>
      <c r="Q575" s="8"/>
    </row>
    <row r="576">
      <c r="O576" s="6"/>
      <c r="P576" s="7"/>
      <c r="Q576" s="8"/>
    </row>
    <row r="577">
      <c r="O577" s="6"/>
      <c r="P577" s="7"/>
      <c r="Q577" s="8"/>
    </row>
    <row r="578">
      <c r="O578" s="6"/>
      <c r="P578" s="7"/>
      <c r="Q578" s="8"/>
    </row>
    <row r="579">
      <c r="O579" s="6"/>
      <c r="P579" s="7"/>
      <c r="Q579" s="8"/>
    </row>
    <row r="580">
      <c r="O580" s="6"/>
      <c r="P580" s="7"/>
      <c r="Q580" s="8"/>
    </row>
    <row r="581">
      <c r="O581" s="6"/>
      <c r="P581" s="7"/>
      <c r="Q581" s="8"/>
    </row>
    <row r="582">
      <c r="O582" s="6"/>
      <c r="P582" s="7"/>
      <c r="Q582" s="8"/>
    </row>
    <row r="583">
      <c r="O583" s="6"/>
      <c r="P583" s="7"/>
      <c r="Q583" s="8"/>
    </row>
    <row r="584">
      <c r="O584" s="6"/>
      <c r="P584" s="7"/>
      <c r="Q584" s="8"/>
    </row>
    <row r="585">
      <c r="O585" s="6"/>
      <c r="P585" s="7"/>
      <c r="Q585" s="8"/>
    </row>
    <row r="586">
      <c r="O586" s="6"/>
      <c r="P586" s="7"/>
      <c r="Q586" s="8"/>
    </row>
    <row r="587">
      <c r="O587" s="6"/>
      <c r="P587" s="7"/>
      <c r="Q587" s="8"/>
    </row>
    <row r="588">
      <c r="O588" s="6"/>
      <c r="P588" s="7"/>
      <c r="Q588" s="8"/>
    </row>
    <row r="589">
      <c r="O589" s="6"/>
      <c r="P589" s="7"/>
      <c r="Q589" s="8"/>
    </row>
    <row r="590">
      <c r="O590" s="6"/>
      <c r="P590" s="7"/>
      <c r="Q590" s="8"/>
    </row>
    <row r="591">
      <c r="O591" s="6"/>
      <c r="P591" s="7"/>
      <c r="Q591" s="8"/>
    </row>
    <row r="592">
      <c r="O592" s="6"/>
      <c r="P592" s="7"/>
      <c r="Q592" s="8"/>
    </row>
    <row r="593">
      <c r="O593" s="6"/>
      <c r="P593" s="7"/>
      <c r="Q593" s="8"/>
    </row>
    <row r="594">
      <c r="O594" s="6"/>
      <c r="P594" s="7"/>
      <c r="Q594" s="8"/>
    </row>
    <row r="595">
      <c r="O595" s="6"/>
      <c r="P595" s="7"/>
      <c r="Q595" s="8"/>
    </row>
    <row r="596">
      <c r="O596" s="6"/>
      <c r="P596" s="7"/>
      <c r="Q596" s="8"/>
    </row>
    <row r="597">
      <c r="O597" s="6"/>
      <c r="P597" s="7"/>
      <c r="Q597" s="8"/>
    </row>
    <row r="598">
      <c r="O598" s="6"/>
      <c r="P598" s="7"/>
      <c r="Q598" s="8"/>
    </row>
    <row r="599">
      <c r="O599" s="6"/>
      <c r="P599" s="7"/>
      <c r="Q599" s="8"/>
    </row>
    <row r="600">
      <c r="O600" s="6"/>
      <c r="P600" s="7"/>
      <c r="Q600" s="8"/>
    </row>
    <row r="601">
      <c r="O601" s="6"/>
      <c r="P601" s="7"/>
      <c r="Q601" s="8"/>
    </row>
    <row r="602">
      <c r="O602" s="6"/>
      <c r="P602" s="7"/>
      <c r="Q602" s="8"/>
    </row>
    <row r="603">
      <c r="O603" s="6"/>
      <c r="P603" s="7"/>
      <c r="Q603" s="8"/>
    </row>
    <row r="604">
      <c r="O604" s="6"/>
      <c r="P604" s="7"/>
      <c r="Q604" s="8"/>
    </row>
    <row r="605">
      <c r="O605" s="6"/>
      <c r="P605" s="7"/>
      <c r="Q605" s="8"/>
    </row>
    <row r="606">
      <c r="O606" s="6"/>
      <c r="P606" s="7"/>
      <c r="Q606" s="8"/>
    </row>
    <row r="607">
      <c r="O607" s="6"/>
      <c r="P607" s="7"/>
      <c r="Q607" s="8"/>
    </row>
    <row r="608">
      <c r="O608" s="6"/>
      <c r="P608" s="7"/>
      <c r="Q608" s="8"/>
    </row>
    <row r="609">
      <c r="O609" s="6"/>
      <c r="P609" s="7"/>
      <c r="Q609" s="8"/>
    </row>
    <row r="610">
      <c r="O610" s="6"/>
      <c r="P610" s="7"/>
      <c r="Q610" s="8"/>
    </row>
    <row r="611">
      <c r="O611" s="6"/>
      <c r="P611" s="7"/>
      <c r="Q611" s="8"/>
    </row>
    <row r="612">
      <c r="O612" s="6"/>
      <c r="P612" s="7"/>
      <c r="Q612" s="8"/>
    </row>
    <row r="613">
      <c r="O613" s="6"/>
      <c r="P613" s="7"/>
      <c r="Q613" s="8"/>
    </row>
    <row r="614">
      <c r="O614" s="6"/>
      <c r="P614" s="7"/>
      <c r="Q614" s="8"/>
    </row>
    <row r="615">
      <c r="O615" s="6"/>
      <c r="P615" s="7"/>
      <c r="Q615" s="8"/>
    </row>
    <row r="616">
      <c r="O616" s="6"/>
      <c r="P616" s="7"/>
      <c r="Q616" s="8"/>
    </row>
    <row r="617">
      <c r="O617" s="6"/>
      <c r="P617" s="7"/>
      <c r="Q617" s="8"/>
    </row>
    <row r="618">
      <c r="O618" s="6"/>
      <c r="P618" s="7"/>
      <c r="Q618" s="8"/>
    </row>
    <row r="619">
      <c r="O619" s="6"/>
      <c r="P619" s="7"/>
      <c r="Q619" s="8"/>
    </row>
    <row r="620">
      <c r="O620" s="6"/>
      <c r="P620" s="7"/>
      <c r="Q620" s="8"/>
    </row>
    <row r="621">
      <c r="O621" s="6"/>
      <c r="P621" s="7"/>
      <c r="Q621" s="8"/>
    </row>
    <row r="622">
      <c r="O622" s="6"/>
      <c r="P622" s="7"/>
      <c r="Q622" s="8"/>
    </row>
    <row r="623">
      <c r="O623" s="6"/>
      <c r="P623" s="7"/>
      <c r="Q623" s="8"/>
    </row>
    <row r="624">
      <c r="O624" s="6"/>
      <c r="P624" s="7"/>
      <c r="Q624" s="8"/>
    </row>
    <row r="625">
      <c r="O625" s="6"/>
      <c r="P625" s="7"/>
      <c r="Q625" s="8"/>
    </row>
    <row r="626">
      <c r="O626" s="6"/>
      <c r="P626" s="7"/>
      <c r="Q626" s="8"/>
    </row>
    <row r="627">
      <c r="O627" s="6"/>
      <c r="P627" s="7"/>
      <c r="Q627" s="8"/>
    </row>
    <row r="628">
      <c r="O628" s="6"/>
      <c r="P628" s="7"/>
      <c r="Q628" s="8"/>
    </row>
    <row r="629">
      <c r="O629" s="6"/>
      <c r="P629" s="7"/>
      <c r="Q629" s="8"/>
    </row>
    <row r="630">
      <c r="O630" s="6"/>
      <c r="P630" s="7"/>
      <c r="Q630" s="8"/>
    </row>
    <row r="631">
      <c r="O631" s="6"/>
      <c r="P631" s="7"/>
      <c r="Q631" s="8"/>
    </row>
    <row r="632">
      <c r="O632" s="6"/>
      <c r="P632" s="7"/>
      <c r="Q632" s="8"/>
    </row>
    <row r="633">
      <c r="O633" s="6"/>
      <c r="P633" s="7"/>
      <c r="Q633" s="8"/>
    </row>
    <row r="634">
      <c r="O634" s="6"/>
      <c r="P634" s="7"/>
      <c r="Q634" s="8"/>
    </row>
    <row r="635">
      <c r="O635" s="6"/>
      <c r="P635" s="7"/>
      <c r="Q635" s="8"/>
    </row>
    <row r="636">
      <c r="O636" s="6"/>
      <c r="P636" s="7"/>
      <c r="Q636" s="8"/>
    </row>
    <row r="637">
      <c r="O637" s="6"/>
      <c r="P637" s="7"/>
      <c r="Q637" s="8"/>
    </row>
    <row r="638">
      <c r="O638" s="6"/>
      <c r="P638" s="7"/>
      <c r="Q638" s="8"/>
    </row>
    <row r="639">
      <c r="O639" s="6"/>
      <c r="P639" s="7"/>
      <c r="Q639" s="8"/>
    </row>
    <row r="640">
      <c r="O640" s="6"/>
      <c r="P640" s="7"/>
      <c r="Q640" s="8"/>
    </row>
    <row r="641">
      <c r="O641" s="6"/>
      <c r="P641" s="7"/>
      <c r="Q641" s="8"/>
    </row>
    <row r="642">
      <c r="O642" s="6"/>
      <c r="P642" s="7"/>
      <c r="Q642" s="8"/>
    </row>
    <row r="643">
      <c r="O643" s="6"/>
      <c r="P643" s="7"/>
      <c r="Q643" s="8"/>
    </row>
    <row r="644">
      <c r="O644" s="6"/>
      <c r="P644" s="7"/>
      <c r="Q644" s="8"/>
    </row>
    <row r="645">
      <c r="O645" s="6"/>
      <c r="P645" s="7"/>
      <c r="Q645" s="8"/>
    </row>
    <row r="646">
      <c r="O646" s="6"/>
      <c r="P646" s="7"/>
      <c r="Q646" s="8"/>
    </row>
    <row r="647">
      <c r="O647" s="6"/>
      <c r="P647" s="7"/>
      <c r="Q647" s="8"/>
    </row>
    <row r="648">
      <c r="O648" s="6"/>
      <c r="P648" s="7"/>
      <c r="Q648" s="8"/>
    </row>
    <row r="649">
      <c r="O649" s="6"/>
      <c r="P649" s="7"/>
      <c r="Q649" s="8"/>
    </row>
    <row r="650">
      <c r="O650" s="6"/>
      <c r="P650" s="7"/>
      <c r="Q650" s="8"/>
    </row>
    <row r="651">
      <c r="O651" s="6"/>
      <c r="P651" s="7"/>
      <c r="Q651" s="8"/>
    </row>
    <row r="652">
      <c r="O652" s="6"/>
      <c r="P652" s="7"/>
      <c r="Q652" s="8"/>
    </row>
    <row r="653">
      <c r="O653" s="6"/>
      <c r="P653" s="7"/>
      <c r="Q653" s="8"/>
    </row>
    <row r="654">
      <c r="O654" s="6"/>
      <c r="P654" s="7"/>
      <c r="Q654" s="8"/>
    </row>
    <row r="655">
      <c r="O655" s="6"/>
      <c r="P655" s="7"/>
      <c r="Q655" s="8"/>
    </row>
    <row r="656">
      <c r="O656" s="6"/>
      <c r="P656" s="7"/>
      <c r="Q656" s="8"/>
    </row>
    <row r="657">
      <c r="O657" s="6"/>
      <c r="P657" s="7"/>
      <c r="Q657" s="8"/>
    </row>
    <row r="658">
      <c r="O658" s="6"/>
      <c r="P658" s="7"/>
      <c r="Q658" s="8"/>
    </row>
    <row r="659">
      <c r="O659" s="6"/>
      <c r="P659" s="7"/>
      <c r="Q659" s="8"/>
    </row>
    <row r="660">
      <c r="O660" s="6"/>
      <c r="P660" s="7"/>
      <c r="Q660" s="8"/>
    </row>
    <row r="661">
      <c r="O661" s="6"/>
      <c r="P661" s="7"/>
      <c r="Q661" s="8"/>
    </row>
    <row r="662">
      <c r="O662" s="6"/>
      <c r="P662" s="7"/>
      <c r="Q662" s="8"/>
    </row>
    <row r="663">
      <c r="O663" s="6"/>
      <c r="P663" s="7"/>
      <c r="Q663" s="8"/>
    </row>
    <row r="664">
      <c r="O664" s="6"/>
      <c r="P664" s="7"/>
      <c r="Q664" s="8"/>
    </row>
    <row r="665">
      <c r="O665" s="6"/>
      <c r="P665" s="7"/>
      <c r="Q665" s="8"/>
    </row>
    <row r="666">
      <c r="O666" s="6"/>
      <c r="P666" s="7"/>
      <c r="Q666" s="8"/>
    </row>
    <row r="667">
      <c r="O667" s="6"/>
      <c r="P667" s="7"/>
      <c r="Q667" s="8"/>
    </row>
    <row r="668">
      <c r="O668" s="6"/>
      <c r="P668" s="7"/>
      <c r="Q668" s="8"/>
    </row>
    <row r="669">
      <c r="O669" s="6"/>
      <c r="P669" s="7"/>
      <c r="Q669" s="8"/>
    </row>
    <row r="670">
      <c r="O670" s="6"/>
      <c r="P670" s="7"/>
      <c r="Q670" s="8"/>
    </row>
    <row r="671">
      <c r="O671" s="6"/>
      <c r="P671" s="7"/>
      <c r="Q671" s="8"/>
    </row>
    <row r="672">
      <c r="O672" s="6"/>
      <c r="P672" s="7"/>
      <c r="Q672" s="8"/>
    </row>
    <row r="673">
      <c r="O673" s="6"/>
      <c r="P673" s="7"/>
      <c r="Q673" s="8"/>
    </row>
    <row r="674">
      <c r="O674" s="6"/>
      <c r="P674" s="7"/>
      <c r="Q674" s="8"/>
    </row>
    <row r="675">
      <c r="O675" s="6"/>
      <c r="P675" s="7"/>
      <c r="Q675" s="8"/>
    </row>
    <row r="676">
      <c r="O676" s="6"/>
      <c r="P676" s="7"/>
      <c r="Q676" s="8"/>
    </row>
    <row r="677">
      <c r="O677" s="6"/>
      <c r="P677" s="7"/>
      <c r="Q677" s="8"/>
    </row>
    <row r="678">
      <c r="O678" s="6"/>
      <c r="P678" s="7"/>
      <c r="Q678" s="8"/>
    </row>
    <row r="679">
      <c r="O679" s="6"/>
      <c r="P679" s="7"/>
      <c r="Q679" s="8"/>
    </row>
    <row r="680">
      <c r="O680" s="6"/>
      <c r="P680" s="7"/>
      <c r="Q680" s="8"/>
    </row>
    <row r="681">
      <c r="O681" s="6"/>
      <c r="P681" s="7"/>
      <c r="Q681" s="8"/>
    </row>
    <row r="682">
      <c r="O682" s="6"/>
      <c r="P682" s="7"/>
      <c r="Q682" s="8"/>
    </row>
    <row r="683">
      <c r="O683" s="6"/>
      <c r="P683" s="7"/>
      <c r="Q683" s="8"/>
    </row>
    <row r="684">
      <c r="O684" s="6"/>
      <c r="P684" s="7"/>
      <c r="Q684" s="8"/>
    </row>
    <row r="685">
      <c r="O685" s="6"/>
      <c r="P685" s="7"/>
      <c r="Q685" s="8"/>
    </row>
    <row r="686">
      <c r="O686" s="6"/>
      <c r="P686" s="7"/>
      <c r="Q686" s="8"/>
    </row>
    <row r="687">
      <c r="O687" s="6"/>
      <c r="P687" s="7"/>
      <c r="Q687" s="8"/>
    </row>
    <row r="688">
      <c r="O688" s="6"/>
      <c r="P688" s="7"/>
      <c r="Q688" s="8"/>
    </row>
    <row r="689">
      <c r="O689" s="6"/>
      <c r="P689" s="7"/>
      <c r="Q689" s="8"/>
    </row>
    <row r="690">
      <c r="O690" s="6"/>
      <c r="P690" s="7"/>
      <c r="Q690" s="8"/>
    </row>
    <row r="691">
      <c r="O691" s="6"/>
      <c r="P691" s="7"/>
      <c r="Q691" s="8"/>
    </row>
    <row r="692">
      <c r="O692" s="6"/>
      <c r="P692" s="7"/>
      <c r="Q692" s="8"/>
    </row>
    <row r="693">
      <c r="O693" s="6"/>
      <c r="P693" s="7"/>
      <c r="Q693" s="8"/>
    </row>
    <row r="694">
      <c r="O694" s="6"/>
      <c r="P694" s="7"/>
      <c r="Q694" s="8"/>
    </row>
    <row r="695">
      <c r="O695" s="6"/>
      <c r="P695" s="7"/>
      <c r="Q695" s="8"/>
    </row>
    <row r="696">
      <c r="O696" s="6"/>
      <c r="P696" s="7"/>
      <c r="Q696" s="8"/>
    </row>
    <row r="697">
      <c r="O697" s="6"/>
      <c r="P697" s="7"/>
      <c r="Q697" s="8"/>
    </row>
    <row r="698">
      <c r="O698" s="6"/>
      <c r="P698" s="7"/>
      <c r="Q698" s="8"/>
    </row>
    <row r="699">
      <c r="O699" s="6"/>
      <c r="P699" s="7"/>
      <c r="Q699" s="8"/>
    </row>
    <row r="700">
      <c r="O700" s="6"/>
      <c r="P700" s="7"/>
      <c r="Q700" s="8"/>
    </row>
    <row r="701">
      <c r="O701" s="6"/>
      <c r="P701" s="7"/>
      <c r="Q701" s="8"/>
    </row>
    <row r="702">
      <c r="O702" s="6"/>
      <c r="P702" s="7"/>
      <c r="Q702" s="8"/>
    </row>
    <row r="703">
      <c r="O703" s="6"/>
      <c r="P703" s="7"/>
      <c r="Q703" s="8"/>
    </row>
    <row r="704">
      <c r="O704" s="6"/>
      <c r="P704" s="7"/>
      <c r="Q704" s="8"/>
    </row>
    <row r="705">
      <c r="O705" s="6"/>
      <c r="P705" s="7"/>
      <c r="Q705" s="8"/>
    </row>
    <row r="706">
      <c r="O706" s="6"/>
      <c r="P706" s="7"/>
      <c r="Q706" s="8"/>
    </row>
    <row r="707">
      <c r="O707" s="6"/>
      <c r="P707" s="7"/>
      <c r="Q707" s="8"/>
    </row>
    <row r="708">
      <c r="O708" s="6"/>
      <c r="P708" s="7"/>
      <c r="Q708" s="8"/>
    </row>
    <row r="709">
      <c r="O709" s="6"/>
      <c r="P709" s="7"/>
      <c r="Q709" s="8"/>
    </row>
    <row r="710">
      <c r="O710" s="6"/>
      <c r="P710" s="7"/>
      <c r="Q710" s="8"/>
    </row>
    <row r="711">
      <c r="O711" s="6"/>
      <c r="P711" s="7"/>
      <c r="Q711" s="8"/>
    </row>
    <row r="712">
      <c r="O712" s="6"/>
      <c r="P712" s="7"/>
      <c r="Q712" s="8"/>
    </row>
    <row r="713">
      <c r="O713" s="6"/>
      <c r="P713" s="7"/>
      <c r="Q713" s="8"/>
    </row>
    <row r="714">
      <c r="O714" s="6"/>
      <c r="P714" s="7"/>
      <c r="Q714" s="8"/>
    </row>
    <row r="715">
      <c r="O715" s="6"/>
      <c r="P715" s="7"/>
      <c r="Q715" s="8"/>
    </row>
    <row r="716">
      <c r="O716" s="6"/>
      <c r="P716" s="7"/>
      <c r="Q716" s="8"/>
    </row>
    <row r="717">
      <c r="O717" s="6"/>
      <c r="P717" s="7"/>
      <c r="Q717" s="8"/>
    </row>
    <row r="718">
      <c r="O718" s="6"/>
      <c r="P718" s="7"/>
      <c r="Q718" s="8"/>
    </row>
    <row r="719">
      <c r="O719" s="6"/>
      <c r="P719" s="7"/>
      <c r="Q719" s="8"/>
    </row>
    <row r="720">
      <c r="O720" s="6"/>
      <c r="P720" s="7"/>
      <c r="Q720" s="8"/>
    </row>
    <row r="721">
      <c r="O721" s="6"/>
      <c r="P721" s="7"/>
      <c r="Q721" s="8"/>
    </row>
    <row r="722">
      <c r="O722" s="6"/>
      <c r="P722" s="7"/>
      <c r="Q722" s="8"/>
    </row>
    <row r="723">
      <c r="O723" s="6"/>
      <c r="P723" s="7"/>
      <c r="Q723" s="8"/>
    </row>
    <row r="724">
      <c r="O724" s="6"/>
      <c r="P724" s="7"/>
      <c r="Q724" s="8"/>
    </row>
    <row r="725">
      <c r="O725" s="6"/>
      <c r="P725" s="7"/>
      <c r="Q725" s="8"/>
    </row>
    <row r="726">
      <c r="O726" s="6"/>
      <c r="P726" s="7"/>
      <c r="Q726" s="8"/>
    </row>
    <row r="727">
      <c r="O727" s="6"/>
      <c r="P727" s="7"/>
      <c r="Q727" s="8"/>
    </row>
    <row r="728">
      <c r="O728" s="6"/>
      <c r="P728" s="7"/>
      <c r="Q728" s="8"/>
    </row>
    <row r="729">
      <c r="O729" s="6"/>
      <c r="P729" s="7"/>
      <c r="Q729" s="8"/>
    </row>
    <row r="730">
      <c r="O730" s="6"/>
      <c r="P730" s="7"/>
      <c r="Q730" s="8"/>
    </row>
    <row r="731">
      <c r="O731" s="6"/>
      <c r="P731" s="7"/>
      <c r="Q731" s="8"/>
    </row>
    <row r="732">
      <c r="O732" s="6"/>
      <c r="P732" s="7"/>
      <c r="Q732" s="8"/>
    </row>
    <row r="733">
      <c r="O733" s="6"/>
      <c r="P733" s="7"/>
      <c r="Q733" s="8"/>
    </row>
    <row r="734">
      <c r="O734" s="6"/>
      <c r="P734" s="7"/>
      <c r="Q734" s="8"/>
    </row>
    <row r="735">
      <c r="O735" s="6"/>
      <c r="P735" s="7"/>
      <c r="Q735" s="8"/>
    </row>
    <row r="736">
      <c r="O736" s="6"/>
      <c r="P736" s="7"/>
      <c r="Q736" s="8"/>
    </row>
    <row r="737">
      <c r="O737" s="6"/>
      <c r="P737" s="7"/>
      <c r="Q737" s="8"/>
    </row>
    <row r="738">
      <c r="O738" s="6"/>
      <c r="P738" s="7"/>
      <c r="Q738" s="8"/>
    </row>
    <row r="739">
      <c r="O739" s="6"/>
      <c r="P739" s="7"/>
      <c r="Q739" s="8"/>
    </row>
    <row r="740">
      <c r="O740" s="6"/>
      <c r="P740" s="7"/>
      <c r="Q740" s="8"/>
    </row>
    <row r="741">
      <c r="O741" s="6"/>
      <c r="P741" s="7"/>
      <c r="Q741" s="8"/>
    </row>
    <row r="742">
      <c r="O742" s="6"/>
      <c r="P742" s="7"/>
      <c r="Q742" s="8"/>
    </row>
    <row r="743">
      <c r="O743" s="6"/>
      <c r="P743" s="7"/>
      <c r="Q743" s="8"/>
    </row>
    <row r="744">
      <c r="O744" s="6"/>
      <c r="P744" s="7"/>
      <c r="Q744" s="8"/>
    </row>
    <row r="745">
      <c r="O745" s="6"/>
      <c r="P745" s="7"/>
      <c r="Q745" s="8"/>
    </row>
    <row r="746">
      <c r="O746" s="6"/>
      <c r="P746" s="7"/>
      <c r="Q746" s="8"/>
    </row>
    <row r="747">
      <c r="O747" s="6"/>
      <c r="P747" s="7"/>
      <c r="Q747" s="8"/>
    </row>
    <row r="748">
      <c r="O748" s="6"/>
      <c r="P748" s="7"/>
      <c r="Q748" s="8"/>
    </row>
    <row r="749">
      <c r="O749" s="6"/>
      <c r="P749" s="7"/>
      <c r="Q749" s="8"/>
    </row>
    <row r="750">
      <c r="O750" s="6"/>
      <c r="P750" s="7"/>
      <c r="Q750" s="8"/>
    </row>
    <row r="751">
      <c r="O751" s="6"/>
      <c r="P751" s="7"/>
      <c r="Q751" s="8"/>
    </row>
    <row r="752">
      <c r="O752" s="6"/>
      <c r="P752" s="7"/>
      <c r="Q752" s="8"/>
    </row>
    <row r="753">
      <c r="O753" s="6"/>
      <c r="P753" s="7"/>
      <c r="Q753" s="8"/>
    </row>
    <row r="754">
      <c r="O754" s="6"/>
      <c r="P754" s="7"/>
      <c r="Q754" s="8"/>
    </row>
    <row r="755">
      <c r="O755" s="6"/>
      <c r="P755" s="7"/>
      <c r="Q755" s="8"/>
    </row>
    <row r="756">
      <c r="O756" s="6"/>
      <c r="P756" s="7"/>
      <c r="Q756" s="8"/>
    </row>
    <row r="757">
      <c r="O757" s="6"/>
      <c r="P757" s="7"/>
      <c r="Q757" s="8"/>
    </row>
    <row r="758">
      <c r="O758" s="6"/>
      <c r="P758" s="7"/>
      <c r="Q758" s="8"/>
    </row>
    <row r="759">
      <c r="O759" s="6"/>
      <c r="P759" s="7"/>
      <c r="Q759" s="8"/>
    </row>
    <row r="760">
      <c r="O760" s="6"/>
      <c r="P760" s="7"/>
      <c r="Q760" s="8"/>
    </row>
    <row r="761">
      <c r="O761" s="6"/>
      <c r="P761" s="7"/>
      <c r="Q761" s="8"/>
    </row>
    <row r="762">
      <c r="O762" s="6"/>
      <c r="P762" s="7"/>
      <c r="Q762" s="8"/>
    </row>
    <row r="763">
      <c r="O763" s="6"/>
      <c r="P763" s="7"/>
      <c r="Q763" s="8"/>
    </row>
    <row r="764">
      <c r="O764" s="6"/>
      <c r="P764" s="7"/>
      <c r="Q764" s="8"/>
    </row>
    <row r="765">
      <c r="O765" s="6"/>
      <c r="P765" s="7"/>
      <c r="Q765" s="8"/>
    </row>
    <row r="766">
      <c r="O766" s="6"/>
      <c r="P766" s="7"/>
      <c r="Q766" s="8"/>
    </row>
    <row r="767">
      <c r="O767" s="6"/>
      <c r="P767" s="7"/>
      <c r="Q767" s="8"/>
    </row>
    <row r="768">
      <c r="O768" s="6"/>
      <c r="P768" s="7"/>
      <c r="Q768" s="8"/>
    </row>
    <row r="769">
      <c r="O769" s="6"/>
      <c r="P769" s="7"/>
      <c r="Q769" s="8"/>
    </row>
    <row r="770">
      <c r="O770" s="6"/>
      <c r="P770" s="7"/>
      <c r="Q770" s="8"/>
    </row>
    <row r="771">
      <c r="O771" s="6"/>
      <c r="P771" s="7"/>
      <c r="Q771" s="8"/>
    </row>
    <row r="772">
      <c r="O772" s="6"/>
      <c r="P772" s="7"/>
      <c r="Q772" s="8"/>
    </row>
    <row r="773">
      <c r="O773" s="6"/>
      <c r="P773" s="7"/>
      <c r="Q773" s="8"/>
    </row>
    <row r="774">
      <c r="O774" s="6"/>
      <c r="P774" s="7"/>
      <c r="Q774" s="8"/>
    </row>
    <row r="775">
      <c r="O775" s="6"/>
      <c r="P775" s="7"/>
      <c r="Q775" s="8"/>
    </row>
    <row r="776">
      <c r="O776" s="6"/>
      <c r="P776" s="7"/>
      <c r="Q776" s="8"/>
    </row>
    <row r="777">
      <c r="O777" s="6"/>
      <c r="P777" s="7"/>
      <c r="Q777" s="8"/>
    </row>
    <row r="778">
      <c r="O778" s="6"/>
      <c r="P778" s="7"/>
      <c r="Q778" s="8"/>
    </row>
    <row r="779">
      <c r="O779" s="6"/>
      <c r="P779" s="7"/>
      <c r="Q779" s="8"/>
    </row>
    <row r="780">
      <c r="O780" s="6"/>
      <c r="P780" s="7"/>
      <c r="Q780" s="8"/>
    </row>
    <row r="781">
      <c r="O781" s="6"/>
      <c r="P781" s="7"/>
      <c r="Q781" s="8"/>
    </row>
    <row r="782">
      <c r="O782" s="6"/>
      <c r="P782" s="7"/>
      <c r="Q782" s="8"/>
    </row>
    <row r="783">
      <c r="O783" s="6"/>
      <c r="P783" s="7"/>
      <c r="Q783" s="8"/>
    </row>
    <row r="784">
      <c r="O784" s="6"/>
      <c r="P784" s="7"/>
      <c r="Q784" s="8"/>
    </row>
    <row r="785">
      <c r="O785" s="6"/>
      <c r="P785" s="7"/>
      <c r="Q785" s="8"/>
    </row>
    <row r="786">
      <c r="O786" s="6"/>
      <c r="P786" s="7"/>
      <c r="Q786" s="8"/>
    </row>
    <row r="787">
      <c r="O787" s="6"/>
      <c r="P787" s="7"/>
      <c r="Q787" s="8"/>
    </row>
    <row r="788">
      <c r="O788" s="6"/>
      <c r="P788" s="7"/>
      <c r="Q788" s="8"/>
    </row>
    <row r="789">
      <c r="O789" s="6"/>
      <c r="P789" s="7"/>
      <c r="Q789" s="8"/>
    </row>
    <row r="790">
      <c r="O790" s="6"/>
      <c r="P790" s="7"/>
      <c r="Q790" s="8"/>
    </row>
    <row r="791">
      <c r="O791" s="6"/>
      <c r="P791" s="7"/>
      <c r="Q791" s="8"/>
    </row>
    <row r="792">
      <c r="O792" s="6"/>
      <c r="P792" s="7"/>
      <c r="Q792" s="8"/>
    </row>
    <row r="793">
      <c r="O793" s="6"/>
      <c r="P793" s="7"/>
      <c r="Q793" s="8"/>
    </row>
    <row r="794">
      <c r="O794" s="6"/>
      <c r="P794" s="7"/>
      <c r="Q794" s="8"/>
    </row>
    <row r="795">
      <c r="O795" s="6"/>
      <c r="P795" s="7"/>
      <c r="Q795" s="8"/>
    </row>
    <row r="796">
      <c r="O796" s="6"/>
      <c r="P796" s="7"/>
      <c r="Q796" s="8"/>
    </row>
    <row r="797">
      <c r="O797" s="6"/>
      <c r="P797" s="7"/>
      <c r="Q797" s="8"/>
    </row>
    <row r="798">
      <c r="O798" s="6"/>
      <c r="P798" s="7"/>
      <c r="Q798" s="8"/>
    </row>
    <row r="799">
      <c r="O799" s="6"/>
      <c r="P799" s="7"/>
      <c r="Q799" s="8"/>
    </row>
    <row r="800">
      <c r="O800" s="6"/>
      <c r="P800" s="7"/>
      <c r="Q800" s="8"/>
    </row>
    <row r="801">
      <c r="O801" s="6"/>
      <c r="P801" s="7"/>
      <c r="Q801" s="8"/>
    </row>
    <row r="802">
      <c r="O802" s="6"/>
      <c r="P802" s="7"/>
      <c r="Q802" s="8"/>
    </row>
    <row r="803">
      <c r="O803" s="6"/>
      <c r="P803" s="7"/>
      <c r="Q803" s="8"/>
    </row>
    <row r="804">
      <c r="O804" s="6"/>
      <c r="P804" s="7"/>
      <c r="Q804" s="8"/>
    </row>
    <row r="805">
      <c r="O805" s="6"/>
      <c r="P805" s="7"/>
      <c r="Q805" s="8"/>
    </row>
    <row r="806">
      <c r="O806" s="6"/>
      <c r="P806" s="7"/>
      <c r="Q806" s="8"/>
    </row>
    <row r="807">
      <c r="O807" s="6"/>
      <c r="P807" s="7"/>
      <c r="Q807" s="8"/>
    </row>
    <row r="808">
      <c r="O808" s="6"/>
      <c r="P808" s="7"/>
      <c r="Q808" s="8"/>
    </row>
    <row r="809">
      <c r="O809" s="6"/>
      <c r="P809" s="7"/>
      <c r="Q809" s="8"/>
    </row>
    <row r="810">
      <c r="O810" s="6"/>
      <c r="P810" s="7"/>
      <c r="Q810" s="8"/>
    </row>
    <row r="811">
      <c r="O811" s="6"/>
      <c r="P811" s="7"/>
      <c r="Q811" s="8"/>
    </row>
    <row r="812">
      <c r="O812" s="6"/>
      <c r="P812" s="7"/>
      <c r="Q812" s="8"/>
    </row>
    <row r="813">
      <c r="O813" s="6"/>
      <c r="P813" s="7"/>
      <c r="Q813" s="8"/>
    </row>
    <row r="814">
      <c r="O814" s="6"/>
      <c r="P814" s="7"/>
      <c r="Q814" s="8"/>
    </row>
    <row r="815">
      <c r="O815" s="6"/>
      <c r="P815" s="7"/>
      <c r="Q815" s="8"/>
    </row>
    <row r="816">
      <c r="O816" s="6"/>
      <c r="P816" s="7"/>
      <c r="Q816" s="8"/>
    </row>
    <row r="817">
      <c r="O817" s="6"/>
      <c r="P817" s="7"/>
      <c r="Q817" s="8"/>
    </row>
    <row r="818">
      <c r="O818" s="6"/>
      <c r="P818" s="7"/>
      <c r="Q818" s="8"/>
    </row>
    <row r="819">
      <c r="O819" s="6"/>
      <c r="P819" s="7"/>
      <c r="Q819" s="8"/>
    </row>
    <row r="820">
      <c r="O820" s="6"/>
      <c r="P820" s="7"/>
      <c r="Q820" s="8"/>
    </row>
    <row r="821">
      <c r="O821" s="6"/>
      <c r="P821" s="7"/>
      <c r="Q821" s="8"/>
    </row>
    <row r="822">
      <c r="O822" s="6"/>
      <c r="P822" s="7"/>
      <c r="Q822" s="8"/>
    </row>
    <row r="823">
      <c r="O823" s="6"/>
      <c r="P823" s="7"/>
      <c r="Q823" s="8"/>
    </row>
    <row r="824">
      <c r="O824" s="6"/>
      <c r="P824" s="7"/>
      <c r="Q824" s="8"/>
    </row>
    <row r="825">
      <c r="O825" s="6"/>
      <c r="P825" s="7"/>
      <c r="Q825" s="8"/>
    </row>
    <row r="826">
      <c r="O826" s="6"/>
      <c r="P826" s="7"/>
      <c r="Q826" s="8"/>
    </row>
    <row r="827">
      <c r="O827" s="6"/>
      <c r="P827" s="7"/>
      <c r="Q827" s="8"/>
    </row>
    <row r="828">
      <c r="O828" s="6"/>
      <c r="P828" s="7"/>
      <c r="Q828" s="8"/>
    </row>
    <row r="829">
      <c r="O829" s="6"/>
      <c r="P829" s="7"/>
      <c r="Q829" s="8"/>
    </row>
    <row r="830">
      <c r="O830" s="6"/>
      <c r="P830" s="7"/>
      <c r="Q830" s="8"/>
    </row>
    <row r="831">
      <c r="O831" s="6"/>
      <c r="P831" s="7"/>
      <c r="Q831" s="8"/>
    </row>
    <row r="832">
      <c r="O832" s="6"/>
      <c r="P832" s="7"/>
      <c r="Q832" s="8"/>
    </row>
    <row r="833">
      <c r="O833" s="6"/>
      <c r="P833" s="7"/>
      <c r="Q833" s="8"/>
    </row>
    <row r="834">
      <c r="O834" s="6"/>
      <c r="P834" s="7"/>
      <c r="Q834" s="8"/>
    </row>
    <row r="835">
      <c r="O835" s="6"/>
      <c r="P835" s="7"/>
      <c r="Q835" s="8"/>
    </row>
    <row r="836">
      <c r="O836" s="6"/>
      <c r="P836" s="7"/>
      <c r="Q836" s="8"/>
    </row>
    <row r="837">
      <c r="O837" s="6"/>
      <c r="P837" s="7"/>
      <c r="Q837" s="8"/>
    </row>
    <row r="838">
      <c r="O838" s="6"/>
      <c r="P838" s="7"/>
      <c r="Q838" s="8"/>
    </row>
    <row r="839">
      <c r="O839" s="6"/>
      <c r="P839" s="7"/>
      <c r="Q839" s="8"/>
    </row>
    <row r="840">
      <c r="O840" s="6"/>
      <c r="P840" s="7"/>
      <c r="Q840" s="8"/>
    </row>
    <row r="841">
      <c r="O841" s="6"/>
      <c r="P841" s="7"/>
      <c r="Q841" s="8"/>
    </row>
    <row r="842">
      <c r="O842" s="6"/>
      <c r="P842" s="7"/>
      <c r="Q842" s="8"/>
    </row>
    <row r="843">
      <c r="O843" s="6"/>
      <c r="P843" s="7"/>
      <c r="Q843" s="8"/>
    </row>
    <row r="844">
      <c r="O844" s="6"/>
      <c r="P844" s="7"/>
      <c r="Q844" s="8"/>
    </row>
    <row r="845">
      <c r="O845" s="6"/>
      <c r="P845" s="7"/>
      <c r="Q845" s="8"/>
    </row>
    <row r="846">
      <c r="O846" s="6"/>
      <c r="P846" s="7"/>
      <c r="Q846" s="8"/>
    </row>
    <row r="847">
      <c r="O847" s="6"/>
      <c r="P847" s="7"/>
      <c r="Q847" s="8"/>
    </row>
    <row r="848">
      <c r="O848" s="6"/>
      <c r="P848" s="7"/>
      <c r="Q848" s="8"/>
    </row>
    <row r="849">
      <c r="O849" s="6"/>
      <c r="P849" s="7"/>
      <c r="Q849" s="8"/>
    </row>
    <row r="850">
      <c r="O850" s="6"/>
      <c r="P850" s="7"/>
      <c r="Q850" s="8"/>
    </row>
    <row r="851">
      <c r="O851" s="6"/>
      <c r="P851" s="7"/>
      <c r="Q851" s="8"/>
    </row>
    <row r="852">
      <c r="O852" s="6"/>
      <c r="P852" s="7"/>
      <c r="Q852" s="8"/>
    </row>
    <row r="853">
      <c r="O853" s="6"/>
      <c r="P853" s="7"/>
      <c r="Q853" s="8"/>
    </row>
    <row r="854">
      <c r="O854" s="6"/>
      <c r="P854" s="7"/>
      <c r="Q854" s="8"/>
    </row>
    <row r="855">
      <c r="O855" s="6"/>
      <c r="P855" s="7"/>
      <c r="Q855" s="8"/>
    </row>
    <row r="856">
      <c r="O856" s="6"/>
      <c r="P856" s="7"/>
      <c r="Q856" s="8"/>
    </row>
    <row r="857">
      <c r="O857" s="6"/>
      <c r="P857" s="7"/>
      <c r="Q857" s="8"/>
    </row>
    <row r="858">
      <c r="O858" s="6"/>
      <c r="P858" s="7"/>
      <c r="Q858" s="8"/>
    </row>
    <row r="859">
      <c r="O859" s="6"/>
      <c r="P859" s="7"/>
      <c r="Q859" s="8"/>
    </row>
    <row r="860">
      <c r="O860" s="6"/>
      <c r="P860" s="7"/>
      <c r="Q860" s="8"/>
    </row>
    <row r="861">
      <c r="O861" s="6"/>
      <c r="P861" s="7"/>
      <c r="Q861" s="8"/>
    </row>
    <row r="862">
      <c r="O862" s="6"/>
      <c r="P862" s="7"/>
      <c r="Q862" s="8"/>
    </row>
    <row r="863">
      <c r="O863" s="6"/>
      <c r="P863" s="7"/>
      <c r="Q863" s="8"/>
    </row>
    <row r="864">
      <c r="O864" s="6"/>
      <c r="P864" s="7"/>
      <c r="Q864" s="8"/>
    </row>
    <row r="865">
      <c r="O865" s="6"/>
      <c r="P865" s="7"/>
      <c r="Q865" s="8"/>
    </row>
    <row r="866">
      <c r="O866" s="6"/>
      <c r="P866" s="7"/>
      <c r="Q866" s="8"/>
    </row>
    <row r="867">
      <c r="O867" s="6"/>
      <c r="P867" s="7"/>
      <c r="Q867" s="8"/>
    </row>
    <row r="868">
      <c r="O868" s="6"/>
      <c r="P868" s="7"/>
      <c r="Q868" s="8"/>
    </row>
    <row r="869">
      <c r="O869" s="6"/>
      <c r="P869" s="7"/>
      <c r="Q869" s="8"/>
    </row>
    <row r="870">
      <c r="O870" s="6"/>
      <c r="P870" s="7"/>
      <c r="Q870" s="8"/>
    </row>
    <row r="871">
      <c r="O871" s="6"/>
      <c r="P871" s="7"/>
      <c r="Q871" s="8"/>
    </row>
    <row r="872">
      <c r="O872" s="6"/>
      <c r="P872" s="7"/>
      <c r="Q872" s="8"/>
    </row>
    <row r="873">
      <c r="O873" s="6"/>
      <c r="P873" s="7"/>
      <c r="Q873" s="8"/>
    </row>
    <row r="874">
      <c r="O874" s="6"/>
      <c r="P874" s="7"/>
      <c r="Q874" s="8"/>
    </row>
    <row r="875">
      <c r="O875" s="6"/>
      <c r="P875" s="7"/>
      <c r="Q875" s="8"/>
    </row>
    <row r="876">
      <c r="O876" s="6"/>
      <c r="P876" s="7"/>
      <c r="Q876" s="8"/>
    </row>
    <row r="877">
      <c r="O877" s="6"/>
      <c r="P877" s="7"/>
      <c r="Q877" s="8"/>
    </row>
    <row r="878">
      <c r="O878" s="6"/>
      <c r="P878" s="7"/>
      <c r="Q878" s="8"/>
    </row>
    <row r="879">
      <c r="O879" s="6"/>
      <c r="P879" s="7"/>
      <c r="Q879" s="8"/>
    </row>
    <row r="880">
      <c r="O880" s="6"/>
      <c r="P880" s="7"/>
      <c r="Q880" s="8"/>
    </row>
    <row r="881">
      <c r="O881" s="6"/>
      <c r="P881" s="7"/>
      <c r="Q881" s="8"/>
    </row>
    <row r="882">
      <c r="O882" s="6"/>
      <c r="P882" s="7"/>
      <c r="Q882" s="8"/>
    </row>
    <row r="883">
      <c r="O883" s="6"/>
      <c r="P883" s="7"/>
      <c r="Q883" s="8"/>
    </row>
    <row r="884">
      <c r="O884" s="6"/>
      <c r="P884" s="7"/>
      <c r="Q884" s="8"/>
    </row>
    <row r="885">
      <c r="O885" s="6"/>
      <c r="P885" s="7"/>
      <c r="Q885" s="8"/>
    </row>
    <row r="886">
      <c r="O886" s="6"/>
      <c r="P886" s="7"/>
      <c r="Q886" s="8"/>
    </row>
    <row r="887">
      <c r="O887" s="6"/>
      <c r="P887" s="7"/>
      <c r="Q887" s="8"/>
    </row>
    <row r="888">
      <c r="O888" s="6"/>
      <c r="P888" s="7"/>
      <c r="Q888" s="8"/>
    </row>
    <row r="889">
      <c r="O889" s="6"/>
      <c r="P889" s="7"/>
      <c r="Q889" s="8"/>
    </row>
    <row r="890">
      <c r="O890" s="6"/>
      <c r="P890" s="7"/>
      <c r="Q890" s="8"/>
    </row>
    <row r="891">
      <c r="O891" s="6"/>
      <c r="P891" s="7"/>
      <c r="Q891" s="8"/>
    </row>
    <row r="892">
      <c r="O892" s="6"/>
      <c r="P892" s="7"/>
      <c r="Q892" s="8"/>
    </row>
    <row r="893">
      <c r="O893" s="6"/>
      <c r="P893" s="7"/>
      <c r="Q893" s="8"/>
    </row>
    <row r="894">
      <c r="O894" s="6"/>
      <c r="P894" s="7"/>
      <c r="Q894" s="8"/>
    </row>
    <row r="895">
      <c r="O895" s="6"/>
      <c r="P895" s="7"/>
      <c r="Q895" s="8"/>
    </row>
    <row r="896">
      <c r="O896" s="6"/>
      <c r="P896" s="7"/>
      <c r="Q896" s="8"/>
    </row>
    <row r="897">
      <c r="O897" s="6"/>
      <c r="P897" s="7"/>
      <c r="Q897" s="8"/>
    </row>
    <row r="898">
      <c r="O898" s="6"/>
      <c r="P898" s="7"/>
      <c r="Q898" s="8"/>
    </row>
    <row r="899">
      <c r="O899" s="6"/>
      <c r="P899" s="7"/>
      <c r="Q899" s="8"/>
    </row>
    <row r="900">
      <c r="O900" s="6"/>
      <c r="P900" s="7"/>
      <c r="Q900" s="8"/>
    </row>
    <row r="901">
      <c r="O901" s="6"/>
      <c r="P901" s="7"/>
      <c r="Q901" s="8"/>
    </row>
    <row r="902">
      <c r="O902" s="6"/>
      <c r="P902" s="7"/>
      <c r="Q902" s="8"/>
    </row>
    <row r="903">
      <c r="O903" s="6"/>
      <c r="P903" s="7"/>
      <c r="Q903" s="8"/>
    </row>
    <row r="904">
      <c r="O904" s="6"/>
      <c r="P904" s="7"/>
      <c r="Q904" s="8"/>
    </row>
    <row r="905">
      <c r="O905" s="6"/>
      <c r="P905" s="7"/>
      <c r="Q905" s="8"/>
    </row>
    <row r="906">
      <c r="O906" s="6"/>
      <c r="P906" s="7"/>
      <c r="Q906" s="8"/>
    </row>
    <row r="907">
      <c r="O907" s="6"/>
      <c r="P907" s="7"/>
      <c r="Q907" s="8"/>
    </row>
    <row r="908">
      <c r="O908" s="6"/>
      <c r="P908" s="7"/>
      <c r="Q908" s="8"/>
    </row>
    <row r="909">
      <c r="O909" s="6"/>
      <c r="P909" s="7"/>
      <c r="Q909" s="8"/>
    </row>
    <row r="910">
      <c r="O910" s="6"/>
      <c r="P910" s="7"/>
      <c r="Q910" s="8"/>
    </row>
    <row r="911">
      <c r="O911" s="6"/>
      <c r="P911" s="7"/>
      <c r="Q911" s="8"/>
    </row>
    <row r="912">
      <c r="O912" s="6"/>
      <c r="P912" s="7"/>
      <c r="Q912" s="8"/>
    </row>
    <row r="913">
      <c r="O913" s="6"/>
      <c r="P913" s="7"/>
      <c r="Q913" s="8"/>
    </row>
    <row r="914">
      <c r="O914" s="6"/>
      <c r="P914" s="7"/>
      <c r="Q914" s="8"/>
    </row>
    <row r="915">
      <c r="O915" s="6"/>
      <c r="P915" s="7"/>
      <c r="Q915" s="8"/>
    </row>
    <row r="916">
      <c r="O916" s="6"/>
      <c r="P916" s="7"/>
      <c r="Q916" s="8"/>
    </row>
    <row r="917">
      <c r="O917" s="6"/>
      <c r="P917" s="7"/>
      <c r="Q917" s="8"/>
    </row>
    <row r="918">
      <c r="O918" s="6"/>
      <c r="P918" s="7"/>
      <c r="Q918" s="8"/>
    </row>
    <row r="919">
      <c r="O919" s="6"/>
      <c r="P919" s="7"/>
      <c r="Q919" s="8"/>
    </row>
    <row r="920">
      <c r="O920" s="6"/>
      <c r="P920" s="7"/>
      <c r="Q920" s="8"/>
    </row>
    <row r="921">
      <c r="O921" s="6"/>
      <c r="P921" s="7"/>
      <c r="Q921" s="8"/>
    </row>
    <row r="922">
      <c r="O922" s="6"/>
      <c r="P922" s="7"/>
      <c r="Q922" s="8"/>
    </row>
    <row r="923">
      <c r="O923" s="6"/>
      <c r="P923" s="7"/>
      <c r="Q923" s="8"/>
    </row>
    <row r="924">
      <c r="O924" s="6"/>
      <c r="P924" s="7"/>
      <c r="Q924" s="8"/>
    </row>
    <row r="925">
      <c r="O925" s="6"/>
      <c r="P925" s="7"/>
      <c r="Q925" s="8"/>
    </row>
    <row r="926">
      <c r="O926" s="6"/>
      <c r="P926" s="7"/>
      <c r="Q926" s="8"/>
    </row>
    <row r="927">
      <c r="O927" s="6"/>
      <c r="P927" s="7"/>
      <c r="Q927" s="8"/>
    </row>
    <row r="928">
      <c r="O928" s="6"/>
      <c r="P928" s="7"/>
      <c r="Q928" s="8"/>
    </row>
    <row r="929">
      <c r="O929" s="6"/>
      <c r="P929" s="7"/>
      <c r="Q929" s="8"/>
    </row>
    <row r="930">
      <c r="O930" s="6"/>
      <c r="P930" s="7"/>
      <c r="Q930" s="8"/>
    </row>
    <row r="931">
      <c r="O931" s="6"/>
      <c r="P931" s="7"/>
      <c r="Q931" s="8"/>
    </row>
    <row r="932">
      <c r="O932" s="6"/>
      <c r="P932" s="7"/>
      <c r="Q932" s="8"/>
    </row>
    <row r="933">
      <c r="O933" s="6"/>
      <c r="P933" s="7"/>
      <c r="Q933" s="8"/>
    </row>
    <row r="934">
      <c r="O934" s="6"/>
      <c r="P934" s="7"/>
      <c r="Q934" s="8"/>
    </row>
    <row r="935">
      <c r="O935" s="6"/>
      <c r="P935" s="7"/>
      <c r="Q935" s="8"/>
    </row>
    <row r="936">
      <c r="O936" s="6"/>
      <c r="P936" s="7"/>
      <c r="Q936" s="8"/>
    </row>
    <row r="937">
      <c r="O937" s="6"/>
      <c r="P937" s="7"/>
      <c r="Q937" s="8"/>
    </row>
    <row r="938">
      <c r="O938" s="6"/>
      <c r="P938" s="7"/>
      <c r="Q938" s="8"/>
    </row>
    <row r="939">
      <c r="O939" s="6"/>
      <c r="P939" s="7"/>
      <c r="Q939" s="8"/>
    </row>
    <row r="940">
      <c r="O940" s="6"/>
      <c r="P940" s="7"/>
      <c r="Q940" s="8"/>
    </row>
    <row r="941">
      <c r="O941" s="6"/>
      <c r="P941" s="7"/>
      <c r="Q941" s="8"/>
    </row>
    <row r="942">
      <c r="O942" s="6"/>
      <c r="P942" s="7"/>
      <c r="Q942" s="8"/>
    </row>
    <row r="943">
      <c r="O943" s="6"/>
      <c r="P943" s="7"/>
      <c r="Q943" s="8"/>
    </row>
    <row r="944">
      <c r="O944" s="6"/>
      <c r="P944" s="7"/>
      <c r="Q944" s="8"/>
    </row>
    <row r="945">
      <c r="O945" s="6"/>
      <c r="P945" s="7"/>
      <c r="Q945" s="8"/>
    </row>
  </sheetData>
  <mergeCells count="1224">
    <mergeCell ref="B187:C187"/>
    <mergeCell ref="D187:F187"/>
    <mergeCell ref="D188:F188"/>
    <mergeCell ref="G188:H188"/>
    <mergeCell ref="I188:J188"/>
    <mergeCell ref="K188:L188"/>
    <mergeCell ref="M188:N188"/>
    <mergeCell ref="B188:C188"/>
    <mergeCell ref="B189:C189"/>
    <mergeCell ref="D189:F189"/>
    <mergeCell ref="G189:H189"/>
    <mergeCell ref="I189:J189"/>
    <mergeCell ref="K189:L189"/>
    <mergeCell ref="M189:N189"/>
    <mergeCell ref="D191:F191"/>
    <mergeCell ref="G191:H191"/>
    <mergeCell ref="B190:C190"/>
    <mergeCell ref="D190:F190"/>
    <mergeCell ref="G190:H190"/>
    <mergeCell ref="I190:J190"/>
    <mergeCell ref="K190:L190"/>
    <mergeCell ref="M190:N190"/>
    <mergeCell ref="B191:C191"/>
    <mergeCell ref="M191:N191"/>
    <mergeCell ref="I191:J191"/>
    <mergeCell ref="K191:L191"/>
    <mergeCell ref="D192:F192"/>
    <mergeCell ref="G192:H192"/>
    <mergeCell ref="I192:J192"/>
    <mergeCell ref="K192:L192"/>
    <mergeCell ref="M192:N192"/>
    <mergeCell ref="B192:C192"/>
    <mergeCell ref="B193:C193"/>
    <mergeCell ref="D193:F193"/>
    <mergeCell ref="G193:H193"/>
    <mergeCell ref="I193:J193"/>
    <mergeCell ref="K193:L193"/>
    <mergeCell ref="M193:N193"/>
    <mergeCell ref="D195:F195"/>
    <mergeCell ref="G195:H195"/>
    <mergeCell ref="B194:C194"/>
    <mergeCell ref="D194:F194"/>
    <mergeCell ref="G194:H194"/>
    <mergeCell ref="I194:J194"/>
    <mergeCell ref="K194:L194"/>
    <mergeCell ref="M194:N194"/>
    <mergeCell ref="B195:C195"/>
    <mergeCell ref="M195:N195"/>
    <mergeCell ref="I195:J195"/>
    <mergeCell ref="K195:L195"/>
    <mergeCell ref="D196:F196"/>
    <mergeCell ref="G196:H196"/>
    <mergeCell ref="I196:J196"/>
    <mergeCell ref="K196:L196"/>
    <mergeCell ref="M196:N196"/>
    <mergeCell ref="B196:C196"/>
    <mergeCell ref="B197:C197"/>
    <mergeCell ref="D197:F197"/>
    <mergeCell ref="G197:H197"/>
    <mergeCell ref="I197:J197"/>
    <mergeCell ref="K197:L197"/>
    <mergeCell ref="M197:N197"/>
    <mergeCell ref="D199:F199"/>
    <mergeCell ref="G199:H199"/>
    <mergeCell ref="B198:C198"/>
    <mergeCell ref="D198:F198"/>
    <mergeCell ref="G198:H198"/>
    <mergeCell ref="I198:J198"/>
    <mergeCell ref="K198:L198"/>
    <mergeCell ref="M198:N198"/>
    <mergeCell ref="B199:C199"/>
    <mergeCell ref="M199:N199"/>
    <mergeCell ref="I199:J199"/>
    <mergeCell ref="K199:L199"/>
    <mergeCell ref="D200:F200"/>
    <mergeCell ref="G200:H200"/>
    <mergeCell ref="I200:J200"/>
    <mergeCell ref="K200:L200"/>
    <mergeCell ref="M200:N200"/>
    <mergeCell ref="B200:C200"/>
    <mergeCell ref="B201:C201"/>
    <mergeCell ref="D201:F201"/>
    <mergeCell ref="G201:H201"/>
    <mergeCell ref="I201:J201"/>
    <mergeCell ref="K201:L201"/>
    <mergeCell ref="M201:N201"/>
    <mergeCell ref="B228:H228"/>
    <mergeCell ref="B229:H229"/>
    <mergeCell ref="J229:N229"/>
    <mergeCell ref="A230:N230"/>
    <mergeCell ref="B231:F231"/>
    <mergeCell ref="G231:J231"/>
    <mergeCell ref="K231:N231"/>
    <mergeCell ref="A231:A232"/>
    <mergeCell ref="B232:C232"/>
    <mergeCell ref="D232:F232"/>
    <mergeCell ref="G232:H232"/>
    <mergeCell ref="I232:J232"/>
    <mergeCell ref="K232:L232"/>
    <mergeCell ref="M232:N232"/>
    <mergeCell ref="I234:J234"/>
    <mergeCell ref="K234:L234"/>
    <mergeCell ref="I235:J235"/>
    <mergeCell ref="K235:L235"/>
    <mergeCell ref="M235:N235"/>
    <mergeCell ref="I236:J236"/>
    <mergeCell ref="K236:L236"/>
    <mergeCell ref="M236:N236"/>
    <mergeCell ref="B233:C233"/>
    <mergeCell ref="D233:F233"/>
    <mergeCell ref="G233:H233"/>
    <mergeCell ref="I233:J233"/>
    <mergeCell ref="K233:L233"/>
    <mergeCell ref="M233:N233"/>
    <mergeCell ref="B234:C234"/>
    <mergeCell ref="M234:N234"/>
    <mergeCell ref="D234:F234"/>
    <mergeCell ref="G234:H234"/>
    <mergeCell ref="B235:C235"/>
    <mergeCell ref="D235:F235"/>
    <mergeCell ref="G235:H235"/>
    <mergeCell ref="D236:F236"/>
    <mergeCell ref="G236:H236"/>
    <mergeCell ref="B236:C236"/>
    <mergeCell ref="B237:C237"/>
    <mergeCell ref="D237:F237"/>
    <mergeCell ref="G237:H237"/>
    <mergeCell ref="I237:J237"/>
    <mergeCell ref="K237:L237"/>
    <mergeCell ref="M237:N237"/>
    <mergeCell ref="I239:J239"/>
    <mergeCell ref="K239:L239"/>
    <mergeCell ref="B238:C238"/>
    <mergeCell ref="D238:F238"/>
    <mergeCell ref="G238:H238"/>
    <mergeCell ref="I238:J238"/>
    <mergeCell ref="K238:L238"/>
    <mergeCell ref="M238:N238"/>
    <mergeCell ref="B239:C239"/>
    <mergeCell ref="M239:N239"/>
    <mergeCell ref="D239:F239"/>
    <mergeCell ref="G239:H239"/>
    <mergeCell ref="D240:F240"/>
    <mergeCell ref="G240:H240"/>
    <mergeCell ref="I240:J240"/>
    <mergeCell ref="K240:L240"/>
    <mergeCell ref="M240:N240"/>
    <mergeCell ref="B240:C240"/>
    <mergeCell ref="B241:C241"/>
    <mergeCell ref="D241:F241"/>
    <mergeCell ref="G241:H241"/>
    <mergeCell ref="I241:J241"/>
    <mergeCell ref="K241:L241"/>
    <mergeCell ref="M241:N241"/>
    <mergeCell ref="I243:J243"/>
    <mergeCell ref="K243:L243"/>
    <mergeCell ref="I244:J244"/>
    <mergeCell ref="K244:L244"/>
    <mergeCell ref="M244:N244"/>
    <mergeCell ref="I245:J245"/>
    <mergeCell ref="K245:L245"/>
    <mergeCell ref="M245:N245"/>
    <mergeCell ref="B242:C242"/>
    <mergeCell ref="D242:F242"/>
    <mergeCell ref="G242:H242"/>
    <mergeCell ref="I242:J242"/>
    <mergeCell ref="K242:L242"/>
    <mergeCell ref="M242:N242"/>
    <mergeCell ref="B243:C243"/>
    <mergeCell ref="M243:N243"/>
    <mergeCell ref="D243:F243"/>
    <mergeCell ref="G243:H243"/>
    <mergeCell ref="B244:C244"/>
    <mergeCell ref="D244:F244"/>
    <mergeCell ref="G244:H244"/>
    <mergeCell ref="D245:F245"/>
    <mergeCell ref="G245:H245"/>
    <mergeCell ref="B245:C245"/>
    <mergeCell ref="B246:C246"/>
    <mergeCell ref="D246:F246"/>
    <mergeCell ref="G246:H246"/>
    <mergeCell ref="I246:J246"/>
    <mergeCell ref="K246:L246"/>
    <mergeCell ref="M246:N246"/>
    <mergeCell ref="I180:J180"/>
    <mergeCell ref="K180:L180"/>
    <mergeCell ref="J183:N183"/>
    <mergeCell ref="J184:N184"/>
    <mergeCell ref="G187:H187"/>
    <mergeCell ref="I187:J187"/>
    <mergeCell ref="K187:L187"/>
    <mergeCell ref="M187:N187"/>
    <mergeCell ref="D180:F180"/>
    <mergeCell ref="G180:H180"/>
    <mergeCell ref="B183:H183"/>
    <mergeCell ref="B184:H184"/>
    <mergeCell ref="A185:N185"/>
    <mergeCell ref="A186:A187"/>
    <mergeCell ref="B186:F186"/>
    <mergeCell ref="D203:F203"/>
    <mergeCell ref="G203:H203"/>
    <mergeCell ref="B202:C202"/>
    <mergeCell ref="D202:F202"/>
    <mergeCell ref="G202:H202"/>
    <mergeCell ref="I202:J202"/>
    <mergeCell ref="K202:L202"/>
    <mergeCell ref="M202:N202"/>
    <mergeCell ref="B203:C203"/>
    <mergeCell ref="M203:N203"/>
    <mergeCell ref="I175:J175"/>
    <mergeCell ref="K175:L175"/>
    <mergeCell ref="I176:J176"/>
    <mergeCell ref="K176:L176"/>
    <mergeCell ref="M176:N176"/>
    <mergeCell ref="I177:J177"/>
    <mergeCell ref="K177:L177"/>
    <mergeCell ref="M177:N177"/>
    <mergeCell ref="B174:C174"/>
    <mergeCell ref="D174:F174"/>
    <mergeCell ref="G174:H174"/>
    <mergeCell ref="I174:J174"/>
    <mergeCell ref="K174:L174"/>
    <mergeCell ref="M174:N174"/>
    <mergeCell ref="B175:C175"/>
    <mergeCell ref="M175:N175"/>
    <mergeCell ref="D175:F175"/>
    <mergeCell ref="G175:H175"/>
    <mergeCell ref="B176:C176"/>
    <mergeCell ref="D176:F176"/>
    <mergeCell ref="G176:H176"/>
    <mergeCell ref="D177:F177"/>
    <mergeCell ref="G177:H177"/>
    <mergeCell ref="B177:C177"/>
    <mergeCell ref="B178:C178"/>
    <mergeCell ref="D178:F178"/>
    <mergeCell ref="G178:H178"/>
    <mergeCell ref="I178:J178"/>
    <mergeCell ref="K178:L178"/>
    <mergeCell ref="M178:N178"/>
    <mergeCell ref="B179:C179"/>
    <mergeCell ref="D179:F179"/>
    <mergeCell ref="G179:H179"/>
    <mergeCell ref="I179:J179"/>
    <mergeCell ref="K179:L179"/>
    <mergeCell ref="M179:N179"/>
    <mergeCell ref="B180:C180"/>
    <mergeCell ref="M180:N180"/>
    <mergeCell ref="G186:J186"/>
    <mergeCell ref="K186:N186"/>
    <mergeCell ref="I203:J203"/>
    <mergeCell ref="K203:L203"/>
    <mergeCell ref="B205:H205"/>
    <mergeCell ref="J205:N205"/>
    <mergeCell ref="B206:H206"/>
    <mergeCell ref="J206:N206"/>
    <mergeCell ref="A207:N207"/>
    <mergeCell ref="I209:J209"/>
    <mergeCell ref="K209:L209"/>
    <mergeCell ref="A208:A209"/>
    <mergeCell ref="B208:F208"/>
    <mergeCell ref="G208:J208"/>
    <mergeCell ref="K208:N208"/>
    <mergeCell ref="D209:F209"/>
    <mergeCell ref="G209:H209"/>
    <mergeCell ref="M209:N209"/>
    <mergeCell ref="B209:C209"/>
    <mergeCell ref="B210:C210"/>
    <mergeCell ref="D210:F210"/>
    <mergeCell ref="G210:H210"/>
    <mergeCell ref="I210:J210"/>
    <mergeCell ref="K210:L210"/>
    <mergeCell ref="M210:N210"/>
    <mergeCell ref="I212:J212"/>
    <mergeCell ref="K212:L212"/>
    <mergeCell ref="I213:J213"/>
    <mergeCell ref="K213:L213"/>
    <mergeCell ref="M213:N213"/>
    <mergeCell ref="I214:J214"/>
    <mergeCell ref="K214:L214"/>
    <mergeCell ref="M214:N214"/>
    <mergeCell ref="B211:C211"/>
    <mergeCell ref="D211:F211"/>
    <mergeCell ref="G211:H211"/>
    <mergeCell ref="I211:J211"/>
    <mergeCell ref="K211:L211"/>
    <mergeCell ref="M211:N211"/>
    <mergeCell ref="B212:C212"/>
    <mergeCell ref="M212:N212"/>
    <mergeCell ref="D212:F212"/>
    <mergeCell ref="G212:H212"/>
    <mergeCell ref="B213:C213"/>
    <mergeCell ref="D213:F213"/>
    <mergeCell ref="G213:H213"/>
    <mergeCell ref="D214:F214"/>
    <mergeCell ref="G214:H214"/>
    <mergeCell ref="B214:C214"/>
    <mergeCell ref="B215:C215"/>
    <mergeCell ref="D215:F215"/>
    <mergeCell ref="G215:H215"/>
    <mergeCell ref="I215:J215"/>
    <mergeCell ref="K215:L215"/>
    <mergeCell ref="M215:N215"/>
    <mergeCell ref="M224:N224"/>
    <mergeCell ref="J228:N228"/>
    <mergeCell ref="I222:J222"/>
    <mergeCell ref="K222:L222"/>
    <mergeCell ref="I223:J223"/>
    <mergeCell ref="K223:L223"/>
    <mergeCell ref="M223:N223"/>
    <mergeCell ref="I224:J224"/>
    <mergeCell ref="K224:L224"/>
    <mergeCell ref="I217:J217"/>
    <mergeCell ref="K217:L217"/>
    <mergeCell ref="I218:J218"/>
    <mergeCell ref="K218:L218"/>
    <mergeCell ref="M218:N218"/>
    <mergeCell ref="I219:J219"/>
    <mergeCell ref="K219:L219"/>
    <mergeCell ref="M219:N219"/>
    <mergeCell ref="B216:C216"/>
    <mergeCell ref="D216:F216"/>
    <mergeCell ref="G216:H216"/>
    <mergeCell ref="I216:J216"/>
    <mergeCell ref="K216:L216"/>
    <mergeCell ref="M216:N216"/>
    <mergeCell ref="B217:C217"/>
    <mergeCell ref="M217:N217"/>
    <mergeCell ref="D217:F217"/>
    <mergeCell ref="G217:H217"/>
    <mergeCell ref="B218:C218"/>
    <mergeCell ref="D218:F218"/>
    <mergeCell ref="G218:H218"/>
    <mergeCell ref="D219:F219"/>
    <mergeCell ref="G219:H219"/>
    <mergeCell ref="B219:C219"/>
    <mergeCell ref="B220:C220"/>
    <mergeCell ref="D220:F220"/>
    <mergeCell ref="G220:H220"/>
    <mergeCell ref="I220:J220"/>
    <mergeCell ref="K220:L220"/>
    <mergeCell ref="M220:N220"/>
    <mergeCell ref="B221:C221"/>
    <mergeCell ref="D221:F221"/>
    <mergeCell ref="G221:H221"/>
    <mergeCell ref="I221:J221"/>
    <mergeCell ref="K221:L221"/>
    <mergeCell ref="M221:N221"/>
    <mergeCell ref="B222:C222"/>
    <mergeCell ref="M222:N222"/>
    <mergeCell ref="B224:C224"/>
    <mergeCell ref="B225:C225"/>
    <mergeCell ref="D225:F225"/>
    <mergeCell ref="G225:H225"/>
    <mergeCell ref="I225:J225"/>
    <mergeCell ref="K225:L225"/>
    <mergeCell ref="M225:N225"/>
    <mergeCell ref="D222:F222"/>
    <mergeCell ref="G222:H222"/>
    <mergeCell ref="B223:C223"/>
    <mergeCell ref="D223:F223"/>
    <mergeCell ref="G223:H223"/>
    <mergeCell ref="D224:F224"/>
    <mergeCell ref="G224:H224"/>
    <mergeCell ref="D248:F248"/>
    <mergeCell ref="G248:H248"/>
    <mergeCell ref="I248:J248"/>
    <mergeCell ref="K248:L248"/>
    <mergeCell ref="B247:C247"/>
    <mergeCell ref="D247:F247"/>
    <mergeCell ref="G247:H247"/>
    <mergeCell ref="I247:J247"/>
    <mergeCell ref="K247:L247"/>
    <mergeCell ref="M247:N247"/>
    <mergeCell ref="B248:C248"/>
    <mergeCell ref="M248:N248"/>
    <mergeCell ref="G4:J4"/>
    <mergeCell ref="K4:N4"/>
    <mergeCell ref="G5:H5"/>
    <mergeCell ref="I5:J5"/>
    <mergeCell ref="G6:H6"/>
    <mergeCell ref="I6:J6"/>
    <mergeCell ref="G7:H7"/>
    <mergeCell ref="I7:J7"/>
    <mergeCell ref="G8:H8"/>
    <mergeCell ref="I8:J8"/>
    <mergeCell ref="K5:L5"/>
    <mergeCell ref="M5:N5"/>
    <mergeCell ref="K6:L6"/>
    <mergeCell ref="M6:N6"/>
    <mergeCell ref="K7:L7"/>
    <mergeCell ref="M7:N7"/>
    <mergeCell ref="K8:L8"/>
    <mergeCell ref="M8:N8"/>
    <mergeCell ref="B1:H1"/>
    <mergeCell ref="J1:N1"/>
    <mergeCell ref="B2:H2"/>
    <mergeCell ref="J2:N2"/>
    <mergeCell ref="A3:N3"/>
    <mergeCell ref="A4:A5"/>
    <mergeCell ref="B4:F4"/>
    <mergeCell ref="B9:C9"/>
    <mergeCell ref="D9:F9"/>
    <mergeCell ref="G9:H9"/>
    <mergeCell ref="I9:J9"/>
    <mergeCell ref="K9:L9"/>
    <mergeCell ref="M9:N9"/>
    <mergeCell ref="B5:C5"/>
    <mergeCell ref="D5:F5"/>
    <mergeCell ref="B6:C6"/>
    <mergeCell ref="D6:F6"/>
    <mergeCell ref="B7:D7"/>
    <mergeCell ref="B8:C8"/>
    <mergeCell ref="D8:F8"/>
    <mergeCell ref="I11:J11"/>
    <mergeCell ref="K11:L11"/>
    <mergeCell ref="B10:C10"/>
    <mergeCell ref="D10:F10"/>
    <mergeCell ref="G10:H10"/>
    <mergeCell ref="I10:J10"/>
    <mergeCell ref="K10:L10"/>
    <mergeCell ref="M10:N10"/>
    <mergeCell ref="B11:C11"/>
    <mergeCell ref="M11:N11"/>
    <mergeCell ref="D11:F11"/>
    <mergeCell ref="G11:H11"/>
    <mergeCell ref="D12:F12"/>
    <mergeCell ref="G12:H12"/>
    <mergeCell ref="I12:J12"/>
    <mergeCell ref="K12:L12"/>
    <mergeCell ref="M12:N12"/>
    <mergeCell ref="B12:C12"/>
    <mergeCell ref="B13:C13"/>
    <mergeCell ref="D13:F13"/>
    <mergeCell ref="G13:H13"/>
    <mergeCell ref="I13:J13"/>
    <mergeCell ref="K13:L13"/>
    <mergeCell ref="M13:N13"/>
    <mergeCell ref="I15:J15"/>
    <mergeCell ref="K15:L15"/>
    <mergeCell ref="I16:J16"/>
    <mergeCell ref="K16:L16"/>
    <mergeCell ref="M16:N16"/>
    <mergeCell ref="I17:J17"/>
    <mergeCell ref="K17:L17"/>
    <mergeCell ref="M17:N17"/>
    <mergeCell ref="B14:C14"/>
    <mergeCell ref="D14:F14"/>
    <mergeCell ref="G14:H14"/>
    <mergeCell ref="I14:J14"/>
    <mergeCell ref="K14:L14"/>
    <mergeCell ref="M14:N14"/>
    <mergeCell ref="B15:C15"/>
    <mergeCell ref="M15:N15"/>
    <mergeCell ref="D15:F15"/>
    <mergeCell ref="G15:H15"/>
    <mergeCell ref="B16:C16"/>
    <mergeCell ref="D16:F16"/>
    <mergeCell ref="G16:H16"/>
    <mergeCell ref="D17:F17"/>
    <mergeCell ref="G17:H17"/>
    <mergeCell ref="B17:C17"/>
    <mergeCell ref="B18:C18"/>
    <mergeCell ref="D18:F18"/>
    <mergeCell ref="G18:H18"/>
    <mergeCell ref="I18:J18"/>
    <mergeCell ref="K18:L18"/>
    <mergeCell ref="M18:N18"/>
    <mergeCell ref="B19:C19"/>
    <mergeCell ref="D19:F19"/>
    <mergeCell ref="G19:H19"/>
    <mergeCell ref="I19:J19"/>
    <mergeCell ref="K19:L19"/>
    <mergeCell ref="M19:N19"/>
    <mergeCell ref="B20:C20"/>
    <mergeCell ref="M20:N20"/>
    <mergeCell ref="D20:F20"/>
    <mergeCell ref="G20:H20"/>
    <mergeCell ref="B21:C21"/>
    <mergeCell ref="D21:F21"/>
    <mergeCell ref="G21:H21"/>
    <mergeCell ref="B22:C22"/>
    <mergeCell ref="G22:H22"/>
    <mergeCell ref="M22:N22"/>
    <mergeCell ref="J24:N24"/>
    <mergeCell ref="J25:N25"/>
    <mergeCell ref="I20:J20"/>
    <mergeCell ref="K20:L20"/>
    <mergeCell ref="I21:J21"/>
    <mergeCell ref="K21:L21"/>
    <mergeCell ref="M21:N21"/>
    <mergeCell ref="I22:J22"/>
    <mergeCell ref="K22:L22"/>
    <mergeCell ref="D22:F22"/>
    <mergeCell ref="B24:H24"/>
    <mergeCell ref="B25:H25"/>
    <mergeCell ref="A26:N26"/>
    <mergeCell ref="B27:F27"/>
    <mergeCell ref="G27:J27"/>
    <mergeCell ref="K27:N27"/>
    <mergeCell ref="A27:A28"/>
    <mergeCell ref="B28:C28"/>
    <mergeCell ref="D28:F28"/>
    <mergeCell ref="G28:H28"/>
    <mergeCell ref="I28:J28"/>
    <mergeCell ref="K28:L28"/>
    <mergeCell ref="M28:N28"/>
    <mergeCell ref="I30:J30"/>
    <mergeCell ref="K30:L30"/>
    <mergeCell ref="B29:C29"/>
    <mergeCell ref="D29:F29"/>
    <mergeCell ref="G29:H29"/>
    <mergeCell ref="I29:J29"/>
    <mergeCell ref="K29:L29"/>
    <mergeCell ref="M29:N29"/>
    <mergeCell ref="B30:C30"/>
    <mergeCell ref="M30:N30"/>
    <mergeCell ref="D30:F30"/>
    <mergeCell ref="G30:H30"/>
    <mergeCell ref="D31:F31"/>
    <mergeCell ref="G31:H31"/>
    <mergeCell ref="I31:J31"/>
    <mergeCell ref="K31:L31"/>
    <mergeCell ref="M31:N31"/>
    <mergeCell ref="B31:C31"/>
    <mergeCell ref="B32:C32"/>
    <mergeCell ref="D32:F32"/>
    <mergeCell ref="G32:H32"/>
    <mergeCell ref="I32:J32"/>
    <mergeCell ref="K32:L32"/>
    <mergeCell ref="M32:N32"/>
    <mergeCell ref="I34:J34"/>
    <mergeCell ref="K34:L34"/>
    <mergeCell ref="I35:J35"/>
    <mergeCell ref="K35:L35"/>
    <mergeCell ref="M35:N35"/>
    <mergeCell ref="I36:J36"/>
    <mergeCell ref="K36:L36"/>
    <mergeCell ref="M36:N36"/>
    <mergeCell ref="B33:C33"/>
    <mergeCell ref="D33:F33"/>
    <mergeCell ref="G33:H33"/>
    <mergeCell ref="I33:J33"/>
    <mergeCell ref="K33:L33"/>
    <mergeCell ref="M33:N33"/>
    <mergeCell ref="B34:C34"/>
    <mergeCell ref="M34:N34"/>
    <mergeCell ref="D34:F34"/>
    <mergeCell ref="G34:H34"/>
    <mergeCell ref="B35:C35"/>
    <mergeCell ref="D35:F35"/>
    <mergeCell ref="G35:H35"/>
    <mergeCell ref="D36:F36"/>
    <mergeCell ref="G36:H36"/>
    <mergeCell ref="B36:C36"/>
    <mergeCell ref="B37:C37"/>
    <mergeCell ref="D37:F37"/>
    <mergeCell ref="G37:H37"/>
    <mergeCell ref="I37:J37"/>
    <mergeCell ref="K37:L37"/>
    <mergeCell ref="M37:N37"/>
    <mergeCell ref="B51:C51"/>
    <mergeCell ref="D51:F51"/>
    <mergeCell ref="D52:F52"/>
    <mergeCell ref="G52:H52"/>
    <mergeCell ref="I52:J52"/>
    <mergeCell ref="K52:L52"/>
    <mergeCell ref="M52:N52"/>
    <mergeCell ref="B52:C52"/>
    <mergeCell ref="B53:C53"/>
    <mergeCell ref="D53:F53"/>
    <mergeCell ref="G53:H53"/>
    <mergeCell ref="I53:J53"/>
    <mergeCell ref="K53:L53"/>
    <mergeCell ref="M53:N53"/>
    <mergeCell ref="D55:F55"/>
    <mergeCell ref="G55:H55"/>
    <mergeCell ref="B54:C54"/>
    <mergeCell ref="D54:F54"/>
    <mergeCell ref="G54:H54"/>
    <mergeCell ref="I54:J54"/>
    <mergeCell ref="K54:L54"/>
    <mergeCell ref="M54:N54"/>
    <mergeCell ref="B55:C55"/>
    <mergeCell ref="M55:N55"/>
    <mergeCell ref="I55:J55"/>
    <mergeCell ref="K55:L55"/>
    <mergeCell ref="D56:F56"/>
    <mergeCell ref="G56:H56"/>
    <mergeCell ref="I56:J56"/>
    <mergeCell ref="K56:L56"/>
    <mergeCell ref="M56:N56"/>
    <mergeCell ref="B56:C56"/>
    <mergeCell ref="B57:C57"/>
    <mergeCell ref="D57:F57"/>
    <mergeCell ref="G57:H57"/>
    <mergeCell ref="I57:J57"/>
    <mergeCell ref="K57:L57"/>
    <mergeCell ref="M57:N57"/>
    <mergeCell ref="I39:J39"/>
    <mergeCell ref="K39:L39"/>
    <mergeCell ref="I40:J40"/>
    <mergeCell ref="K40:L40"/>
    <mergeCell ref="M40:N40"/>
    <mergeCell ref="I41:J41"/>
    <mergeCell ref="K41:L41"/>
    <mergeCell ref="M41:N41"/>
    <mergeCell ref="B38:C38"/>
    <mergeCell ref="D38:F38"/>
    <mergeCell ref="G38:H38"/>
    <mergeCell ref="I38:J38"/>
    <mergeCell ref="K38:L38"/>
    <mergeCell ref="M38:N38"/>
    <mergeCell ref="B39:C39"/>
    <mergeCell ref="M39:N39"/>
    <mergeCell ref="D39:F39"/>
    <mergeCell ref="G39:H39"/>
    <mergeCell ref="B40:C40"/>
    <mergeCell ref="D40:F40"/>
    <mergeCell ref="G40:H40"/>
    <mergeCell ref="D41:F41"/>
    <mergeCell ref="G41:H41"/>
    <mergeCell ref="B41:C41"/>
    <mergeCell ref="B42:C42"/>
    <mergeCell ref="D42:F42"/>
    <mergeCell ref="G42:H42"/>
    <mergeCell ref="I42:J42"/>
    <mergeCell ref="K42:L42"/>
    <mergeCell ref="M42:N42"/>
    <mergeCell ref="B43:C43"/>
    <mergeCell ref="D43:F43"/>
    <mergeCell ref="G43:H43"/>
    <mergeCell ref="I43:J43"/>
    <mergeCell ref="K43:L43"/>
    <mergeCell ref="M43:N43"/>
    <mergeCell ref="B44:C44"/>
    <mergeCell ref="M44:N44"/>
    <mergeCell ref="G50:J50"/>
    <mergeCell ref="K50:N50"/>
    <mergeCell ref="I67:J67"/>
    <mergeCell ref="K67:L67"/>
    <mergeCell ref="B70:H70"/>
    <mergeCell ref="J70:N70"/>
    <mergeCell ref="B71:H71"/>
    <mergeCell ref="J71:N71"/>
    <mergeCell ref="A72:N72"/>
    <mergeCell ref="I74:J74"/>
    <mergeCell ref="K74:L74"/>
    <mergeCell ref="A73:A74"/>
    <mergeCell ref="B73:F73"/>
    <mergeCell ref="G73:J73"/>
    <mergeCell ref="K73:N73"/>
    <mergeCell ref="D74:F74"/>
    <mergeCell ref="G74:H74"/>
    <mergeCell ref="M74:N74"/>
    <mergeCell ref="B74:C74"/>
    <mergeCell ref="B75:C75"/>
    <mergeCell ref="D75:F75"/>
    <mergeCell ref="G75:H75"/>
    <mergeCell ref="I75:J75"/>
    <mergeCell ref="K75:L75"/>
    <mergeCell ref="M75:N75"/>
    <mergeCell ref="I77:J77"/>
    <mergeCell ref="K77:L77"/>
    <mergeCell ref="I78:J78"/>
    <mergeCell ref="K78:L78"/>
    <mergeCell ref="M78:N78"/>
    <mergeCell ref="I79:J79"/>
    <mergeCell ref="K79:L79"/>
    <mergeCell ref="M79:N79"/>
    <mergeCell ref="B76:C76"/>
    <mergeCell ref="D76:F76"/>
    <mergeCell ref="G76:H76"/>
    <mergeCell ref="I76:J76"/>
    <mergeCell ref="K76:L76"/>
    <mergeCell ref="M76:N76"/>
    <mergeCell ref="B77:C77"/>
    <mergeCell ref="M77:N77"/>
    <mergeCell ref="D77:F77"/>
    <mergeCell ref="G77:H77"/>
    <mergeCell ref="B78:C78"/>
    <mergeCell ref="D78:F78"/>
    <mergeCell ref="G78:H78"/>
    <mergeCell ref="D79:F79"/>
    <mergeCell ref="G79:H79"/>
    <mergeCell ref="B79:C79"/>
    <mergeCell ref="B80:C80"/>
    <mergeCell ref="D80:F80"/>
    <mergeCell ref="G80:H80"/>
    <mergeCell ref="I80:J80"/>
    <mergeCell ref="K80:L80"/>
    <mergeCell ref="M80:N80"/>
    <mergeCell ref="M89:N89"/>
    <mergeCell ref="J92:N92"/>
    <mergeCell ref="I87:J87"/>
    <mergeCell ref="K87:L87"/>
    <mergeCell ref="I88:J88"/>
    <mergeCell ref="K88:L88"/>
    <mergeCell ref="M88:N88"/>
    <mergeCell ref="I89:J89"/>
    <mergeCell ref="K89:L89"/>
    <mergeCell ref="I82:J82"/>
    <mergeCell ref="K82:L82"/>
    <mergeCell ref="I83:J83"/>
    <mergeCell ref="K83:L83"/>
    <mergeCell ref="M83:N83"/>
    <mergeCell ref="I84:J84"/>
    <mergeCell ref="K84:L84"/>
    <mergeCell ref="M84:N84"/>
    <mergeCell ref="B81:C81"/>
    <mergeCell ref="D81:F81"/>
    <mergeCell ref="G81:H81"/>
    <mergeCell ref="I81:J81"/>
    <mergeCell ref="K81:L81"/>
    <mergeCell ref="M81:N81"/>
    <mergeCell ref="B82:C82"/>
    <mergeCell ref="M82:N82"/>
    <mergeCell ref="D82:F82"/>
    <mergeCell ref="G82:H82"/>
    <mergeCell ref="B83:C83"/>
    <mergeCell ref="D83:F83"/>
    <mergeCell ref="G83:H83"/>
    <mergeCell ref="D84:F84"/>
    <mergeCell ref="G84:H84"/>
    <mergeCell ref="B84:C84"/>
    <mergeCell ref="B85:C85"/>
    <mergeCell ref="D85:F85"/>
    <mergeCell ref="G85:H85"/>
    <mergeCell ref="I85:J85"/>
    <mergeCell ref="K85:L85"/>
    <mergeCell ref="M85:N85"/>
    <mergeCell ref="B86:C86"/>
    <mergeCell ref="D86:F86"/>
    <mergeCell ref="G86:H86"/>
    <mergeCell ref="I86:J86"/>
    <mergeCell ref="K86:L86"/>
    <mergeCell ref="M86:N86"/>
    <mergeCell ref="B87:C87"/>
    <mergeCell ref="M87:N87"/>
    <mergeCell ref="B89:C89"/>
    <mergeCell ref="B90:C90"/>
    <mergeCell ref="D90:F90"/>
    <mergeCell ref="G90:H90"/>
    <mergeCell ref="I90:J90"/>
    <mergeCell ref="K90:L90"/>
    <mergeCell ref="M90:N90"/>
    <mergeCell ref="D87:F87"/>
    <mergeCell ref="G87:H87"/>
    <mergeCell ref="B88:C88"/>
    <mergeCell ref="D88:F88"/>
    <mergeCell ref="G88:H88"/>
    <mergeCell ref="D89:F89"/>
    <mergeCell ref="G89:H89"/>
    <mergeCell ref="B92:H92"/>
    <mergeCell ref="B93:H93"/>
    <mergeCell ref="J93:N93"/>
    <mergeCell ref="A94:N94"/>
    <mergeCell ref="B95:F95"/>
    <mergeCell ref="G95:J95"/>
    <mergeCell ref="K95:N95"/>
    <mergeCell ref="A95:A96"/>
    <mergeCell ref="B96:C96"/>
    <mergeCell ref="D96:F96"/>
    <mergeCell ref="G96:H96"/>
    <mergeCell ref="I96:J96"/>
    <mergeCell ref="K96:L96"/>
    <mergeCell ref="M96:N96"/>
    <mergeCell ref="I98:J98"/>
    <mergeCell ref="K98:L98"/>
    <mergeCell ref="I99:J99"/>
    <mergeCell ref="K99:L99"/>
    <mergeCell ref="M99:N99"/>
    <mergeCell ref="I100:J100"/>
    <mergeCell ref="K100:L100"/>
    <mergeCell ref="M100:N100"/>
    <mergeCell ref="B97:C97"/>
    <mergeCell ref="D97:F97"/>
    <mergeCell ref="G97:H97"/>
    <mergeCell ref="I97:J97"/>
    <mergeCell ref="K97:L97"/>
    <mergeCell ref="M97:N97"/>
    <mergeCell ref="B98:C98"/>
    <mergeCell ref="M98:N98"/>
    <mergeCell ref="D98:F98"/>
    <mergeCell ref="G98:H98"/>
    <mergeCell ref="B99:C99"/>
    <mergeCell ref="D99:F99"/>
    <mergeCell ref="G99:H99"/>
    <mergeCell ref="D100:F100"/>
    <mergeCell ref="G100:H100"/>
    <mergeCell ref="B100:C100"/>
    <mergeCell ref="B101:C101"/>
    <mergeCell ref="D101:F101"/>
    <mergeCell ref="G101:H101"/>
    <mergeCell ref="I101:J101"/>
    <mergeCell ref="K101:L101"/>
    <mergeCell ref="M101:N101"/>
    <mergeCell ref="I103:J103"/>
    <mergeCell ref="K103:L103"/>
    <mergeCell ref="B102:C102"/>
    <mergeCell ref="D102:F102"/>
    <mergeCell ref="G102:H102"/>
    <mergeCell ref="I102:J102"/>
    <mergeCell ref="K102:L102"/>
    <mergeCell ref="M102:N102"/>
    <mergeCell ref="B103:C103"/>
    <mergeCell ref="M103:N103"/>
    <mergeCell ref="D103:F103"/>
    <mergeCell ref="G103:H103"/>
    <mergeCell ref="D104:F104"/>
    <mergeCell ref="G104:H104"/>
    <mergeCell ref="I104:J104"/>
    <mergeCell ref="K104:L104"/>
    <mergeCell ref="M104:N104"/>
    <mergeCell ref="B104:C104"/>
    <mergeCell ref="B105:C105"/>
    <mergeCell ref="D105:F105"/>
    <mergeCell ref="G105:H105"/>
    <mergeCell ref="I105:J105"/>
    <mergeCell ref="K105:L105"/>
    <mergeCell ref="M105:N105"/>
    <mergeCell ref="I107:J107"/>
    <mergeCell ref="K107:L107"/>
    <mergeCell ref="I108:J108"/>
    <mergeCell ref="K108:L108"/>
    <mergeCell ref="M108:N108"/>
    <mergeCell ref="I109:J109"/>
    <mergeCell ref="K109:L109"/>
    <mergeCell ref="M109:N109"/>
    <mergeCell ref="B106:C106"/>
    <mergeCell ref="D106:F106"/>
    <mergeCell ref="G106:H106"/>
    <mergeCell ref="I106:J106"/>
    <mergeCell ref="K106:L106"/>
    <mergeCell ref="M106:N106"/>
    <mergeCell ref="B107:C107"/>
    <mergeCell ref="M107:N107"/>
    <mergeCell ref="D107:F107"/>
    <mergeCell ref="G107:H107"/>
    <mergeCell ref="B108:C108"/>
    <mergeCell ref="D108:F108"/>
    <mergeCell ref="G108:H108"/>
    <mergeCell ref="D109:F109"/>
    <mergeCell ref="G109:H109"/>
    <mergeCell ref="B109:C109"/>
    <mergeCell ref="B110:C110"/>
    <mergeCell ref="D110:F110"/>
    <mergeCell ref="G110:H110"/>
    <mergeCell ref="I110:J110"/>
    <mergeCell ref="K110:L110"/>
    <mergeCell ref="M110:N110"/>
    <mergeCell ref="D120:F120"/>
    <mergeCell ref="G120:H120"/>
    <mergeCell ref="B121:C121"/>
    <mergeCell ref="D121:F121"/>
    <mergeCell ref="G121:H121"/>
    <mergeCell ref="D122:F122"/>
    <mergeCell ref="G122:H122"/>
    <mergeCell ref="B122:C122"/>
    <mergeCell ref="B123:C123"/>
    <mergeCell ref="D123:F123"/>
    <mergeCell ref="G123:H123"/>
    <mergeCell ref="I123:J123"/>
    <mergeCell ref="K123:L123"/>
    <mergeCell ref="M123:N123"/>
    <mergeCell ref="I112:J112"/>
    <mergeCell ref="K112:L112"/>
    <mergeCell ref="J115:N115"/>
    <mergeCell ref="B111:C111"/>
    <mergeCell ref="D111:F111"/>
    <mergeCell ref="G111:H111"/>
    <mergeCell ref="I111:J111"/>
    <mergeCell ref="K111:L111"/>
    <mergeCell ref="M111:N111"/>
    <mergeCell ref="B112:C112"/>
    <mergeCell ref="M112:N112"/>
    <mergeCell ref="D112:F112"/>
    <mergeCell ref="G112:H112"/>
    <mergeCell ref="B115:H115"/>
    <mergeCell ref="A116:N116"/>
    <mergeCell ref="B117:F117"/>
    <mergeCell ref="G117:J117"/>
    <mergeCell ref="K117:N117"/>
    <mergeCell ref="A117:A118"/>
    <mergeCell ref="B118:C118"/>
    <mergeCell ref="D118:F118"/>
    <mergeCell ref="G118:H118"/>
    <mergeCell ref="I118:J118"/>
    <mergeCell ref="K118:L118"/>
    <mergeCell ref="M118:N118"/>
    <mergeCell ref="I120:J120"/>
    <mergeCell ref="K120:L120"/>
    <mergeCell ref="I121:J121"/>
    <mergeCell ref="K121:L121"/>
    <mergeCell ref="M121:N121"/>
    <mergeCell ref="I122:J122"/>
    <mergeCell ref="K122:L122"/>
    <mergeCell ref="M122:N122"/>
    <mergeCell ref="B119:C119"/>
    <mergeCell ref="D119:F119"/>
    <mergeCell ref="G119:H119"/>
    <mergeCell ref="I119:J119"/>
    <mergeCell ref="K119:L119"/>
    <mergeCell ref="M119:N119"/>
    <mergeCell ref="B120:C120"/>
    <mergeCell ref="M120:N120"/>
    <mergeCell ref="I125:J125"/>
    <mergeCell ref="K125:L125"/>
    <mergeCell ref="M125:N125"/>
    <mergeCell ref="I44:J44"/>
    <mergeCell ref="K44:L44"/>
    <mergeCell ref="J47:N47"/>
    <mergeCell ref="J48:N48"/>
    <mergeCell ref="G51:H51"/>
    <mergeCell ref="I51:J51"/>
    <mergeCell ref="K51:L51"/>
    <mergeCell ref="M51:N51"/>
    <mergeCell ref="D44:F44"/>
    <mergeCell ref="G44:H44"/>
    <mergeCell ref="B47:H47"/>
    <mergeCell ref="B48:H48"/>
    <mergeCell ref="A49:N49"/>
    <mergeCell ref="A50:A51"/>
    <mergeCell ref="B50:F50"/>
    <mergeCell ref="D59:F59"/>
    <mergeCell ref="G59:H59"/>
    <mergeCell ref="B58:C58"/>
    <mergeCell ref="D58:F58"/>
    <mergeCell ref="G58:H58"/>
    <mergeCell ref="I58:J58"/>
    <mergeCell ref="K58:L58"/>
    <mergeCell ref="M58:N58"/>
    <mergeCell ref="B59:C59"/>
    <mergeCell ref="M59:N59"/>
    <mergeCell ref="I59:J59"/>
    <mergeCell ref="K59:L59"/>
    <mergeCell ref="D60:F60"/>
    <mergeCell ref="G60:H60"/>
    <mergeCell ref="I60:J60"/>
    <mergeCell ref="K60:L60"/>
    <mergeCell ref="M60:N60"/>
    <mergeCell ref="B60:C60"/>
    <mergeCell ref="B61:C61"/>
    <mergeCell ref="D61:F61"/>
    <mergeCell ref="G61:H61"/>
    <mergeCell ref="I61:J61"/>
    <mergeCell ref="K61:L61"/>
    <mergeCell ref="M61:N61"/>
    <mergeCell ref="D63:F63"/>
    <mergeCell ref="G63:H63"/>
    <mergeCell ref="B62:C62"/>
    <mergeCell ref="D62:F62"/>
    <mergeCell ref="G62:H62"/>
    <mergeCell ref="I62:J62"/>
    <mergeCell ref="K62:L62"/>
    <mergeCell ref="M62:N62"/>
    <mergeCell ref="B63:C63"/>
    <mergeCell ref="M63:N63"/>
    <mergeCell ref="I63:J63"/>
    <mergeCell ref="K63:L63"/>
    <mergeCell ref="D64:F64"/>
    <mergeCell ref="G64:H64"/>
    <mergeCell ref="I64:J64"/>
    <mergeCell ref="K64:L64"/>
    <mergeCell ref="M64:N64"/>
    <mergeCell ref="B64:C64"/>
    <mergeCell ref="B65:C65"/>
    <mergeCell ref="D65:F65"/>
    <mergeCell ref="G65:H65"/>
    <mergeCell ref="I65:J65"/>
    <mergeCell ref="K65:L65"/>
    <mergeCell ref="M65:N65"/>
    <mergeCell ref="D67:F67"/>
    <mergeCell ref="G67:H67"/>
    <mergeCell ref="B66:C66"/>
    <mergeCell ref="D66:F66"/>
    <mergeCell ref="G66:H66"/>
    <mergeCell ref="I66:J66"/>
    <mergeCell ref="K66:L66"/>
    <mergeCell ref="M66:N66"/>
    <mergeCell ref="B67:C67"/>
    <mergeCell ref="M67:N67"/>
    <mergeCell ref="B124:C124"/>
    <mergeCell ref="D124:F124"/>
    <mergeCell ref="G124:H124"/>
    <mergeCell ref="I124:J124"/>
    <mergeCell ref="K124:L124"/>
    <mergeCell ref="M124:N124"/>
    <mergeCell ref="B125:C125"/>
    <mergeCell ref="D125:F125"/>
    <mergeCell ref="G125:H125"/>
    <mergeCell ref="D126:F126"/>
    <mergeCell ref="G126:H126"/>
    <mergeCell ref="I126:J126"/>
    <mergeCell ref="K126:L126"/>
    <mergeCell ref="M126:N126"/>
    <mergeCell ref="B126:C126"/>
    <mergeCell ref="B127:C127"/>
    <mergeCell ref="D127:F127"/>
    <mergeCell ref="G127:H127"/>
    <mergeCell ref="I127:J127"/>
    <mergeCell ref="K127:L127"/>
    <mergeCell ref="M127:N127"/>
    <mergeCell ref="I129:J129"/>
    <mergeCell ref="K129:L129"/>
    <mergeCell ref="I130:J130"/>
    <mergeCell ref="K130:L130"/>
    <mergeCell ref="M130:N130"/>
    <mergeCell ref="I131:J131"/>
    <mergeCell ref="K131:L131"/>
    <mergeCell ref="M131:N131"/>
    <mergeCell ref="B128:C128"/>
    <mergeCell ref="D128:F128"/>
    <mergeCell ref="G128:H128"/>
    <mergeCell ref="I128:J128"/>
    <mergeCell ref="K128:L128"/>
    <mergeCell ref="M128:N128"/>
    <mergeCell ref="B129:C129"/>
    <mergeCell ref="M129:N129"/>
    <mergeCell ref="D129:F129"/>
    <mergeCell ref="G129:H129"/>
    <mergeCell ref="B130:C130"/>
    <mergeCell ref="D130:F130"/>
    <mergeCell ref="G130:H130"/>
    <mergeCell ref="D131:F131"/>
    <mergeCell ref="G131:H131"/>
    <mergeCell ref="B131:C131"/>
    <mergeCell ref="B132:C132"/>
    <mergeCell ref="D132:F132"/>
    <mergeCell ref="G132:H132"/>
    <mergeCell ref="I132:J132"/>
    <mergeCell ref="K132:L132"/>
    <mergeCell ref="M132:N132"/>
    <mergeCell ref="G141:H141"/>
    <mergeCell ref="I141:J141"/>
    <mergeCell ref="G142:H142"/>
    <mergeCell ref="I142:J142"/>
    <mergeCell ref="G143:H143"/>
    <mergeCell ref="I143:J143"/>
    <mergeCell ref="I144:J144"/>
    <mergeCell ref="G152:H152"/>
    <mergeCell ref="G153:H153"/>
    <mergeCell ref="G154:H154"/>
    <mergeCell ref="G155:H155"/>
    <mergeCell ref="G156:H156"/>
    <mergeCell ref="G157:H157"/>
    <mergeCell ref="G144:H144"/>
    <mergeCell ref="G145:H145"/>
    <mergeCell ref="G147:H147"/>
    <mergeCell ref="G148:H148"/>
    <mergeCell ref="G149:H149"/>
    <mergeCell ref="G150:H150"/>
    <mergeCell ref="G151:H151"/>
    <mergeCell ref="I153:J153"/>
    <mergeCell ref="I154:J154"/>
    <mergeCell ref="I155:J155"/>
    <mergeCell ref="I156:J156"/>
    <mergeCell ref="I157:J157"/>
    <mergeCell ref="I145:J145"/>
    <mergeCell ref="I147:J147"/>
    <mergeCell ref="I148:J148"/>
    <mergeCell ref="I149:J149"/>
    <mergeCell ref="I150:J150"/>
    <mergeCell ref="I151:J151"/>
    <mergeCell ref="I152:J152"/>
    <mergeCell ref="B141:C141"/>
    <mergeCell ref="D141:F141"/>
    <mergeCell ref="B142:C142"/>
    <mergeCell ref="D142:F142"/>
    <mergeCell ref="B143:C143"/>
    <mergeCell ref="D143:F143"/>
    <mergeCell ref="D144:F144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45:F145"/>
    <mergeCell ref="D146:F146"/>
    <mergeCell ref="B147:C147"/>
    <mergeCell ref="D147:F147"/>
    <mergeCell ref="B148:C148"/>
    <mergeCell ref="D148:F148"/>
    <mergeCell ref="D149:F149"/>
    <mergeCell ref="B156:C156"/>
    <mergeCell ref="B157:C157"/>
    <mergeCell ref="B149:C149"/>
    <mergeCell ref="B150:C150"/>
    <mergeCell ref="B151:C151"/>
    <mergeCell ref="B152:C152"/>
    <mergeCell ref="B153:C153"/>
    <mergeCell ref="B154:C154"/>
    <mergeCell ref="B155:C155"/>
    <mergeCell ref="K144:L144"/>
    <mergeCell ref="K145:L145"/>
    <mergeCell ref="G146:H146"/>
    <mergeCell ref="I146:J146"/>
    <mergeCell ref="K146:L146"/>
    <mergeCell ref="K147:L147"/>
    <mergeCell ref="K148:L148"/>
    <mergeCell ref="K156:L156"/>
    <mergeCell ref="K157:L157"/>
    <mergeCell ref="K149:L149"/>
    <mergeCell ref="K150:L150"/>
    <mergeCell ref="K151:L151"/>
    <mergeCell ref="K152:L152"/>
    <mergeCell ref="K153:L153"/>
    <mergeCell ref="K154:L154"/>
    <mergeCell ref="K155:L155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J160:N160"/>
    <mergeCell ref="B160:H160"/>
    <mergeCell ref="B161:H161"/>
    <mergeCell ref="J161:N161"/>
    <mergeCell ref="A162:N162"/>
    <mergeCell ref="B163:F163"/>
    <mergeCell ref="G163:J163"/>
    <mergeCell ref="K163:N163"/>
    <mergeCell ref="A163:A164"/>
    <mergeCell ref="B164:C164"/>
    <mergeCell ref="D164:F164"/>
    <mergeCell ref="G164:H164"/>
    <mergeCell ref="I164:J164"/>
    <mergeCell ref="K164:L164"/>
    <mergeCell ref="M164:N164"/>
    <mergeCell ref="I134:J134"/>
    <mergeCell ref="K134:L134"/>
    <mergeCell ref="J137:N137"/>
    <mergeCell ref="J138:N138"/>
    <mergeCell ref="B133:C133"/>
    <mergeCell ref="D133:F133"/>
    <mergeCell ref="G133:H133"/>
    <mergeCell ref="I133:J133"/>
    <mergeCell ref="K133:L133"/>
    <mergeCell ref="M133:N133"/>
    <mergeCell ref="B134:C134"/>
    <mergeCell ref="M134:N134"/>
    <mergeCell ref="G140:J140"/>
    <mergeCell ref="K140:N140"/>
    <mergeCell ref="D134:F134"/>
    <mergeCell ref="G134:H134"/>
    <mergeCell ref="B137:H137"/>
    <mergeCell ref="B138:H138"/>
    <mergeCell ref="A139:N139"/>
    <mergeCell ref="A140:A141"/>
    <mergeCell ref="B140:F140"/>
    <mergeCell ref="B144:C144"/>
    <mergeCell ref="B145:C145"/>
    <mergeCell ref="B146:C146"/>
    <mergeCell ref="K141:L141"/>
    <mergeCell ref="M141:N141"/>
    <mergeCell ref="K142:L142"/>
    <mergeCell ref="M142:N142"/>
    <mergeCell ref="K143:L143"/>
    <mergeCell ref="M143:N143"/>
    <mergeCell ref="M144:N144"/>
    <mergeCell ref="I166:J166"/>
    <mergeCell ref="K166:L166"/>
    <mergeCell ref="B165:C165"/>
    <mergeCell ref="D165:F165"/>
    <mergeCell ref="G165:H165"/>
    <mergeCell ref="I165:J165"/>
    <mergeCell ref="K165:L165"/>
    <mergeCell ref="M165:N165"/>
    <mergeCell ref="B166:C166"/>
    <mergeCell ref="M166:N166"/>
    <mergeCell ref="D166:F166"/>
    <mergeCell ref="G166:H166"/>
    <mergeCell ref="D167:F167"/>
    <mergeCell ref="G167:H167"/>
    <mergeCell ref="I167:J167"/>
    <mergeCell ref="K167:L167"/>
    <mergeCell ref="M167:N167"/>
    <mergeCell ref="B167:C167"/>
    <mergeCell ref="B168:C168"/>
    <mergeCell ref="D168:F168"/>
    <mergeCell ref="G168:H168"/>
    <mergeCell ref="I168:J168"/>
    <mergeCell ref="K168:L168"/>
    <mergeCell ref="M168:N168"/>
    <mergeCell ref="I170:J170"/>
    <mergeCell ref="K170:L170"/>
    <mergeCell ref="I171:J171"/>
    <mergeCell ref="K171:L171"/>
    <mergeCell ref="M171:N171"/>
    <mergeCell ref="I172:J172"/>
    <mergeCell ref="K172:L172"/>
    <mergeCell ref="M172:N172"/>
    <mergeCell ref="B169:C169"/>
    <mergeCell ref="D169:F169"/>
    <mergeCell ref="G169:H169"/>
    <mergeCell ref="I169:J169"/>
    <mergeCell ref="K169:L169"/>
    <mergeCell ref="M169:N169"/>
    <mergeCell ref="B170:C170"/>
    <mergeCell ref="M170:N170"/>
    <mergeCell ref="D170:F170"/>
    <mergeCell ref="G170:H170"/>
    <mergeCell ref="B171:C171"/>
    <mergeCell ref="D171:F171"/>
    <mergeCell ref="G171:H171"/>
    <mergeCell ref="D172:F172"/>
    <mergeCell ref="G172:H172"/>
    <mergeCell ref="B172:C172"/>
    <mergeCell ref="B173:C173"/>
    <mergeCell ref="D173:F173"/>
    <mergeCell ref="G173:H173"/>
    <mergeCell ref="I173:J173"/>
    <mergeCell ref="K173:L173"/>
    <mergeCell ref="M173:N17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4.88"/>
    <col customWidth="1" min="3" max="3" width="4.13"/>
    <col customWidth="1" min="4" max="4" width="4.5"/>
    <col customWidth="1" min="5" max="5" width="2.75"/>
    <col customWidth="1" min="6" max="6" width="2.0"/>
    <col customWidth="1" min="7" max="7" width="7.75"/>
    <col customWidth="1" min="8" max="8" width="0.38"/>
    <col customWidth="1" min="9" max="9" width="5.0"/>
    <col customWidth="1" min="10" max="10" width="5.13"/>
    <col customWidth="1" min="11" max="11" width="6.75"/>
    <col customWidth="1" min="12" max="12" width="0.38"/>
    <col customWidth="1" min="13" max="13" width="4.5"/>
    <col customWidth="1" min="14" max="14" width="2.25"/>
    <col customWidth="1" min="15" max="15" width="9.5"/>
    <col customWidth="1" min="16" max="16" width="9.38"/>
    <col customWidth="1" min="17" max="17" width="8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1" t="s">
        <v>2</v>
      </c>
      <c r="J1" s="5" t="s">
        <v>3</v>
      </c>
      <c r="K1" s="3"/>
      <c r="L1" s="3"/>
      <c r="M1" s="3"/>
      <c r="N1" s="4"/>
      <c r="O1" s="6"/>
      <c r="P1" s="7"/>
      <c r="Q1" s="8"/>
    </row>
    <row r="2">
      <c r="A2" s="1" t="s">
        <v>4</v>
      </c>
      <c r="B2" s="37" t="s">
        <v>102</v>
      </c>
      <c r="C2" s="3"/>
      <c r="D2" s="3"/>
      <c r="E2" s="3"/>
      <c r="F2" s="3"/>
      <c r="G2" s="3"/>
      <c r="H2" s="4"/>
      <c r="I2" s="1" t="s">
        <v>6</v>
      </c>
      <c r="J2" s="10">
        <v>2.0</v>
      </c>
      <c r="K2" s="3"/>
      <c r="L2" s="3"/>
      <c r="M2" s="3"/>
      <c r="N2" s="4"/>
      <c r="O2" s="6"/>
      <c r="P2" s="7"/>
      <c r="Q2" s="8"/>
    </row>
    <row r="3">
      <c r="A3" s="11" t="s">
        <v>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12" t="s">
        <v>8</v>
      </c>
      <c r="P3" s="13" t="s">
        <v>9</v>
      </c>
      <c r="Q3" s="14" t="s">
        <v>10</v>
      </c>
    </row>
    <row r="4">
      <c r="A4" s="15" t="s">
        <v>11</v>
      </c>
      <c r="B4" s="2" t="s">
        <v>12</v>
      </c>
      <c r="C4" s="3"/>
      <c r="D4" s="3"/>
      <c r="E4" s="3"/>
      <c r="F4" s="4"/>
      <c r="G4" s="2" t="s">
        <v>13</v>
      </c>
      <c r="H4" s="3"/>
      <c r="I4" s="3"/>
      <c r="J4" s="3"/>
      <c r="K4" s="10" t="s">
        <v>14</v>
      </c>
      <c r="L4" s="3"/>
      <c r="M4" s="3"/>
      <c r="N4" s="4"/>
      <c r="O4" s="6"/>
      <c r="P4" s="7"/>
      <c r="Q4" s="8"/>
    </row>
    <row r="5">
      <c r="A5" s="16"/>
      <c r="B5" s="17" t="s">
        <v>15</v>
      </c>
      <c r="C5" s="4"/>
      <c r="D5" s="17" t="s">
        <v>16</v>
      </c>
      <c r="E5" s="3"/>
      <c r="F5" s="4"/>
      <c r="G5" s="17" t="s">
        <v>15</v>
      </c>
      <c r="H5" s="4"/>
      <c r="I5" s="17" t="s">
        <v>16</v>
      </c>
      <c r="J5" s="4"/>
      <c r="K5" s="17" t="s">
        <v>15</v>
      </c>
      <c r="L5" s="4"/>
      <c r="M5" s="17" t="s">
        <v>16</v>
      </c>
      <c r="N5" s="4"/>
      <c r="O5" s="6"/>
      <c r="P5" s="7"/>
      <c r="Q5" s="8"/>
    </row>
    <row r="6">
      <c r="A6" s="18" t="s">
        <v>99</v>
      </c>
      <c r="B6" s="38">
        <v>0.46111111111111114</v>
      </c>
      <c r="C6" s="39"/>
      <c r="D6" s="40">
        <v>0.8263888888888888</v>
      </c>
      <c r="E6" s="41"/>
      <c r="F6" s="39"/>
      <c r="G6" s="19"/>
      <c r="H6" s="4"/>
      <c r="I6" s="19"/>
      <c r="J6" s="4"/>
      <c r="K6" s="19"/>
      <c r="L6" s="4"/>
      <c r="M6" s="20"/>
      <c r="N6" s="4"/>
      <c r="O6" s="6">
        <f t="shared" ref="O6:O9" si="1">D6-B6</f>
        <v>0.3652777778</v>
      </c>
      <c r="P6" s="21">
        <v>0.375</v>
      </c>
      <c r="Q6" s="8"/>
    </row>
    <row r="7">
      <c r="A7" s="37" t="s">
        <v>103</v>
      </c>
      <c r="B7" s="42">
        <v>0.45902777777777776</v>
      </c>
      <c r="C7" s="43"/>
      <c r="D7" s="42">
        <v>0.8416666666666667</v>
      </c>
      <c r="E7" s="44"/>
      <c r="F7" s="43"/>
      <c r="G7" s="19"/>
      <c r="H7" s="4"/>
      <c r="I7" s="20"/>
      <c r="J7" s="4"/>
      <c r="K7" s="19"/>
      <c r="L7" s="4"/>
      <c r="M7" s="20"/>
      <c r="N7" s="4"/>
      <c r="O7" s="6">
        <f t="shared" si="1"/>
        <v>0.3826388889</v>
      </c>
      <c r="P7" s="21">
        <v>0.375</v>
      </c>
      <c r="Q7" s="8"/>
    </row>
    <row r="8">
      <c r="A8" s="18" t="s">
        <v>104</v>
      </c>
      <c r="B8" s="45">
        <v>0.39444444444444443</v>
      </c>
      <c r="C8" s="46"/>
      <c r="D8" s="45">
        <v>0.7388888888888889</v>
      </c>
      <c r="E8" s="47"/>
      <c r="F8" s="46"/>
      <c r="G8" s="19"/>
      <c r="H8" s="4"/>
      <c r="I8" s="20"/>
      <c r="J8" s="4"/>
      <c r="K8" s="19"/>
      <c r="L8" s="4"/>
      <c r="M8" s="19"/>
      <c r="N8" s="4"/>
      <c r="O8" s="6">
        <f t="shared" si="1"/>
        <v>0.3444444444</v>
      </c>
      <c r="P8" s="21">
        <v>0.375</v>
      </c>
      <c r="Q8" s="8"/>
    </row>
    <row r="9">
      <c r="A9" s="18" t="s">
        <v>105</v>
      </c>
      <c r="B9" s="20">
        <v>0.42083333333333334</v>
      </c>
      <c r="C9" s="4"/>
      <c r="D9" s="20">
        <v>0.8493055555555555</v>
      </c>
      <c r="E9" s="3"/>
      <c r="F9" s="4"/>
      <c r="G9" s="19"/>
      <c r="H9" s="4"/>
      <c r="I9" s="19"/>
      <c r="J9" s="4"/>
      <c r="K9" s="19"/>
      <c r="L9" s="4"/>
      <c r="M9" s="19"/>
      <c r="N9" s="4"/>
      <c r="O9" s="6">
        <f t="shared" si="1"/>
        <v>0.4284722222</v>
      </c>
      <c r="P9" s="21">
        <v>0.375</v>
      </c>
      <c r="Q9" s="8">
        <f>O9-P9</f>
        <v>0.05347222222</v>
      </c>
    </row>
    <row r="10">
      <c r="A10" s="18" t="s">
        <v>106</v>
      </c>
      <c r="B10" s="20"/>
      <c r="C10" s="4"/>
      <c r="D10" s="20"/>
      <c r="E10" s="3"/>
      <c r="F10" s="4"/>
      <c r="G10" s="19"/>
      <c r="H10" s="4"/>
      <c r="I10" s="19"/>
      <c r="J10" s="4"/>
      <c r="K10" s="19"/>
      <c r="L10" s="4"/>
      <c r="M10" s="19"/>
      <c r="N10" s="4"/>
      <c r="O10" s="6"/>
      <c r="P10" s="21"/>
      <c r="Q10" s="8"/>
    </row>
    <row r="11">
      <c r="A11" s="22" t="s">
        <v>107</v>
      </c>
      <c r="B11" s="20">
        <v>0.525</v>
      </c>
      <c r="C11" s="4"/>
      <c r="D11" s="20">
        <v>0.8381944444444445</v>
      </c>
      <c r="E11" s="3"/>
      <c r="F11" s="4"/>
      <c r="G11" s="25"/>
      <c r="H11" s="3"/>
      <c r="I11" s="26"/>
      <c r="J11" s="3"/>
      <c r="K11" s="24"/>
      <c r="L11" s="3"/>
      <c r="M11" s="24"/>
      <c r="N11" s="4"/>
      <c r="O11" s="6">
        <f>D11-B11</f>
        <v>0.3131944444</v>
      </c>
      <c r="P11" s="21">
        <v>0.375</v>
      </c>
      <c r="Q11" s="8"/>
    </row>
    <row r="12">
      <c r="A12" s="22" t="s">
        <v>108</v>
      </c>
      <c r="B12" s="20"/>
      <c r="C12" s="4"/>
      <c r="D12" s="20"/>
      <c r="E12" s="3"/>
      <c r="F12" s="4"/>
      <c r="G12" s="19"/>
      <c r="H12" s="4"/>
      <c r="I12" s="19"/>
      <c r="J12" s="4"/>
      <c r="K12" s="19"/>
      <c r="L12" s="4"/>
      <c r="M12" s="20"/>
      <c r="N12" s="4"/>
      <c r="O12" s="6"/>
      <c r="P12" s="21"/>
      <c r="Q12" s="8"/>
    </row>
    <row r="13">
      <c r="A13" s="18" t="s">
        <v>109</v>
      </c>
      <c r="B13" s="20">
        <v>0.4826388888888889</v>
      </c>
      <c r="C13" s="4"/>
      <c r="D13" s="20">
        <v>0.8763888888888889</v>
      </c>
      <c r="E13" s="3"/>
      <c r="F13" s="4"/>
      <c r="G13" s="19"/>
      <c r="H13" s="4"/>
      <c r="I13" s="19"/>
      <c r="J13" s="4"/>
      <c r="K13" s="19"/>
      <c r="L13" s="4"/>
      <c r="M13" s="20"/>
      <c r="N13" s="4"/>
      <c r="O13" s="6">
        <f t="shared" ref="O13:O16" si="2">D13-B13</f>
        <v>0.39375</v>
      </c>
      <c r="P13" s="21">
        <v>0.375</v>
      </c>
      <c r="Q13" s="8"/>
    </row>
    <row r="14">
      <c r="A14" s="18" t="s">
        <v>110</v>
      </c>
      <c r="B14" s="20">
        <v>0.5263888888888889</v>
      </c>
      <c r="C14" s="4"/>
      <c r="D14" s="20">
        <v>0.8583333333333333</v>
      </c>
      <c r="E14" s="3"/>
      <c r="F14" s="4"/>
      <c r="G14" s="19"/>
      <c r="H14" s="4"/>
      <c r="I14" s="19"/>
      <c r="J14" s="4"/>
      <c r="K14" s="20"/>
      <c r="L14" s="4"/>
      <c r="M14" s="19"/>
      <c r="N14" s="4"/>
      <c r="O14" s="6">
        <f t="shared" si="2"/>
        <v>0.3319444444</v>
      </c>
      <c r="P14" s="21">
        <v>0.375</v>
      </c>
      <c r="Q14" s="8"/>
      <c r="R14" s="50">
        <f>114.94*3.58</f>
        <v>411.4852</v>
      </c>
      <c r="S14" s="50">
        <f>R14*30%</f>
        <v>123.44556</v>
      </c>
    </row>
    <row r="15">
      <c r="A15" s="18" t="s">
        <v>111</v>
      </c>
      <c r="B15" s="20">
        <v>0.3333333333333333</v>
      </c>
      <c r="C15" s="4"/>
      <c r="D15" s="20">
        <v>0.7409722222222223</v>
      </c>
      <c r="E15" s="3"/>
      <c r="F15" s="4"/>
      <c r="G15" s="19"/>
      <c r="H15" s="4"/>
      <c r="I15" s="19"/>
      <c r="J15" s="4"/>
      <c r="K15" s="20"/>
      <c r="L15" s="4"/>
      <c r="M15" s="19"/>
      <c r="N15" s="4"/>
      <c r="O15" s="6">
        <f t="shared" si="2"/>
        <v>0.4076388889</v>
      </c>
      <c r="P15" s="21">
        <v>0.375</v>
      </c>
      <c r="Q15" s="8"/>
    </row>
    <row r="16">
      <c r="A16" s="18" t="s">
        <v>112</v>
      </c>
      <c r="B16" s="20">
        <v>0.5090277777777777</v>
      </c>
      <c r="C16" s="4"/>
      <c r="D16" s="20">
        <v>0.875</v>
      </c>
      <c r="E16" s="3"/>
      <c r="F16" s="4"/>
      <c r="G16" s="19"/>
      <c r="H16" s="4"/>
      <c r="I16" s="19"/>
      <c r="J16" s="4"/>
      <c r="K16" s="19"/>
      <c r="L16" s="4"/>
      <c r="M16" s="19"/>
      <c r="N16" s="4"/>
      <c r="O16" s="6">
        <f t="shared" si="2"/>
        <v>0.3659722222</v>
      </c>
      <c r="P16" s="21">
        <v>0.375</v>
      </c>
      <c r="Q16" s="8"/>
    </row>
    <row r="17">
      <c r="A17" s="18" t="s">
        <v>113</v>
      </c>
      <c r="B17" s="20"/>
      <c r="C17" s="4"/>
      <c r="D17" s="20"/>
      <c r="E17" s="3"/>
      <c r="F17" s="4"/>
      <c r="G17" s="19"/>
      <c r="H17" s="4"/>
      <c r="I17" s="19"/>
      <c r="J17" s="4"/>
      <c r="K17" s="19"/>
      <c r="L17" s="4"/>
      <c r="M17" s="19"/>
      <c r="N17" s="4"/>
      <c r="O17" s="6"/>
      <c r="P17" s="21"/>
      <c r="Q17" s="8"/>
    </row>
    <row r="18">
      <c r="A18" s="22" t="s">
        <v>114</v>
      </c>
      <c r="B18" s="20"/>
      <c r="C18" s="4"/>
      <c r="D18" s="20"/>
      <c r="E18" s="3"/>
      <c r="F18" s="4"/>
      <c r="G18" s="19"/>
      <c r="H18" s="4"/>
      <c r="I18" s="19"/>
      <c r="J18" s="4"/>
      <c r="K18" s="19"/>
      <c r="L18" s="4"/>
      <c r="M18" s="20"/>
      <c r="N18" s="4"/>
      <c r="O18" s="6"/>
      <c r="P18" s="21"/>
      <c r="Q18" s="8"/>
    </row>
    <row r="19">
      <c r="A19" s="22" t="s">
        <v>115</v>
      </c>
      <c r="B19" s="20">
        <v>0.2923611111111111</v>
      </c>
      <c r="C19" s="4"/>
      <c r="D19" s="20">
        <v>0.7097222222222223</v>
      </c>
      <c r="E19" s="3"/>
      <c r="F19" s="4"/>
      <c r="G19" s="19"/>
      <c r="H19" s="4"/>
      <c r="I19" s="19"/>
      <c r="J19" s="4"/>
      <c r="K19" s="19"/>
      <c r="L19" s="4"/>
      <c r="M19" s="20"/>
      <c r="N19" s="4"/>
      <c r="O19" s="6">
        <f t="shared" ref="O19:O20" si="3">D19-B19</f>
        <v>0.4173611111</v>
      </c>
      <c r="P19" s="21">
        <v>0.375</v>
      </c>
      <c r="Q19" s="8">
        <f>O19-P19</f>
        <v>0.04236111111</v>
      </c>
    </row>
    <row r="20">
      <c r="A20" s="18" t="s">
        <v>116</v>
      </c>
      <c r="B20" s="20">
        <v>0.4736111111111111</v>
      </c>
      <c r="C20" s="4"/>
      <c r="D20" s="20">
        <v>0.8368055555555556</v>
      </c>
      <c r="E20" s="3"/>
      <c r="F20" s="4"/>
      <c r="G20" s="19"/>
      <c r="H20" s="4"/>
      <c r="I20" s="19"/>
      <c r="J20" s="4"/>
      <c r="K20" s="19"/>
      <c r="L20" s="4"/>
      <c r="M20" s="20"/>
      <c r="N20" s="4"/>
      <c r="O20" s="6">
        <f t="shared" si="3"/>
        <v>0.3631944444</v>
      </c>
      <c r="P20" s="21">
        <v>0.375</v>
      </c>
      <c r="Q20" s="8"/>
    </row>
    <row r="21">
      <c r="A21" s="18" t="s">
        <v>65</v>
      </c>
      <c r="B21" s="20"/>
      <c r="C21" s="4"/>
      <c r="D21" s="19"/>
      <c r="E21" s="3"/>
      <c r="F21" s="4"/>
      <c r="G21" s="19"/>
      <c r="H21" s="4"/>
      <c r="I21" s="19"/>
      <c r="J21" s="4"/>
      <c r="K21" s="19"/>
      <c r="L21" s="4"/>
      <c r="M21" s="19"/>
      <c r="N21" s="4"/>
      <c r="O21" s="6"/>
      <c r="P21" s="21"/>
      <c r="Q21" s="8"/>
    </row>
    <row r="22">
      <c r="A22" s="27"/>
      <c r="B22" s="19"/>
      <c r="C22" s="4"/>
      <c r="D22" s="19"/>
      <c r="E22" s="3"/>
      <c r="F22" s="4"/>
      <c r="G22" s="19"/>
      <c r="H22" s="4"/>
      <c r="I22" s="19"/>
      <c r="J22" s="4"/>
      <c r="K22" s="19"/>
      <c r="L22" s="4"/>
      <c r="M22" s="19"/>
      <c r="N22" s="4"/>
      <c r="O22" s="28" t="s">
        <v>10</v>
      </c>
      <c r="P22" s="7"/>
      <c r="Q22" s="8">
        <f>Q6+Q7+Q8+Q10+Q12+Q14+Q16+Q17+Q18+Q19</f>
        <v>0.04236111111</v>
      </c>
    </row>
    <row r="23">
      <c r="O23" s="6"/>
      <c r="P23" s="7"/>
      <c r="Q23" s="8"/>
    </row>
    <row r="24">
      <c r="A24" s="1" t="s">
        <v>0</v>
      </c>
      <c r="B24" s="2" t="s">
        <v>1</v>
      </c>
      <c r="C24" s="3"/>
      <c r="D24" s="3"/>
      <c r="E24" s="3"/>
      <c r="F24" s="3"/>
      <c r="G24" s="3"/>
      <c r="H24" s="4"/>
      <c r="I24" s="1" t="s">
        <v>2</v>
      </c>
      <c r="J24" s="10" t="s">
        <v>33</v>
      </c>
      <c r="K24" s="3"/>
      <c r="L24" s="3"/>
      <c r="M24" s="3"/>
      <c r="N24" s="4"/>
      <c r="O24" s="6"/>
      <c r="P24" s="7"/>
      <c r="Q24" s="8"/>
    </row>
    <row r="25">
      <c r="A25" s="1" t="s">
        <v>4</v>
      </c>
      <c r="B25" s="37" t="s">
        <v>102</v>
      </c>
      <c r="C25" s="3"/>
      <c r="D25" s="3"/>
      <c r="E25" s="3"/>
      <c r="F25" s="3"/>
      <c r="G25" s="3"/>
      <c r="H25" s="4"/>
      <c r="I25" s="1" t="s">
        <v>6</v>
      </c>
      <c r="J25" s="10">
        <v>6.0</v>
      </c>
      <c r="K25" s="3"/>
      <c r="L25" s="3"/>
      <c r="M25" s="3"/>
      <c r="N25" s="4"/>
      <c r="O25" s="6"/>
      <c r="P25" s="7"/>
      <c r="Q25" s="8"/>
      <c r="S25" s="48" t="s">
        <v>61</v>
      </c>
    </row>
    <row r="26">
      <c r="A26" s="11" t="s">
        <v>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  <c r="O26" s="6"/>
      <c r="P26" s="7"/>
      <c r="Q26" s="8"/>
    </row>
    <row r="27">
      <c r="A27" s="15" t="s">
        <v>11</v>
      </c>
      <c r="B27" s="2" t="s">
        <v>12</v>
      </c>
      <c r="C27" s="3"/>
      <c r="D27" s="3"/>
      <c r="E27" s="3"/>
      <c r="F27" s="4"/>
      <c r="G27" s="2" t="s">
        <v>13</v>
      </c>
      <c r="H27" s="3"/>
      <c r="I27" s="3"/>
      <c r="J27" s="3"/>
      <c r="K27" s="10" t="s">
        <v>14</v>
      </c>
      <c r="L27" s="3"/>
      <c r="M27" s="3"/>
      <c r="N27" s="4"/>
      <c r="O27" s="12" t="s">
        <v>8</v>
      </c>
      <c r="P27" s="13" t="s">
        <v>9</v>
      </c>
      <c r="Q27" s="14" t="s">
        <v>10</v>
      </c>
    </row>
    <row r="28">
      <c r="A28" s="16"/>
      <c r="B28" s="17" t="s">
        <v>15</v>
      </c>
      <c r="C28" s="4"/>
      <c r="D28" s="17" t="s">
        <v>16</v>
      </c>
      <c r="E28" s="3"/>
      <c r="F28" s="4"/>
      <c r="G28" s="17" t="s">
        <v>15</v>
      </c>
      <c r="H28" s="4"/>
      <c r="I28" s="17" t="s">
        <v>16</v>
      </c>
      <c r="J28" s="4"/>
      <c r="K28" s="17" t="s">
        <v>15</v>
      </c>
      <c r="L28" s="4"/>
      <c r="M28" s="17" t="s">
        <v>16</v>
      </c>
      <c r="N28" s="4"/>
      <c r="O28" s="6"/>
      <c r="P28" s="7"/>
      <c r="Q28" s="8"/>
    </row>
    <row r="29">
      <c r="A29" s="18" t="s">
        <v>99</v>
      </c>
      <c r="B29" s="20"/>
      <c r="C29" s="4"/>
      <c r="D29" s="20"/>
      <c r="E29" s="3"/>
      <c r="F29" s="4"/>
      <c r="G29" s="19"/>
      <c r="H29" s="4"/>
      <c r="I29" s="19"/>
      <c r="J29" s="4"/>
      <c r="K29" s="19"/>
      <c r="L29" s="4"/>
      <c r="M29" s="20"/>
      <c r="N29" s="4"/>
      <c r="O29" s="6">
        <f>D29-B29</f>
        <v>0</v>
      </c>
      <c r="P29" s="21">
        <v>0.3541666666666667</v>
      </c>
      <c r="Q29" s="8"/>
    </row>
    <row r="30">
      <c r="A30" s="37" t="s">
        <v>103</v>
      </c>
      <c r="B30" s="20"/>
      <c r="C30" s="4"/>
      <c r="D30" s="19"/>
      <c r="E30" s="3"/>
      <c r="F30" s="4"/>
      <c r="G30" s="19"/>
      <c r="H30" s="4"/>
      <c r="I30" s="19"/>
      <c r="J30" s="4"/>
      <c r="K30" s="19"/>
      <c r="L30" s="4"/>
      <c r="M30" s="20"/>
      <c r="N30" s="4"/>
      <c r="O30" s="6">
        <f t="shared" ref="O30:O31" si="4">M30-B30</f>
        <v>0</v>
      </c>
      <c r="P30" s="21">
        <v>0.3541666666666667</v>
      </c>
      <c r="Q30" s="8"/>
    </row>
    <row r="31">
      <c r="A31" s="18" t="s">
        <v>104</v>
      </c>
      <c r="B31" s="20"/>
      <c r="C31" s="4"/>
      <c r="D31" s="19"/>
      <c r="E31" s="3"/>
      <c r="F31" s="4"/>
      <c r="G31" s="19"/>
      <c r="H31" s="4"/>
      <c r="I31" s="19"/>
      <c r="J31" s="4"/>
      <c r="K31" s="19"/>
      <c r="L31" s="4"/>
      <c r="M31" s="20"/>
      <c r="N31" s="4"/>
      <c r="O31" s="6">
        <f t="shared" si="4"/>
        <v>0</v>
      </c>
      <c r="P31" s="21">
        <v>0.3541666666666667</v>
      </c>
      <c r="Q31" s="8"/>
    </row>
    <row r="32">
      <c r="A32" s="18" t="s">
        <v>105</v>
      </c>
      <c r="B32" s="29"/>
      <c r="C32" s="4"/>
      <c r="D32" s="29"/>
      <c r="E32" s="3"/>
      <c r="F32" s="4"/>
      <c r="G32" s="30"/>
      <c r="H32" s="4"/>
      <c r="I32" s="30"/>
      <c r="J32" s="4"/>
      <c r="K32" s="30"/>
      <c r="L32" s="4"/>
      <c r="M32" s="30"/>
      <c r="N32" s="4"/>
      <c r="O32" s="31">
        <f>D32-B32</f>
        <v>0</v>
      </c>
      <c r="P32" s="32">
        <v>0.3541666666666667</v>
      </c>
      <c r="Q32" s="8"/>
    </row>
    <row r="33">
      <c r="A33" s="18" t="s">
        <v>106</v>
      </c>
      <c r="B33" s="19"/>
      <c r="C33" s="4"/>
      <c r="D33" s="19"/>
      <c r="E33" s="3"/>
      <c r="F33" s="4"/>
      <c r="G33" s="19"/>
      <c r="H33" s="4"/>
      <c r="I33" s="19"/>
      <c r="J33" s="4"/>
      <c r="K33" s="19"/>
      <c r="L33" s="4"/>
      <c r="M33" s="19"/>
      <c r="N33" s="4"/>
      <c r="O33" s="6"/>
      <c r="P33" s="7"/>
      <c r="Q33" s="8"/>
    </row>
    <row r="34">
      <c r="A34" s="22" t="s">
        <v>107</v>
      </c>
      <c r="B34" s="20">
        <v>0.20416666666666666</v>
      </c>
      <c r="C34" s="4"/>
      <c r="D34" s="20">
        <v>0.8472222222222222</v>
      </c>
      <c r="E34" s="3"/>
      <c r="F34" s="4"/>
      <c r="G34" s="19"/>
      <c r="H34" s="4"/>
      <c r="I34" s="19"/>
      <c r="J34" s="4"/>
      <c r="K34" s="19"/>
      <c r="L34" s="4"/>
      <c r="M34" s="20"/>
      <c r="N34" s="4"/>
      <c r="O34" s="6">
        <f t="shared" ref="O34:O35" si="5">D34-B34</f>
        <v>0.6430555556</v>
      </c>
      <c r="P34" s="21">
        <v>0.3541666666666667</v>
      </c>
      <c r="Q34" s="8">
        <f>O34-P34</f>
        <v>0.2888888889</v>
      </c>
    </row>
    <row r="35">
      <c r="A35" s="22" t="s">
        <v>108</v>
      </c>
      <c r="B35" s="20"/>
      <c r="C35" s="4"/>
      <c r="D35" s="20"/>
      <c r="E35" s="3"/>
      <c r="F35" s="4"/>
      <c r="G35" s="19"/>
      <c r="H35" s="4"/>
      <c r="I35" s="19"/>
      <c r="J35" s="4"/>
      <c r="K35" s="20"/>
      <c r="L35" s="4"/>
      <c r="M35" s="19"/>
      <c r="N35" s="4"/>
      <c r="O35" s="6">
        <f t="shared" si="5"/>
        <v>0</v>
      </c>
      <c r="P35" s="21">
        <v>0.3541666666666667</v>
      </c>
      <c r="Q35" s="8"/>
    </row>
    <row r="36">
      <c r="A36" s="18" t="s">
        <v>109</v>
      </c>
      <c r="B36" s="20"/>
      <c r="C36" s="4"/>
      <c r="D36" s="19"/>
      <c r="E36" s="3"/>
      <c r="F36" s="4"/>
      <c r="G36" s="19"/>
      <c r="H36" s="4"/>
      <c r="I36" s="19"/>
      <c r="J36" s="4"/>
      <c r="K36" s="19"/>
      <c r="L36" s="4"/>
      <c r="M36" s="20"/>
      <c r="N36" s="4"/>
      <c r="O36" s="6">
        <f>M36-B36</f>
        <v>0</v>
      </c>
      <c r="P36" s="21">
        <v>0.3541666666666667</v>
      </c>
      <c r="Q36" s="8"/>
    </row>
    <row r="37">
      <c r="A37" s="18" t="s">
        <v>110</v>
      </c>
      <c r="B37" s="20"/>
      <c r="C37" s="4"/>
      <c r="D37" s="20"/>
      <c r="E37" s="3"/>
      <c r="F37" s="4"/>
      <c r="G37" s="19"/>
      <c r="H37" s="4"/>
      <c r="I37" s="20"/>
      <c r="J37" s="4"/>
      <c r="K37" s="19"/>
      <c r="L37" s="4"/>
      <c r="M37" s="19"/>
      <c r="N37" s="4"/>
      <c r="O37" s="6">
        <f>D37-B37</f>
        <v>0</v>
      </c>
      <c r="P37" s="21">
        <v>0.3541666666666667</v>
      </c>
      <c r="Q37" s="8"/>
      <c r="S37" s="50">
        <f>R37*30%</f>
        <v>0</v>
      </c>
    </row>
    <row r="38">
      <c r="A38" s="18" t="s">
        <v>111</v>
      </c>
      <c r="B38" s="20"/>
      <c r="C38" s="4"/>
      <c r="D38" s="19"/>
      <c r="E38" s="3"/>
      <c r="F38" s="4"/>
      <c r="G38" s="19"/>
      <c r="H38" s="4"/>
      <c r="I38" s="19"/>
      <c r="J38" s="4"/>
      <c r="K38" s="19"/>
      <c r="L38" s="4"/>
      <c r="M38" s="20"/>
      <c r="N38" s="4"/>
      <c r="O38" s="6">
        <f>M38-B38</f>
        <v>0</v>
      </c>
      <c r="P38" s="21">
        <v>0.3541666666666667</v>
      </c>
      <c r="Q38" s="8"/>
    </row>
    <row r="39">
      <c r="A39" s="18" t="s">
        <v>112</v>
      </c>
      <c r="B39" s="29"/>
      <c r="C39" s="4"/>
      <c r="D39" s="29"/>
      <c r="E39" s="3"/>
      <c r="F39" s="4"/>
      <c r="G39" s="30"/>
      <c r="H39" s="4"/>
      <c r="I39" s="30"/>
      <c r="J39" s="4"/>
      <c r="K39" s="30"/>
      <c r="L39" s="4"/>
      <c r="M39" s="30"/>
      <c r="N39" s="4"/>
      <c r="O39" s="31">
        <f t="shared" ref="O39:O41" si="6">D39-B39</f>
        <v>0</v>
      </c>
      <c r="P39" s="32">
        <v>0.3541666666666667</v>
      </c>
      <c r="Q39" s="8"/>
    </row>
    <row r="40">
      <c r="A40" s="18" t="s">
        <v>113</v>
      </c>
      <c r="B40" s="29"/>
      <c r="C40" s="4"/>
      <c r="D40" s="29"/>
      <c r="E40" s="3"/>
      <c r="F40" s="4"/>
      <c r="G40" s="30"/>
      <c r="H40" s="4"/>
      <c r="I40" s="30"/>
      <c r="J40" s="4"/>
      <c r="K40" s="30"/>
      <c r="L40" s="4"/>
      <c r="M40" s="30"/>
      <c r="N40" s="4"/>
      <c r="O40" s="31">
        <f t="shared" si="6"/>
        <v>0</v>
      </c>
      <c r="P40" s="32">
        <v>0.3541666666666667</v>
      </c>
      <c r="Q40" s="8"/>
    </row>
    <row r="41">
      <c r="A41" s="22" t="s">
        <v>114</v>
      </c>
      <c r="B41" s="20">
        <v>0.1875</v>
      </c>
      <c r="C41" s="4"/>
      <c r="D41" s="20">
        <v>0.8229166666666666</v>
      </c>
      <c r="E41" s="3"/>
      <c r="F41" s="4"/>
      <c r="G41" s="19"/>
      <c r="H41" s="4"/>
      <c r="I41" s="19"/>
      <c r="J41" s="4"/>
      <c r="K41" s="19"/>
      <c r="L41" s="4"/>
      <c r="M41" s="20"/>
      <c r="N41" s="4"/>
      <c r="O41" s="6">
        <f t="shared" si="6"/>
        <v>0.6354166667</v>
      </c>
      <c r="P41" s="21">
        <v>0.3541666666666667</v>
      </c>
      <c r="Q41" s="8">
        <f>O41-P41</f>
        <v>0.28125</v>
      </c>
    </row>
    <row r="42">
      <c r="A42" s="22" t="s">
        <v>115</v>
      </c>
      <c r="B42" s="20"/>
      <c r="C42" s="4"/>
      <c r="D42" s="19"/>
      <c r="E42" s="3"/>
      <c r="F42" s="4"/>
      <c r="G42" s="19"/>
      <c r="H42" s="4"/>
      <c r="I42" s="19"/>
      <c r="J42" s="4"/>
      <c r="K42" s="19"/>
      <c r="L42" s="4"/>
      <c r="M42" s="20"/>
      <c r="N42" s="4"/>
      <c r="O42" s="6"/>
      <c r="P42" s="21"/>
      <c r="Q42" s="8">
        <f>Q34+Q41</f>
        <v>0.5701388889</v>
      </c>
    </row>
    <row r="43">
      <c r="A43" s="18" t="s">
        <v>116</v>
      </c>
      <c r="B43" s="20"/>
      <c r="C43" s="4"/>
      <c r="D43" s="19"/>
      <c r="E43" s="3"/>
      <c r="F43" s="4"/>
      <c r="G43" s="19"/>
      <c r="H43" s="4"/>
      <c r="I43" s="19"/>
      <c r="J43" s="4"/>
      <c r="K43" s="19"/>
      <c r="L43" s="4"/>
      <c r="M43" s="20"/>
      <c r="N43" s="4"/>
      <c r="O43" s="6"/>
      <c r="P43" s="21"/>
      <c r="Q43" s="8"/>
    </row>
    <row r="44">
      <c r="A44" s="18" t="s">
        <v>65</v>
      </c>
      <c r="B44" s="23"/>
      <c r="C44" s="4"/>
      <c r="D44" s="24"/>
      <c r="E44" s="3"/>
      <c r="F44" s="3"/>
      <c r="G44" s="25"/>
      <c r="H44" s="3"/>
      <c r="I44" s="26"/>
      <c r="J44" s="3"/>
      <c r="K44" s="24"/>
      <c r="L44" s="3"/>
      <c r="M44" s="24"/>
      <c r="N44" s="4"/>
      <c r="O44" s="6"/>
      <c r="P44" s="7"/>
      <c r="Q44" s="8"/>
    </row>
    <row r="45">
      <c r="O45" s="28" t="s">
        <v>10</v>
      </c>
      <c r="P45" s="7"/>
      <c r="Q45" s="8">
        <f>Q29+Q37+Q39+Q40</f>
        <v>0</v>
      </c>
    </row>
    <row r="46">
      <c r="O46" s="6"/>
      <c r="P46" s="7"/>
      <c r="Q46" s="8"/>
    </row>
    <row r="47">
      <c r="A47" s="1" t="s">
        <v>0</v>
      </c>
      <c r="B47" s="2" t="s">
        <v>1</v>
      </c>
      <c r="C47" s="3"/>
      <c r="D47" s="3"/>
      <c r="E47" s="3"/>
      <c r="F47" s="3"/>
      <c r="G47" s="3"/>
      <c r="H47" s="4"/>
      <c r="I47" s="1" t="s">
        <v>2</v>
      </c>
      <c r="J47" s="10" t="s">
        <v>34</v>
      </c>
      <c r="K47" s="3"/>
      <c r="L47" s="3"/>
      <c r="M47" s="3"/>
      <c r="N47" s="4"/>
      <c r="O47" s="6"/>
      <c r="P47" s="7"/>
      <c r="Q47" s="8"/>
    </row>
    <row r="48">
      <c r="A48" s="1" t="s">
        <v>4</v>
      </c>
      <c r="B48" s="9" t="s">
        <v>5</v>
      </c>
      <c r="C48" s="3"/>
      <c r="D48" s="3"/>
      <c r="E48" s="3"/>
      <c r="F48" s="3"/>
      <c r="G48" s="3"/>
      <c r="H48" s="4"/>
      <c r="I48" s="1" t="s">
        <v>6</v>
      </c>
      <c r="J48" s="10">
        <v>7.0</v>
      </c>
      <c r="K48" s="3"/>
      <c r="L48" s="3"/>
      <c r="M48" s="3"/>
      <c r="N48" s="4"/>
      <c r="O48" s="6"/>
      <c r="P48" s="7"/>
      <c r="Q48" s="8"/>
    </row>
    <row r="49">
      <c r="A49" s="11" t="s">
        <v>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4"/>
      <c r="O49" s="12" t="s">
        <v>8</v>
      </c>
      <c r="P49" s="13" t="s">
        <v>9</v>
      </c>
      <c r="Q49" s="14" t="s">
        <v>10</v>
      </c>
    </row>
    <row r="50">
      <c r="A50" s="15" t="s">
        <v>11</v>
      </c>
      <c r="B50" s="2" t="s">
        <v>12</v>
      </c>
      <c r="C50" s="3"/>
      <c r="D50" s="3"/>
      <c r="E50" s="3"/>
      <c r="F50" s="4"/>
      <c r="G50" s="2" t="s">
        <v>13</v>
      </c>
      <c r="H50" s="3"/>
      <c r="I50" s="3"/>
      <c r="J50" s="3"/>
      <c r="K50" s="10" t="s">
        <v>14</v>
      </c>
      <c r="L50" s="3"/>
      <c r="M50" s="3"/>
      <c r="N50" s="4"/>
      <c r="O50" s="6"/>
      <c r="P50" s="7"/>
      <c r="Q50" s="8"/>
    </row>
    <row r="51">
      <c r="A51" s="16"/>
      <c r="B51" s="17" t="s">
        <v>15</v>
      </c>
      <c r="C51" s="4"/>
      <c r="D51" s="17" t="s">
        <v>16</v>
      </c>
      <c r="E51" s="3"/>
      <c r="F51" s="4"/>
      <c r="G51" s="17" t="s">
        <v>15</v>
      </c>
      <c r="H51" s="4"/>
      <c r="I51" s="17" t="s">
        <v>16</v>
      </c>
      <c r="J51" s="4"/>
      <c r="K51" s="17" t="s">
        <v>15</v>
      </c>
      <c r="L51" s="4"/>
      <c r="M51" s="17" t="s">
        <v>16</v>
      </c>
      <c r="N51" s="4"/>
      <c r="O51" s="6"/>
      <c r="P51" s="7"/>
      <c r="Q51" s="8"/>
    </row>
    <row r="52">
      <c r="A52" s="18" t="s">
        <v>17</v>
      </c>
      <c r="B52" s="19"/>
      <c r="C52" s="4"/>
      <c r="D52" s="19"/>
      <c r="E52" s="3"/>
      <c r="F52" s="4"/>
      <c r="G52" s="20"/>
      <c r="H52" s="4"/>
      <c r="I52" s="19"/>
      <c r="J52" s="4"/>
      <c r="K52" s="19"/>
      <c r="L52" s="4"/>
      <c r="M52" s="20"/>
      <c r="N52" s="4"/>
      <c r="O52" s="6">
        <f>M52-G52</f>
        <v>0</v>
      </c>
      <c r="P52" s="21">
        <v>0.3541666666666667</v>
      </c>
      <c r="Q52" s="8">
        <f t="shared" ref="Q52:Q54" si="7">O52-P52</f>
        <v>-0.3541666667</v>
      </c>
    </row>
    <row r="53">
      <c r="A53" s="18" t="s">
        <v>18</v>
      </c>
      <c r="B53" s="19"/>
      <c r="C53" s="4"/>
      <c r="D53" s="20"/>
      <c r="E53" s="3"/>
      <c r="F53" s="4"/>
      <c r="G53" s="19"/>
      <c r="H53" s="4"/>
      <c r="I53" s="19"/>
      <c r="J53" s="4"/>
      <c r="K53" s="19"/>
      <c r="L53" s="4"/>
      <c r="M53" s="20"/>
      <c r="N53" s="4"/>
      <c r="O53" s="6">
        <f>M53-D53</f>
        <v>0</v>
      </c>
      <c r="P53" s="21">
        <v>0.3541666666666667</v>
      </c>
      <c r="Q53" s="8">
        <f t="shared" si="7"/>
        <v>-0.3541666667</v>
      </c>
    </row>
    <row r="54">
      <c r="A54" s="18" t="s">
        <v>19</v>
      </c>
      <c r="B54" s="19"/>
      <c r="C54" s="4"/>
      <c r="D54" s="20"/>
      <c r="E54" s="3"/>
      <c r="F54" s="4"/>
      <c r="G54" s="19"/>
      <c r="H54" s="4"/>
      <c r="I54" s="19"/>
      <c r="J54" s="4"/>
      <c r="K54" s="20"/>
      <c r="L54" s="4"/>
      <c r="M54" s="19"/>
      <c r="N54" s="4"/>
      <c r="O54" s="6">
        <f>K54-D54</f>
        <v>0</v>
      </c>
      <c r="P54" s="21">
        <v>0.3541666666666667</v>
      </c>
      <c r="Q54" s="8">
        <f t="shared" si="7"/>
        <v>-0.3541666667</v>
      </c>
    </row>
    <row r="55">
      <c r="A55" s="22" t="s">
        <v>20</v>
      </c>
      <c r="B55" s="19"/>
      <c r="C55" s="4"/>
      <c r="D55" s="19"/>
      <c r="E55" s="3"/>
      <c r="F55" s="4"/>
      <c r="G55" s="19"/>
      <c r="H55" s="4"/>
      <c r="I55" s="19"/>
      <c r="J55" s="4"/>
      <c r="K55" s="19"/>
      <c r="L55" s="4"/>
      <c r="M55" s="19"/>
      <c r="N55" s="4"/>
      <c r="O55" s="6">
        <f t="shared" ref="O55:O57" si="8">M55-G55</f>
        <v>0</v>
      </c>
      <c r="P55" s="7"/>
      <c r="Q55" s="8"/>
    </row>
    <row r="56">
      <c r="A56" s="22" t="s">
        <v>21</v>
      </c>
      <c r="B56" s="19"/>
      <c r="C56" s="4"/>
      <c r="D56" s="19"/>
      <c r="E56" s="3"/>
      <c r="F56" s="4"/>
      <c r="G56" s="19"/>
      <c r="H56" s="4"/>
      <c r="I56" s="19"/>
      <c r="J56" s="4"/>
      <c r="K56" s="19"/>
      <c r="L56" s="4"/>
      <c r="M56" s="19"/>
      <c r="N56" s="4"/>
      <c r="O56" s="6">
        <f t="shared" si="8"/>
        <v>0</v>
      </c>
      <c r="P56" s="7"/>
      <c r="Q56" s="8"/>
    </row>
    <row r="57">
      <c r="A57" s="18" t="s">
        <v>22</v>
      </c>
      <c r="B57" s="23"/>
      <c r="C57" s="4"/>
      <c r="D57" s="24"/>
      <c r="E57" s="3"/>
      <c r="F57" s="3"/>
      <c r="G57" s="25"/>
      <c r="H57" s="3"/>
      <c r="I57" s="26"/>
      <c r="J57" s="3"/>
      <c r="K57" s="24"/>
      <c r="L57" s="3"/>
      <c r="M57" s="24"/>
      <c r="N57" s="4"/>
      <c r="O57" s="6">
        <f t="shared" si="8"/>
        <v>0</v>
      </c>
      <c r="P57" s="7"/>
      <c r="Q57" s="8"/>
    </row>
    <row r="58">
      <c r="A58" s="18" t="s">
        <v>23</v>
      </c>
      <c r="B58" s="20"/>
      <c r="C58" s="4"/>
      <c r="D58" s="19"/>
      <c r="E58" s="3"/>
      <c r="F58" s="4"/>
      <c r="G58" s="19"/>
      <c r="H58" s="4"/>
      <c r="I58" s="19"/>
      <c r="J58" s="4"/>
      <c r="K58" s="20"/>
      <c r="L58" s="4"/>
      <c r="M58" s="19"/>
      <c r="N58" s="4"/>
      <c r="O58" s="6">
        <f>K58-B58</f>
        <v>0</v>
      </c>
      <c r="P58" s="21">
        <v>0.3541666666666667</v>
      </c>
      <c r="Q58" s="8">
        <f t="shared" ref="Q58:Q61" si="9">O58-P58</f>
        <v>-0.3541666667</v>
      </c>
    </row>
    <row r="59">
      <c r="A59" s="18" t="s">
        <v>24</v>
      </c>
      <c r="B59" s="19"/>
      <c r="C59" s="4"/>
      <c r="D59" s="19"/>
      <c r="E59" s="3"/>
      <c r="F59" s="4"/>
      <c r="G59" s="20"/>
      <c r="H59" s="4"/>
      <c r="I59" s="19"/>
      <c r="J59" s="4"/>
      <c r="K59" s="20"/>
      <c r="L59" s="4"/>
      <c r="M59" s="19"/>
      <c r="N59" s="4"/>
      <c r="O59" s="6">
        <f>K59-G59</f>
        <v>0</v>
      </c>
      <c r="P59" s="21">
        <v>0.3541666666666667</v>
      </c>
      <c r="Q59" s="8">
        <f t="shared" si="9"/>
        <v>-0.3541666667</v>
      </c>
    </row>
    <row r="60">
      <c r="A60" s="18" t="s">
        <v>25</v>
      </c>
      <c r="B60" s="20"/>
      <c r="C60" s="4"/>
      <c r="D60" s="19"/>
      <c r="E60" s="3"/>
      <c r="F60" s="4"/>
      <c r="G60" s="19"/>
      <c r="H60" s="4"/>
      <c r="I60" s="20"/>
      <c r="J60" s="4"/>
      <c r="K60" s="19"/>
      <c r="L60" s="4"/>
      <c r="M60" s="19"/>
      <c r="N60" s="4"/>
      <c r="O60" s="6">
        <f>I60-B60</f>
        <v>0</v>
      </c>
      <c r="P60" s="21">
        <v>0.3541666666666667</v>
      </c>
      <c r="Q60" s="8">
        <f t="shared" si="9"/>
        <v>-0.3541666667</v>
      </c>
    </row>
    <row r="61">
      <c r="A61" s="18" t="s">
        <v>26</v>
      </c>
      <c r="B61" s="19"/>
      <c r="C61" s="4"/>
      <c r="D61" s="20"/>
      <c r="E61" s="3"/>
      <c r="F61" s="4"/>
      <c r="G61" s="19"/>
      <c r="H61" s="4"/>
      <c r="I61" s="19"/>
      <c r="J61" s="4"/>
      <c r="K61" s="19"/>
      <c r="L61" s="4"/>
      <c r="M61" s="20"/>
      <c r="N61" s="4"/>
      <c r="O61" s="6">
        <f>M61-D61</f>
        <v>0</v>
      </c>
      <c r="P61" s="21">
        <v>0.3541666666666667</v>
      </c>
      <c r="Q61" s="8">
        <f t="shared" si="9"/>
        <v>-0.3541666667</v>
      </c>
    </row>
    <row r="62">
      <c r="A62" s="22" t="s">
        <v>27</v>
      </c>
      <c r="B62" s="19"/>
      <c r="C62" s="4"/>
      <c r="D62" s="19"/>
      <c r="E62" s="3"/>
      <c r="F62" s="4"/>
      <c r="G62" s="19"/>
      <c r="H62" s="4"/>
      <c r="I62" s="19"/>
      <c r="J62" s="4"/>
      <c r="K62" s="19"/>
      <c r="L62" s="4"/>
      <c r="M62" s="19"/>
      <c r="N62" s="4"/>
      <c r="O62" s="6">
        <f t="shared" ref="O62:O63" si="10">M62-G62</f>
        <v>0</v>
      </c>
      <c r="P62" s="7"/>
      <c r="Q62" s="8"/>
    </row>
    <row r="63">
      <c r="A63" s="22" t="s">
        <v>28</v>
      </c>
      <c r="B63" s="19"/>
      <c r="C63" s="4"/>
      <c r="D63" s="19"/>
      <c r="E63" s="3"/>
      <c r="F63" s="4"/>
      <c r="G63" s="19"/>
      <c r="H63" s="4"/>
      <c r="I63" s="19"/>
      <c r="J63" s="4"/>
      <c r="K63" s="19"/>
      <c r="L63" s="4"/>
      <c r="M63" s="19"/>
      <c r="N63" s="4"/>
      <c r="O63" s="6">
        <f t="shared" si="10"/>
        <v>0</v>
      </c>
      <c r="P63" s="7"/>
      <c r="Q63" s="8"/>
    </row>
    <row r="64">
      <c r="A64" s="18" t="s">
        <v>29</v>
      </c>
      <c r="B64" s="20"/>
      <c r="C64" s="4"/>
      <c r="D64" s="19"/>
      <c r="E64" s="3"/>
      <c r="F64" s="4"/>
      <c r="G64" s="19"/>
      <c r="H64" s="4"/>
      <c r="I64" s="20"/>
      <c r="J64" s="4"/>
      <c r="K64" s="19"/>
      <c r="L64" s="4"/>
      <c r="M64" s="19"/>
      <c r="N64" s="4"/>
      <c r="O64" s="6">
        <f>I64-B64</f>
        <v>0</v>
      </c>
      <c r="P64" s="21">
        <v>0.3541666666666667</v>
      </c>
      <c r="Q64" s="8">
        <f t="shared" ref="Q64:Q66" si="11">O64-P64</f>
        <v>-0.3541666667</v>
      </c>
    </row>
    <row r="65">
      <c r="A65" s="18" t="s">
        <v>30</v>
      </c>
      <c r="B65" s="19"/>
      <c r="C65" s="4"/>
      <c r="D65" s="20"/>
      <c r="E65" s="3"/>
      <c r="F65" s="4"/>
      <c r="G65" s="19"/>
      <c r="H65" s="4"/>
      <c r="I65" s="19"/>
      <c r="J65" s="4"/>
      <c r="K65" s="19"/>
      <c r="L65" s="4"/>
      <c r="M65" s="20"/>
      <c r="N65" s="4"/>
      <c r="O65" s="6">
        <f t="shared" ref="O65:O66" si="12">M65-D65</f>
        <v>0</v>
      </c>
      <c r="P65" s="21">
        <v>0.3541666666666667</v>
      </c>
      <c r="Q65" s="8">
        <f t="shared" si="11"/>
        <v>-0.3541666667</v>
      </c>
    </row>
    <row r="66">
      <c r="A66" s="18" t="s">
        <v>31</v>
      </c>
      <c r="B66" s="19"/>
      <c r="C66" s="4"/>
      <c r="D66" s="20"/>
      <c r="E66" s="3"/>
      <c r="F66" s="4"/>
      <c r="G66" s="19"/>
      <c r="H66" s="4"/>
      <c r="I66" s="19"/>
      <c r="J66" s="4"/>
      <c r="K66" s="19"/>
      <c r="L66" s="4"/>
      <c r="M66" s="20"/>
      <c r="N66" s="4"/>
      <c r="O66" s="6">
        <f t="shared" si="12"/>
        <v>0</v>
      </c>
      <c r="P66" s="21">
        <v>0.3541666666666667</v>
      </c>
      <c r="Q66" s="8">
        <f t="shared" si="11"/>
        <v>-0.3541666667</v>
      </c>
    </row>
    <row r="67">
      <c r="A67" s="18" t="s">
        <v>32</v>
      </c>
      <c r="B67" s="23"/>
      <c r="C67" s="4"/>
      <c r="D67" s="24"/>
      <c r="E67" s="3"/>
      <c r="F67" s="3"/>
      <c r="G67" s="25"/>
      <c r="H67" s="3"/>
      <c r="I67" s="26"/>
      <c r="J67" s="3"/>
      <c r="K67" s="24"/>
      <c r="L67" s="3"/>
      <c r="M67" s="24"/>
      <c r="N67" s="4"/>
      <c r="O67" s="6">
        <f>M67-G67</f>
        <v>0</v>
      </c>
      <c r="P67" s="7"/>
      <c r="Q67" s="8"/>
    </row>
    <row r="68">
      <c r="O68" s="28" t="s">
        <v>10</v>
      </c>
      <c r="P68" s="7"/>
      <c r="Q68" s="8">
        <f>Q53+Q61+Q65+Q66</f>
        <v>-1.416666667</v>
      </c>
    </row>
    <row r="69">
      <c r="O69" s="6"/>
      <c r="P69" s="7"/>
      <c r="Q69" s="8"/>
    </row>
    <row r="70">
      <c r="A70" s="1" t="s">
        <v>0</v>
      </c>
      <c r="B70" s="2" t="s">
        <v>1</v>
      </c>
      <c r="C70" s="3"/>
      <c r="D70" s="3"/>
      <c r="E70" s="3"/>
      <c r="F70" s="3"/>
      <c r="G70" s="3"/>
      <c r="H70" s="4"/>
      <c r="I70" s="1" t="s">
        <v>2</v>
      </c>
      <c r="J70" s="10" t="s">
        <v>35</v>
      </c>
      <c r="K70" s="3"/>
      <c r="L70" s="3"/>
      <c r="M70" s="3"/>
      <c r="N70" s="4"/>
      <c r="O70" s="6"/>
      <c r="P70" s="7"/>
      <c r="Q70" s="8"/>
    </row>
    <row r="71">
      <c r="A71" s="1" t="s">
        <v>4</v>
      </c>
      <c r="B71" s="37" t="s">
        <v>82</v>
      </c>
      <c r="C71" s="3"/>
      <c r="D71" s="3"/>
      <c r="E71" s="3"/>
      <c r="F71" s="3"/>
      <c r="G71" s="3"/>
      <c r="H71" s="4"/>
      <c r="I71" s="1" t="s">
        <v>6</v>
      </c>
      <c r="J71" s="10">
        <v>8.0</v>
      </c>
      <c r="K71" s="3"/>
      <c r="L71" s="3"/>
      <c r="M71" s="3"/>
      <c r="N71" s="4"/>
      <c r="O71" s="6"/>
      <c r="P71" s="7"/>
      <c r="Q71" s="8"/>
    </row>
    <row r="72">
      <c r="A72" s="11" t="s">
        <v>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4"/>
      <c r="O72" s="12" t="s">
        <v>8</v>
      </c>
      <c r="P72" s="13" t="s">
        <v>9</v>
      </c>
      <c r="Q72" s="14" t="s">
        <v>10</v>
      </c>
    </row>
    <row r="73">
      <c r="A73" s="15" t="s">
        <v>11</v>
      </c>
      <c r="B73" s="2" t="s">
        <v>12</v>
      </c>
      <c r="C73" s="3"/>
      <c r="D73" s="3"/>
      <c r="E73" s="3"/>
      <c r="F73" s="4"/>
      <c r="G73" s="2" t="s">
        <v>13</v>
      </c>
      <c r="H73" s="3"/>
      <c r="I73" s="3"/>
      <c r="J73" s="3"/>
      <c r="K73" s="10" t="s">
        <v>14</v>
      </c>
      <c r="L73" s="3"/>
      <c r="M73" s="3"/>
      <c r="N73" s="4"/>
      <c r="O73" s="6"/>
      <c r="P73" s="7"/>
      <c r="Q73" s="8"/>
    </row>
    <row r="74">
      <c r="A74" s="16"/>
      <c r="B74" s="17" t="s">
        <v>15</v>
      </c>
      <c r="C74" s="4"/>
      <c r="D74" s="17" t="s">
        <v>16</v>
      </c>
      <c r="E74" s="3"/>
      <c r="F74" s="4"/>
      <c r="G74" s="17" t="s">
        <v>15</v>
      </c>
      <c r="H74" s="4"/>
      <c r="I74" s="17" t="s">
        <v>16</v>
      </c>
      <c r="J74" s="4"/>
      <c r="K74" s="17" t="s">
        <v>15</v>
      </c>
      <c r="L74" s="4"/>
      <c r="M74" s="17" t="s">
        <v>16</v>
      </c>
      <c r="N74" s="4"/>
      <c r="O74" s="6"/>
      <c r="P74" s="7"/>
      <c r="Q74" s="8"/>
    </row>
    <row r="75">
      <c r="A75" s="22" t="s">
        <v>83</v>
      </c>
      <c r="B75" s="20"/>
      <c r="C75" s="4"/>
      <c r="D75" s="19"/>
      <c r="E75" s="3"/>
      <c r="F75" s="4"/>
      <c r="G75" s="19"/>
      <c r="H75" s="4"/>
      <c r="I75" s="19"/>
      <c r="J75" s="4"/>
      <c r="K75" s="20"/>
      <c r="L75" s="4"/>
      <c r="M75" s="19"/>
      <c r="N75" s="4"/>
      <c r="O75" s="6"/>
      <c r="P75" s="21"/>
      <c r="Q75" s="8"/>
    </row>
    <row r="76">
      <c r="A76" s="18" t="s">
        <v>84</v>
      </c>
      <c r="B76" s="33">
        <v>0.3729166666666667</v>
      </c>
      <c r="C76" s="4"/>
      <c r="D76" s="34">
        <v>0.8506944444444444</v>
      </c>
      <c r="E76" s="3"/>
      <c r="F76" s="3"/>
      <c r="G76" s="25"/>
      <c r="H76" s="3"/>
      <c r="I76" s="26"/>
      <c r="J76" s="3"/>
      <c r="K76" s="24"/>
      <c r="L76" s="3"/>
      <c r="M76" s="24"/>
      <c r="N76" s="4"/>
      <c r="O76" s="6">
        <f t="shared" ref="O76:O80" si="13">D76-B76</f>
        <v>0.4777777778</v>
      </c>
      <c r="P76" s="21">
        <v>0.375</v>
      </c>
      <c r="Q76" s="8">
        <f t="shared" ref="Q76:Q80" si="14">O76-P76</f>
        <v>0.1027777778</v>
      </c>
    </row>
    <row r="77">
      <c r="A77" s="18" t="s">
        <v>85</v>
      </c>
      <c r="B77" s="20">
        <v>0.3715277777777778</v>
      </c>
      <c r="C77" s="4"/>
      <c r="D77" s="20">
        <v>0.7673611111111112</v>
      </c>
      <c r="E77" s="3"/>
      <c r="F77" s="4"/>
      <c r="G77" s="19"/>
      <c r="H77" s="4"/>
      <c r="I77" s="20"/>
      <c r="J77" s="4"/>
      <c r="K77" s="19"/>
      <c r="L77" s="4"/>
      <c r="M77" s="19"/>
      <c r="N77" s="4"/>
      <c r="O77" s="6">
        <f t="shared" si="13"/>
        <v>0.3958333333</v>
      </c>
      <c r="P77" s="21">
        <v>0.375</v>
      </c>
      <c r="Q77" s="8">
        <f t="shared" si="14"/>
        <v>0.02083333333</v>
      </c>
    </row>
    <row r="78">
      <c r="A78" s="18" t="s">
        <v>86</v>
      </c>
      <c r="B78" s="20">
        <v>0.3875</v>
      </c>
      <c r="C78" s="4"/>
      <c r="D78" s="20">
        <v>0.7493055555555556</v>
      </c>
      <c r="E78" s="3"/>
      <c r="F78" s="4"/>
      <c r="G78" s="19"/>
      <c r="H78" s="4"/>
      <c r="I78" s="19"/>
      <c r="J78" s="4"/>
      <c r="K78" s="19"/>
      <c r="L78" s="4"/>
      <c r="M78" s="19"/>
      <c r="N78" s="4"/>
      <c r="O78" s="6">
        <f t="shared" si="13"/>
        <v>0.3618055556</v>
      </c>
      <c r="P78" s="21">
        <v>0.375</v>
      </c>
      <c r="Q78" s="8">
        <f t="shared" si="14"/>
        <v>-0.01319444444</v>
      </c>
    </row>
    <row r="79">
      <c r="A79" s="18" t="s">
        <v>88</v>
      </c>
      <c r="B79" s="20">
        <v>0.3659722222222222</v>
      </c>
      <c r="C79" s="4"/>
      <c r="D79" s="20">
        <v>0.8069444444444445</v>
      </c>
      <c r="E79" s="3"/>
      <c r="F79" s="4"/>
      <c r="G79" s="19"/>
      <c r="H79" s="4"/>
      <c r="I79" s="19"/>
      <c r="J79" s="4"/>
      <c r="K79" s="19"/>
      <c r="L79" s="4"/>
      <c r="M79" s="19"/>
      <c r="N79" s="4"/>
      <c r="O79" s="6">
        <f t="shared" si="13"/>
        <v>0.4409722222</v>
      </c>
      <c r="P79" s="21">
        <v>0.375</v>
      </c>
      <c r="Q79" s="8">
        <f t="shared" si="14"/>
        <v>0.06597222222</v>
      </c>
    </row>
    <row r="80">
      <c r="A80" s="18" t="s">
        <v>89</v>
      </c>
      <c r="B80" s="20">
        <v>0.3729166666666667</v>
      </c>
      <c r="C80" s="4"/>
      <c r="D80" s="20">
        <v>0.7729166666666667</v>
      </c>
      <c r="E80" s="3"/>
      <c r="F80" s="4"/>
      <c r="G80" s="19"/>
      <c r="H80" s="4"/>
      <c r="I80" s="20"/>
      <c r="J80" s="4"/>
      <c r="K80" s="19"/>
      <c r="L80" s="4"/>
      <c r="M80" s="19"/>
      <c r="N80" s="4"/>
      <c r="O80" s="6">
        <f t="shared" si="13"/>
        <v>0.4</v>
      </c>
      <c r="P80" s="21">
        <v>0.375</v>
      </c>
      <c r="Q80" s="8">
        <f t="shared" si="14"/>
        <v>0.025</v>
      </c>
    </row>
    <row r="81">
      <c r="A81" s="22" t="s">
        <v>90</v>
      </c>
      <c r="B81" s="20"/>
      <c r="C81" s="4"/>
      <c r="D81" s="19"/>
      <c r="E81" s="3"/>
      <c r="F81" s="4"/>
      <c r="G81" s="19"/>
      <c r="H81" s="4"/>
      <c r="I81" s="19"/>
      <c r="J81" s="4"/>
      <c r="K81" s="20"/>
      <c r="L81" s="4"/>
      <c r="M81" s="19"/>
      <c r="N81" s="4"/>
      <c r="O81" s="6"/>
      <c r="P81" s="21"/>
      <c r="Q81" s="8"/>
    </row>
    <row r="82">
      <c r="A82" s="22" t="s">
        <v>91</v>
      </c>
      <c r="B82" s="20"/>
      <c r="C82" s="4"/>
      <c r="D82" s="19"/>
      <c r="E82" s="3"/>
      <c r="F82" s="4"/>
      <c r="G82" s="19"/>
      <c r="H82" s="4"/>
      <c r="I82" s="19"/>
      <c r="J82" s="4"/>
      <c r="K82" s="20"/>
      <c r="L82" s="4"/>
      <c r="M82" s="19"/>
      <c r="N82" s="4"/>
      <c r="O82" s="6"/>
      <c r="P82" s="21"/>
      <c r="Q82" s="8"/>
    </row>
    <row r="83">
      <c r="A83" s="18" t="s">
        <v>92</v>
      </c>
      <c r="B83" s="20">
        <v>0.3701388888888889</v>
      </c>
      <c r="C83" s="4"/>
      <c r="D83" s="20">
        <v>0.7625</v>
      </c>
      <c r="E83" s="3"/>
      <c r="F83" s="4"/>
      <c r="G83" s="19"/>
      <c r="H83" s="4"/>
      <c r="I83" s="20"/>
      <c r="J83" s="4"/>
      <c r="K83" s="19"/>
      <c r="L83" s="4"/>
      <c r="M83" s="19"/>
      <c r="N83" s="4"/>
      <c r="O83" s="6">
        <f t="shared" ref="O83:O87" si="15">D83-B83</f>
        <v>0.3923611111</v>
      </c>
      <c r="P83" s="21">
        <v>0.375</v>
      </c>
      <c r="Q83" s="8">
        <f t="shared" ref="Q83:Q87" si="16">O83-P83</f>
        <v>0.01736111111</v>
      </c>
    </row>
    <row r="84">
      <c r="A84" s="18" t="s">
        <v>93</v>
      </c>
      <c r="B84" s="20">
        <v>0.37569444444444444</v>
      </c>
      <c r="C84" s="4"/>
      <c r="D84" s="20">
        <v>0.7729166666666667</v>
      </c>
      <c r="E84" s="3"/>
      <c r="F84" s="4"/>
      <c r="G84" s="19"/>
      <c r="H84" s="4"/>
      <c r="I84" s="20"/>
      <c r="J84" s="4"/>
      <c r="K84" s="19"/>
      <c r="L84" s="4"/>
      <c r="M84" s="19"/>
      <c r="N84" s="4"/>
      <c r="O84" s="6">
        <f t="shared" si="15"/>
        <v>0.3972222222</v>
      </c>
      <c r="P84" s="21">
        <v>0.375</v>
      </c>
      <c r="Q84" s="8">
        <f t="shared" si="16"/>
        <v>0.02222222222</v>
      </c>
    </row>
    <row r="85">
      <c r="A85" s="18" t="s">
        <v>94</v>
      </c>
      <c r="B85" s="20">
        <v>0.3763888888888889</v>
      </c>
      <c r="C85" s="4"/>
      <c r="D85" s="20">
        <v>0.7902777777777777</v>
      </c>
      <c r="E85" s="3"/>
      <c r="F85" s="4"/>
      <c r="G85" s="19"/>
      <c r="H85" s="4"/>
      <c r="I85" s="19"/>
      <c r="J85" s="4"/>
      <c r="K85" s="19"/>
      <c r="L85" s="4"/>
      <c r="M85" s="19"/>
      <c r="N85" s="4"/>
      <c r="O85" s="6">
        <f t="shared" si="15"/>
        <v>0.4138888889</v>
      </c>
      <c r="P85" s="21">
        <v>0.375</v>
      </c>
      <c r="Q85" s="8">
        <f t="shared" si="16"/>
        <v>0.03888888889</v>
      </c>
    </row>
    <row r="86">
      <c r="A86" s="18" t="s">
        <v>95</v>
      </c>
      <c r="B86" s="20">
        <v>0.3854166666666667</v>
      </c>
      <c r="C86" s="4"/>
      <c r="D86" s="20">
        <v>0.7944444444444444</v>
      </c>
      <c r="E86" s="3"/>
      <c r="F86" s="4"/>
      <c r="G86" s="19"/>
      <c r="H86" s="4"/>
      <c r="I86" s="19"/>
      <c r="J86" s="4"/>
      <c r="K86" s="19"/>
      <c r="L86" s="4"/>
      <c r="M86" s="19"/>
      <c r="N86" s="4"/>
      <c r="O86" s="6">
        <f t="shared" si="15"/>
        <v>0.4090277778</v>
      </c>
      <c r="P86" s="21">
        <v>0.375</v>
      </c>
      <c r="Q86" s="8">
        <f t="shared" si="16"/>
        <v>0.03402777778</v>
      </c>
    </row>
    <row r="87">
      <c r="A87" s="18" t="s">
        <v>96</v>
      </c>
      <c r="B87" s="20">
        <v>0.37222222222222223</v>
      </c>
      <c r="C87" s="4"/>
      <c r="D87" s="20">
        <v>0.7868055555555555</v>
      </c>
      <c r="E87" s="3"/>
      <c r="F87" s="4"/>
      <c r="G87" s="19"/>
      <c r="H87" s="4"/>
      <c r="I87" s="20"/>
      <c r="J87" s="4"/>
      <c r="K87" s="19"/>
      <c r="L87" s="4"/>
      <c r="M87" s="19"/>
      <c r="N87" s="4"/>
      <c r="O87" s="6">
        <f t="shared" si="15"/>
        <v>0.4145833333</v>
      </c>
      <c r="P87" s="21">
        <v>0.375</v>
      </c>
      <c r="Q87" s="8">
        <f t="shared" si="16"/>
        <v>0.03958333333</v>
      </c>
    </row>
    <row r="88">
      <c r="A88" s="22" t="s">
        <v>97</v>
      </c>
      <c r="B88" s="19"/>
      <c r="C88" s="4"/>
      <c r="D88" s="20"/>
      <c r="E88" s="3"/>
      <c r="F88" s="4"/>
      <c r="G88" s="19"/>
      <c r="H88" s="4"/>
      <c r="I88" s="19"/>
      <c r="J88" s="4"/>
      <c r="K88" s="19"/>
      <c r="L88" s="4"/>
      <c r="M88" s="20"/>
      <c r="N88" s="4"/>
      <c r="O88" s="6"/>
      <c r="P88" s="21"/>
      <c r="Q88" s="8"/>
    </row>
    <row r="89">
      <c r="A89" s="22" t="s">
        <v>98</v>
      </c>
      <c r="B89" s="20"/>
      <c r="C89" s="4"/>
      <c r="D89" s="19"/>
      <c r="E89" s="3"/>
      <c r="F89" s="4"/>
      <c r="G89" s="19"/>
      <c r="H89" s="4"/>
      <c r="I89" s="19"/>
      <c r="J89" s="4"/>
      <c r="K89" s="20"/>
      <c r="L89" s="4"/>
      <c r="M89" s="19"/>
      <c r="N89" s="4"/>
      <c r="O89" s="6"/>
      <c r="P89" s="21"/>
      <c r="Q89" s="8">
        <f>Q76+Q77+Q79+Q80+Q83+Q84+Q85+Q86+Q87</f>
        <v>0.3666666667</v>
      </c>
    </row>
    <row r="90">
      <c r="A90" s="18" t="s">
        <v>99</v>
      </c>
      <c r="B90" s="23"/>
      <c r="C90" s="4"/>
      <c r="D90" s="24"/>
      <c r="E90" s="3"/>
      <c r="F90" s="3"/>
      <c r="G90" s="25"/>
      <c r="H90" s="3"/>
      <c r="I90" s="26"/>
      <c r="J90" s="3"/>
      <c r="K90" s="24"/>
      <c r="L90" s="3"/>
      <c r="M90" s="24"/>
      <c r="N90" s="4"/>
      <c r="O90" s="6"/>
      <c r="P90" s="7"/>
      <c r="Q90" s="8"/>
    </row>
    <row r="91">
      <c r="O91" s="6"/>
      <c r="P91" s="7"/>
      <c r="Q91" s="8"/>
    </row>
    <row r="92">
      <c r="A92" s="1" t="s">
        <v>0</v>
      </c>
      <c r="B92" s="2" t="s">
        <v>1</v>
      </c>
      <c r="C92" s="3"/>
      <c r="D92" s="3"/>
      <c r="E92" s="3"/>
      <c r="F92" s="3"/>
      <c r="G92" s="3"/>
      <c r="H92" s="4"/>
      <c r="I92" s="1" t="s">
        <v>2</v>
      </c>
      <c r="J92" s="10" t="s">
        <v>36</v>
      </c>
      <c r="K92" s="3"/>
      <c r="L92" s="3"/>
      <c r="M92" s="3"/>
      <c r="N92" s="4"/>
      <c r="O92" s="6"/>
      <c r="P92" s="7"/>
      <c r="Q92" s="8"/>
    </row>
    <row r="93">
      <c r="A93" s="1" t="s">
        <v>4</v>
      </c>
      <c r="B93" s="37" t="s">
        <v>102</v>
      </c>
      <c r="C93" s="3"/>
      <c r="D93" s="3"/>
      <c r="E93" s="3"/>
      <c r="F93" s="3"/>
      <c r="G93" s="3"/>
      <c r="H93" s="4"/>
      <c r="I93" s="1" t="s">
        <v>6</v>
      </c>
      <c r="J93" s="10">
        <v>9.0</v>
      </c>
      <c r="K93" s="3"/>
      <c r="L93" s="3"/>
      <c r="M93" s="3"/>
      <c r="N93" s="4"/>
      <c r="O93" s="6"/>
      <c r="P93" s="7"/>
      <c r="Q93" s="8"/>
    </row>
    <row r="94">
      <c r="A94" s="11" t="s">
        <v>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4"/>
      <c r="O94" s="12" t="s">
        <v>8</v>
      </c>
      <c r="P94" s="13" t="s">
        <v>9</v>
      </c>
      <c r="Q94" s="14" t="s">
        <v>10</v>
      </c>
    </row>
    <row r="95">
      <c r="A95" s="15" t="s">
        <v>11</v>
      </c>
      <c r="B95" s="2" t="s">
        <v>12</v>
      </c>
      <c r="C95" s="3"/>
      <c r="D95" s="3"/>
      <c r="E95" s="3"/>
      <c r="F95" s="4"/>
      <c r="G95" s="2" t="s">
        <v>13</v>
      </c>
      <c r="H95" s="3"/>
      <c r="I95" s="3"/>
      <c r="J95" s="3"/>
      <c r="K95" s="10" t="s">
        <v>14</v>
      </c>
      <c r="L95" s="3"/>
      <c r="M95" s="3"/>
      <c r="N95" s="4"/>
      <c r="O95" s="6"/>
      <c r="P95" s="7"/>
      <c r="Q95" s="8"/>
    </row>
    <row r="96">
      <c r="A96" s="16"/>
      <c r="B96" s="17" t="s">
        <v>15</v>
      </c>
      <c r="C96" s="4"/>
      <c r="D96" s="17" t="s">
        <v>16</v>
      </c>
      <c r="E96" s="3"/>
      <c r="F96" s="4"/>
      <c r="G96" s="17" t="s">
        <v>15</v>
      </c>
      <c r="H96" s="4"/>
      <c r="I96" s="17" t="s">
        <v>16</v>
      </c>
      <c r="J96" s="4"/>
      <c r="K96" s="17" t="s">
        <v>15</v>
      </c>
      <c r="L96" s="4"/>
      <c r="M96" s="17" t="s">
        <v>16</v>
      </c>
      <c r="N96" s="4"/>
      <c r="O96" s="6"/>
      <c r="P96" s="7"/>
      <c r="Q96" s="8"/>
    </row>
    <row r="97">
      <c r="A97" s="18" t="s">
        <v>99</v>
      </c>
      <c r="B97" s="20"/>
      <c r="C97" s="4"/>
      <c r="D97" s="19"/>
      <c r="E97" s="3"/>
      <c r="F97" s="4"/>
      <c r="G97" s="19"/>
      <c r="H97" s="4"/>
      <c r="I97" s="19"/>
      <c r="J97" s="4"/>
      <c r="K97" s="19"/>
      <c r="L97" s="4"/>
      <c r="M97" s="20"/>
      <c r="N97" s="4"/>
      <c r="O97" s="6">
        <f>M97-B97</f>
        <v>0</v>
      </c>
      <c r="P97" s="21">
        <v>0.3541666666666667</v>
      </c>
      <c r="Q97" s="8">
        <f>O97-P97</f>
        <v>-0.3541666667</v>
      </c>
    </row>
    <row r="98">
      <c r="A98" s="37" t="s">
        <v>103</v>
      </c>
      <c r="B98" s="23"/>
      <c r="C98" s="4"/>
      <c r="D98" s="24"/>
      <c r="E98" s="3"/>
      <c r="F98" s="3"/>
      <c r="G98" s="25"/>
      <c r="H98" s="3"/>
      <c r="I98" s="26"/>
      <c r="J98" s="3"/>
      <c r="K98" s="24"/>
      <c r="L98" s="3"/>
      <c r="M98" s="24"/>
      <c r="N98" s="4"/>
      <c r="O98" s="6"/>
      <c r="P98" s="7"/>
      <c r="Q98" s="8"/>
    </row>
    <row r="99">
      <c r="A99" s="18" t="s">
        <v>104</v>
      </c>
      <c r="B99" s="20"/>
      <c r="C99" s="4"/>
      <c r="D99" s="19"/>
      <c r="E99" s="3"/>
      <c r="F99" s="4"/>
      <c r="G99" s="19"/>
      <c r="H99" s="4"/>
      <c r="I99" s="20"/>
      <c r="J99" s="4"/>
      <c r="K99" s="19"/>
      <c r="L99" s="4"/>
      <c r="M99" s="19"/>
      <c r="N99" s="4"/>
      <c r="O99" s="6">
        <f>I99-B99</f>
        <v>0</v>
      </c>
      <c r="P99" s="21">
        <v>0.3541666666666667</v>
      </c>
      <c r="Q99" s="8">
        <f>P99-O99</f>
        <v>0.3541666667</v>
      </c>
    </row>
    <row r="100">
      <c r="A100" s="18" t="s">
        <v>105</v>
      </c>
      <c r="B100" s="20"/>
      <c r="C100" s="4"/>
      <c r="D100" s="20"/>
      <c r="E100" s="3"/>
      <c r="F100" s="4"/>
      <c r="G100" s="19"/>
      <c r="H100" s="4"/>
      <c r="I100" s="19"/>
      <c r="J100" s="4"/>
      <c r="K100" s="19"/>
      <c r="L100" s="4"/>
      <c r="M100" s="19"/>
      <c r="N100" s="4"/>
      <c r="O100" s="6">
        <f>D100-B100</f>
        <v>0</v>
      </c>
      <c r="P100" s="21">
        <v>0.3541666666666667</v>
      </c>
      <c r="Q100" s="8">
        <f>O100-P100</f>
        <v>-0.3541666667</v>
      </c>
    </row>
    <row r="101">
      <c r="A101" s="18" t="s">
        <v>106</v>
      </c>
      <c r="B101" s="19"/>
      <c r="C101" s="4"/>
      <c r="D101" s="19"/>
      <c r="E101" s="3"/>
      <c r="F101" s="4"/>
      <c r="G101" s="19"/>
      <c r="H101" s="4"/>
      <c r="I101" s="19"/>
      <c r="J101" s="4"/>
      <c r="K101" s="19"/>
      <c r="L101" s="4"/>
      <c r="M101" s="19"/>
      <c r="N101" s="4"/>
      <c r="O101" s="6"/>
      <c r="P101" s="7"/>
      <c r="Q101" s="8"/>
    </row>
    <row r="102">
      <c r="A102" s="22" t="s">
        <v>107</v>
      </c>
      <c r="B102" s="20"/>
      <c r="C102" s="4"/>
      <c r="D102" s="19"/>
      <c r="E102" s="3"/>
      <c r="F102" s="4"/>
      <c r="G102" s="20"/>
      <c r="H102" s="4"/>
      <c r="I102" s="19"/>
      <c r="J102" s="4"/>
      <c r="K102" s="19"/>
      <c r="L102" s="4"/>
      <c r="M102" s="19"/>
      <c r="N102" s="4"/>
      <c r="O102" s="6">
        <f t="shared" ref="O102:O103" si="17">G102-B102</f>
        <v>0</v>
      </c>
      <c r="P102" s="21">
        <v>0.3541666666666667</v>
      </c>
      <c r="Q102" s="8">
        <f t="shared" ref="Q102:Q104" si="18">O102-P102</f>
        <v>-0.3541666667</v>
      </c>
    </row>
    <row r="103">
      <c r="A103" s="22" t="s">
        <v>108</v>
      </c>
      <c r="B103" s="20"/>
      <c r="C103" s="4"/>
      <c r="D103" s="19"/>
      <c r="E103" s="3"/>
      <c r="F103" s="4"/>
      <c r="G103" s="20"/>
      <c r="H103" s="4"/>
      <c r="I103" s="19"/>
      <c r="J103" s="4"/>
      <c r="K103" s="19"/>
      <c r="L103" s="4"/>
      <c r="M103" s="19"/>
      <c r="N103" s="4"/>
      <c r="O103" s="6">
        <f t="shared" si="17"/>
        <v>0</v>
      </c>
      <c r="P103" s="21">
        <v>0.3541666666666667</v>
      </c>
      <c r="Q103" s="8">
        <f t="shared" si="18"/>
        <v>-0.3541666667</v>
      </c>
    </row>
    <row r="104">
      <c r="A104" s="18" t="s">
        <v>109</v>
      </c>
      <c r="B104" s="20"/>
      <c r="C104" s="4"/>
      <c r="D104" s="19"/>
      <c r="E104" s="3"/>
      <c r="F104" s="4"/>
      <c r="G104" s="19"/>
      <c r="H104" s="4"/>
      <c r="I104" s="19"/>
      <c r="J104" s="4"/>
      <c r="K104" s="20"/>
      <c r="L104" s="4"/>
      <c r="M104" s="19"/>
      <c r="N104" s="4"/>
      <c r="O104" s="6">
        <f>K104-B104</f>
        <v>0</v>
      </c>
      <c r="P104" s="21">
        <v>0.3541666666666667</v>
      </c>
      <c r="Q104" s="8">
        <f t="shared" si="18"/>
        <v>-0.3541666667</v>
      </c>
    </row>
    <row r="105">
      <c r="A105" s="18" t="s">
        <v>110</v>
      </c>
      <c r="B105" s="23"/>
      <c r="C105" s="4"/>
      <c r="D105" s="24"/>
      <c r="E105" s="3"/>
      <c r="F105" s="3"/>
      <c r="G105" s="25"/>
      <c r="H105" s="3"/>
      <c r="I105" s="26"/>
      <c r="J105" s="3"/>
      <c r="K105" s="24"/>
      <c r="L105" s="3"/>
      <c r="M105" s="24"/>
      <c r="N105" s="4"/>
      <c r="O105" s="6"/>
      <c r="P105" s="7"/>
      <c r="Q105" s="8"/>
    </row>
    <row r="106">
      <c r="A106" s="18" t="s">
        <v>111</v>
      </c>
      <c r="B106" s="20"/>
      <c r="C106" s="4"/>
      <c r="D106" s="19"/>
      <c r="E106" s="3"/>
      <c r="F106" s="4"/>
      <c r="G106" s="20"/>
      <c r="H106" s="4"/>
      <c r="I106" s="19"/>
      <c r="J106" s="4"/>
      <c r="K106" s="19"/>
      <c r="L106" s="4"/>
      <c r="M106" s="19"/>
      <c r="N106" s="4"/>
      <c r="O106" s="6">
        <f>G106-B106</f>
        <v>0</v>
      </c>
      <c r="P106" s="21">
        <v>0.3541666666666667</v>
      </c>
      <c r="Q106" s="8">
        <f t="shared" ref="Q106:Q107" si="19">O106-P106</f>
        <v>-0.3541666667</v>
      </c>
    </row>
    <row r="107">
      <c r="A107" s="18" t="s">
        <v>112</v>
      </c>
      <c r="B107" s="20"/>
      <c r="C107" s="4"/>
      <c r="D107" s="20"/>
      <c r="E107" s="3"/>
      <c r="F107" s="4"/>
      <c r="G107" s="19"/>
      <c r="H107" s="4"/>
      <c r="I107" s="19"/>
      <c r="J107" s="4"/>
      <c r="K107" s="19"/>
      <c r="L107" s="4"/>
      <c r="M107" s="19"/>
      <c r="N107" s="4"/>
      <c r="O107" s="6">
        <f>D107-B107</f>
        <v>0</v>
      </c>
      <c r="P107" s="21">
        <v>0.3541666666666667</v>
      </c>
      <c r="Q107" s="8">
        <f t="shared" si="19"/>
        <v>-0.3541666667</v>
      </c>
    </row>
    <row r="108">
      <c r="A108" s="18" t="s">
        <v>113</v>
      </c>
      <c r="B108" s="19"/>
      <c r="C108" s="4"/>
      <c r="D108" s="19"/>
      <c r="E108" s="3"/>
      <c r="F108" s="4"/>
      <c r="G108" s="19"/>
      <c r="H108" s="4"/>
      <c r="I108" s="19"/>
      <c r="J108" s="4"/>
      <c r="K108" s="19"/>
      <c r="L108" s="4"/>
      <c r="M108" s="19"/>
      <c r="N108" s="4"/>
      <c r="O108" s="6"/>
      <c r="P108" s="7"/>
      <c r="Q108" s="8"/>
    </row>
    <row r="109">
      <c r="A109" s="22" t="s">
        <v>114</v>
      </c>
      <c r="B109" s="20"/>
      <c r="C109" s="4"/>
      <c r="D109" s="19"/>
      <c r="E109" s="3"/>
      <c r="F109" s="4"/>
      <c r="G109" s="19"/>
      <c r="H109" s="4"/>
      <c r="I109" s="19"/>
      <c r="J109" s="4"/>
      <c r="K109" s="20"/>
      <c r="L109" s="4"/>
      <c r="M109" s="19"/>
      <c r="N109" s="4"/>
      <c r="O109" s="6">
        <f>K109-B109</f>
        <v>0</v>
      </c>
      <c r="P109" s="21">
        <v>0.3541666666666667</v>
      </c>
      <c r="Q109" s="8">
        <f t="shared" ref="Q109:Q111" si="20">O109-P109</f>
        <v>-0.3541666667</v>
      </c>
    </row>
    <row r="110">
      <c r="A110" s="22" t="s">
        <v>115</v>
      </c>
      <c r="B110" s="19"/>
      <c r="C110" s="4"/>
      <c r="D110" s="20"/>
      <c r="E110" s="3"/>
      <c r="F110" s="4"/>
      <c r="G110" s="19"/>
      <c r="H110" s="4"/>
      <c r="I110" s="19"/>
      <c r="J110" s="4"/>
      <c r="K110" s="19"/>
      <c r="L110" s="4"/>
      <c r="M110" s="20"/>
      <c r="N110" s="4"/>
      <c r="O110" s="6">
        <f>M110-D110</f>
        <v>0</v>
      </c>
      <c r="P110" s="21">
        <v>0.3541666666666667</v>
      </c>
      <c r="Q110" s="8">
        <f t="shared" si="20"/>
        <v>-0.3541666667</v>
      </c>
    </row>
    <row r="111">
      <c r="A111" s="18" t="s">
        <v>116</v>
      </c>
      <c r="B111" s="20"/>
      <c r="C111" s="4"/>
      <c r="D111" s="19"/>
      <c r="E111" s="3"/>
      <c r="F111" s="4"/>
      <c r="G111" s="19"/>
      <c r="H111" s="4"/>
      <c r="I111" s="19"/>
      <c r="J111" s="4"/>
      <c r="K111" s="20"/>
      <c r="L111" s="4"/>
      <c r="M111" s="19"/>
      <c r="N111" s="4"/>
      <c r="O111" s="6">
        <f>K111-B111</f>
        <v>0</v>
      </c>
      <c r="P111" s="21">
        <v>0.3541666666666667</v>
      </c>
      <c r="Q111" s="8">
        <f t="shared" si="20"/>
        <v>-0.3541666667</v>
      </c>
    </row>
    <row r="112">
      <c r="A112" s="18" t="s">
        <v>65</v>
      </c>
      <c r="B112" s="23"/>
      <c r="C112" s="4"/>
      <c r="D112" s="24"/>
      <c r="E112" s="3"/>
      <c r="F112" s="3"/>
      <c r="G112" s="25"/>
      <c r="H112" s="3"/>
      <c r="I112" s="26"/>
      <c r="J112" s="3"/>
      <c r="K112" s="24"/>
      <c r="L112" s="3"/>
      <c r="M112" s="24"/>
      <c r="N112" s="4"/>
      <c r="O112" s="6"/>
      <c r="P112" s="7"/>
      <c r="Q112" s="8"/>
    </row>
    <row r="113">
      <c r="O113" s="28" t="s">
        <v>10</v>
      </c>
      <c r="P113" s="7"/>
      <c r="Q113" s="8">
        <f>Q97+Q110+Q111</f>
        <v>-1.0625</v>
      </c>
    </row>
    <row r="114">
      <c r="O114" s="6"/>
      <c r="P114" s="7"/>
      <c r="Q114" s="8"/>
    </row>
    <row r="115">
      <c r="A115" s="1" t="s">
        <v>0</v>
      </c>
      <c r="B115" s="2" t="s">
        <v>1</v>
      </c>
      <c r="C115" s="3"/>
      <c r="D115" s="3"/>
      <c r="E115" s="3"/>
      <c r="F115" s="3"/>
      <c r="G115" s="3"/>
      <c r="H115" s="4"/>
      <c r="I115" s="1" t="s">
        <v>2</v>
      </c>
      <c r="J115" s="10" t="s">
        <v>37</v>
      </c>
      <c r="K115" s="3"/>
      <c r="L115" s="3"/>
      <c r="M115" s="3"/>
      <c r="N115" s="4"/>
      <c r="O115" s="6"/>
      <c r="P115" s="7"/>
      <c r="Q115" s="8"/>
    </row>
    <row r="116">
      <c r="A116" s="11" t="s">
        <v>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4"/>
      <c r="O116" s="12" t="s">
        <v>8</v>
      </c>
      <c r="P116" s="13" t="s">
        <v>9</v>
      </c>
      <c r="Q116" s="14" t="s">
        <v>10</v>
      </c>
    </row>
    <row r="117">
      <c r="A117" s="15" t="s">
        <v>11</v>
      </c>
      <c r="B117" s="2" t="s">
        <v>12</v>
      </c>
      <c r="C117" s="3"/>
      <c r="D117" s="3"/>
      <c r="E117" s="3"/>
      <c r="F117" s="4"/>
      <c r="G117" s="2" t="s">
        <v>13</v>
      </c>
      <c r="H117" s="3"/>
      <c r="I117" s="3"/>
      <c r="J117" s="3"/>
      <c r="K117" s="10" t="s">
        <v>14</v>
      </c>
      <c r="L117" s="3"/>
      <c r="M117" s="3"/>
      <c r="N117" s="4"/>
      <c r="O117" s="6"/>
      <c r="P117" s="7"/>
      <c r="Q117" s="8"/>
    </row>
    <row r="118">
      <c r="A118" s="16"/>
      <c r="B118" s="17" t="s">
        <v>15</v>
      </c>
      <c r="C118" s="4"/>
      <c r="D118" s="17" t="s">
        <v>16</v>
      </c>
      <c r="E118" s="3"/>
      <c r="F118" s="4"/>
      <c r="G118" s="17" t="s">
        <v>15</v>
      </c>
      <c r="H118" s="4"/>
      <c r="I118" s="17" t="s">
        <v>16</v>
      </c>
      <c r="J118" s="4"/>
      <c r="K118" s="17" t="s">
        <v>15</v>
      </c>
      <c r="L118" s="4"/>
      <c r="M118" s="17" t="s">
        <v>16</v>
      </c>
      <c r="N118" s="4"/>
      <c r="O118" s="6"/>
      <c r="P118" s="7"/>
      <c r="Q118" s="8"/>
    </row>
    <row r="119">
      <c r="A119" s="18" t="s">
        <v>99</v>
      </c>
      <c r="B119" s="33">
        <v>0.4875</v>
      </c>
      <c r="C119" s="4"/>
      <c r="D119" s="34">
        <v>0.8680555555555556</v>
      </c>
      <c r="E119" s="3"/>
      <c r="F119" s="3"/>
      <c r="G119" s="25"/>
      <c r="H119" s="3"/>
      <c r="I119" s="26"/>
      <c r="J119" s="3"/>
      <c r="K119" s="24"/>
      <c r="L119" s="3"/>
      <c r="M119" s="34"/>
      <c r="N119" s="4"/>
      <c r="O119" s="6">
        <f t="shared" ref="O119:O124" si="21">D119-B119</f>
        <v>0.3805555556</v>
      </c>
      <c r="P119" s="21">
        <v>0.375</v>
      </c>
      <c r="Q119" s="8"/>
    </row>
    <row r="120">
      <c r="A120" s="37" t="s">
        <v>103</v>
      </c>
      <c r="B120" s="20">
        <v>0.39375</v>
      </c>
      <c r="C120" s="4"/>
      <c r="D120" s="20">
        <v>0.8416666666666667</v>
      </c>
      <c r="E120" s="3"/>
      <c r="F120" s="4"/>
      <c r="G120" s="19"/>
      <c r="H120" s="4"/>
      <c r="I120" s="19"/>
      <c r="J120" s="4"/>
      <c r="K120" s="19"/>
      <c r="L120" s="4"/>
      <c r="M120" s="20"/>
      <c r="N120" s="4"/>
      <c r="O120" s="6">
        <f t="shared" si="21"/>
        <v>0.4479166667</v>
      </c>
      <c r="P120" s="21">
        <v>0.375</v>
      </c>
      <c r="Q120" s="8">
        <f t="shared" ref="Q120:Q123" si="22">O120-P120</f>
        <v>0.07291666667</v>
      </c>
    </row>
    <row r="121">
      <c r="A121" s="18" t="s">
        <v>104</v>
      </c>
      <c r="B121" s="20">
        <v>0.4125</v>
      </c>
      <c r="C121" s="4"/>
      <c r="D121" s="20">
        <v>0.8527777777777777</v>
      </c>
      <c r="E121" s="3"/>
      <c r="F121" s="4"/>
      <c r="G121" s="19"/>
      <c r="H121" s="4"/>
      <c r="I121" s="19"/>
      <c r="J121" s="4"/>
      <c r="K121" s="19"/>
      <c r="L121" s="4"/>
      <c r="M121" s="20"/>
      <c r="N121" s="4"/>
      <c r="O121" s="6">
        <f t="shared" si="21"/>
        <v>0.4402777778</v>
      </c>
      <c r="P121" s="21">
        <v>0.375</v>
      </c>
      <c r="Q121" s="8">
        <f t="shared" si="22"/>
        <v>0.06527777778</v>
      </c>
    </row>
    <row r="122">
      <c r="A122" s="18" t="s">
        <v>105</v>
      </c>
      <c r="B122" s="20">
        <v>0.4027777777777778</v>
      </c>
      <c r="C122" s="4"/>
      <c r="D122" s="20">
        <v>0.8763888888888889</v>
      </c>
      <c r="E122" s="3"/>
      <c r="F122" s="4"/>
      <c r="G122" s="19"/>
      <c r="H122" s="4"/>
      <c r="I122" s="19"/>
      <c r="J122" s="4"/>
      <c r="K122" s="19"/>
      <c r="L122" s="4"/>
      <c r="M122" s="20"/>
      <c r="N122" s="4"/>
      <c r="O122" s="35">
        <f t="shared" si="21"/>
        <v>0.4736111111</v>
      </c>
      <c r="P122" s="21">
        <v>0.375</v>
      </c>
      <c r="Q122" s="8">
        <f t="shared" si="22"/>
        <v>0.09861111111</v>
      </c>
    </row>
    <row r="123">
      <c r="A123" s="18" t="s">
        <v>106</v>
      </c>
      <c r="B123" s="20">
        <v>0.4076388888888889</v>
      </c>
      <c r="C123" s="4"/>
      <c r="D123" s="20">
        <v>0.8729166666666667</v>
      </c>
      <c r="E123" s="3"/>
      <c r="F123" s="4"/>
      <c r="G123" s="19"/>
      <c r="H123" s="4"/>
      <c r="I123" s="19"/>
      <c r="J123" s="4"/>
      <c r="K123" s="19"/>
      <c r="L123" s="4"/>
      <c r="M123" s="19"/>
      <c r="N123" s="4"/>
      <c r="O123" s="6">
        <f t="shared" si="21"/>
        <v>0.4652777778</v>
      </c>
      <c r="P123" s="21">
        <v>0.375</v>
      </c>
      <c r="Q123" s="8">
        <f t="shared" si="22"/>
        <v>0.09027777778</v>
      </c>
    </row>
    <row r="124">
      <c r="A124" s="22" t="s">
        <v>107</v>
      </c>
      <c r="B124" s="20">
        <v>0.41597222222222224</v>
      </c>
      <c r="C124" s="4"/>
      <c r="D124" s="20">
        <v>0.8618055555555556</v>
      </c>
      <c r="E124" s="3"/>
      <c r="F124" s="4"/>
      <c r="G124" s="19"/>
      <c r="H124" s="4"/>
      <c r="I124" s="19"/>
      <c r="J124" s="4"/>
      <c r="K124" s="19"/>
      <c r="L124" s="4"/>
      <c r="M124" s="20"/>
      <c r="N124" s="4"/>
      <c r="O124" s="6">
        <f t="shared" si="21"/>
        <v>0.4458333333</v>
      </c>
      <c r="P124" s="21">
        <v>0.375</v>
      </c>
      <c r="Q124" s="8">
        <f t="shared" ref="Q124:Q125" si="23">O124</f>
        <v>0.4458333333</v>
      </c>
    </row>
    <row r="125">
      <c r="A125" s="22" t="s">
        <v>108</v>
      </c>
      <c r="B125" s="20"/>
      <c r="C125" s="4"/>
      <c r="D125" s="20"/>
      <c r="E125" s="3"/>
      <c r="F125" s="4"/>
      <c r="G125" s="19"/>
      <c r="H125" s="4"/>
      <c r="I125" s="19"/>
      <c r="J125" s="4"/>
      <c r="K125" s="19"/>
      <c r="L125" s="4"/>
      <c r="M125" s="20"/>
      <c r="N125" s="4"/>
      <c r="O125" s="6"/>
      <c r="P125" s="21"/>
      <c r="Q125" s="8" t="str">
        <f t="shared" si="23"/>
        <v/>
      </c>
    </row>
    <row r="126">
      <c r="A126" s="18" t="s">
        <v>109</v>
      </c>
      <c r="B126" s="33">
        <v>0.4284722222222222</v>
      </c>
      <c r="C126" s="4"/>
      <c r="D126" s="34">
        <v>0.8763888888888889</v>
      </c>
      <c r="E126" s="3"/>
      <c r="F126" s="3"/>
      <c r="G126" s="25"/>
      <c r="H126" s="3"/>
      <c r="I126" s="26"/>
      <c r="J126" s="3"/>
      <c r="K126" s="24"/>
      <c r="L126" s="3"/>
      <c r="M126" s="34"/>
      <c r="N126" s="4"/>
      <c r="O126" s="6">
        <f t="shared" ref="O126:O133" si="24">D126-B126</f>
        <v>0.4479166667</v>
      </c>
      <c r="P126" s="21">
        <v>0.375</v>
      </c>
      <c r="Q126" s="8">
        <f t="shared" ref="Q126:Q130" si="25">O126-P126</f>
        <v>0.07291666667</v>
      </c>
    </row>
    <row r="127">
      <c r="A127" s="18" t="s">
        <v>110</v>
      </c>
      <c r="B127" s="20">
        <v>0.4013888888888889</v>
      </c>
      <c r="C127" s="4"/>
      <c r="D127" s="20">
        <v>0.8576388888888888</v>
      </c>
      <c r="E127" s="3"/>
      <c r="F127" s="4"/>
      <c r="G127" s="19"/>
      <c r="H127" s="4"/>
      <c r="I127" s="19"/>
      <c r="J127" s="4"/>
      <c r="K127" s="19"/>
      <c r="L127" s="4"/>
      <c r="M127" s="20"/>
      <c r="N127" s="4"/>
      <c r="O127" s="6">
        <f t="shared" si="24"/>
        <v>0.45625</v>
      </c>
      <c r="P127" s="21">
        <v>0.375</v>
      </c>
      <c r="Q127" s="8">
        <f t="shared" si="25"/>
        <v>0.08125</v>
      </c>
    </row>
    <row r="128">
      <c r="A128" s="18" t="s">
        <v>111</v>
      </c>
      <c r="B128" s="20">
        <v>0.40555555555555556</v>
      </c>
      <c r="C128" s="4"/>
      <c r="D128" s="20">
        <v>0.85625</v>
      </c>
      <c r="E128" s="3"/>
      <c r="F128" s="4"/>
      <c r="G128" s="19"/>
      <c r="H128" s="4"/>
      <c r="I128" s="19"/>
      <c r="J128" s="4"/>
      <c r="K128" s="19"/>
      <c r="L128" s="4"/>
      <c r="M128" s="20"/>
      <c r="N128" s="4"/>
      <c r="O128" s="6">
        <f t="shared" si="24"/>
        <v>0.4506944444</v>
      </c>
      <c r="P128" s="21">
        <v>0.375</v>
      </c>
      <c r="Q128" s="8">
        <f t="shared" si="25"/>
        <v>0.07569444444</v>
      </c>
      <c r="R128" s="48">
        <v>25.68</v>
      </c>
    </row>
    <row r="129">
      <c r="A129" s="18" t="s">
        <v>112</v>
      </c>
      <c r="B129" s="20">
        <v>0.4111111111111111</v>
      </c>
      <c r="C129" s="4"/>
      <c r="D129" s="20">
        <v>0.7375</v>
      </c>
      <c r="E129" s="3"/>
      <c r="F129" s="4"/>
      <c r="G129" s="19"/>
      <c r="H129" s="4"/>
      <c r="I129" s="19"/>
      <c r="J129" s="4"/>
      <c r="K129" s="19"/>
      <c r="L129" s="4"/>
      <c r="M129" s="20"/>
      <c r="N129" s="4"/>
      <c r="O129" s="36">
        <f t="shared" si="24"/>
        <v>0.3263888889</v>
      </c>
      <c r="P129" s="21">
        <v>0.375</v>
      </c>
      <c r="Q129" s="8">
        <f t="shared" si="25"/>
        <v>-0.04861111111</v>
      </c>
    </row>
    <row r="130">
      <c r="A130" s="18" t="s">
        <v>113</v>
      </c>
      <c r="B130" s="20">
        <v>0.4041666666666667</v>
      </c>
      <c r="C130" s="4"/>
      <c r="D130" s="20">
        <v>0.8479166666666667</v>
      </c>
      <c r="E130" s="3"/>
      <c r="F130" s="4"/>
      <c r="G130" s="19"/>
      <c r="H130" s="4"/>
      <c r="I130" s="19"/>
      <c r="J130" s="4"/>
      <c r="K130" s="19"/>
      <c r="L130" s="4"/>
      <c r="M130" s="19"/>
      <c r="N130" s="4"/>
      <c r="O130" s="6">
        <f t="shared" si="24"/>
        <v>0.44375</v>
      </c>
      <c r="P130" s="21">
        <v>0.375</v>
      </c>
      <c r="Q130" s="8">
        <f t="shared" si="25"/>
        <v>0.06875</v>
      </c>
    </row>
    <row r="131">
      <c r="A131" s="22" t="s">
        <v>114</v>
      </c>
      <c r="B131" s="20">
        <v>0.3972222222222222</v>
      </c>
      <c r="C131" s="4"/>
      <c r="D131" s="20">
        <v>0.8229166666666666</v>
      </c>
      <c r="E131" s="3"/>
      <c r="F131" s="4"/>
      <c r="G131" s="19"/>
      <c r="H131" s="4"/>
      <c r="I131" s="19"/>
      <c r="J131" s="4"/>
      <c r="K131" s="19"/>
      <c r="L131" s="4"/>
      <c r="M131" s="20"/>
      <c r="N131" s="4"/>
      <c r="O131" s="6">
        <f t="shared" si="24"/>
        <v>0.4256944444</v>
      </c>
      <c r="P131" s="21">
        <v>0.375</v>
      </c>
      <c r="Q131" s="8">
        <f t="shared" ref="Q131:Q132" si="26">O131</f>
        <v>0.4256944444</v>
      </c>
    </row>
    <row r="132">
      <c r="A132" s="22" t="s">
        <v>115</v>
      </c>
      <c r="B132" s="33">
        <v>0.3625</v>
      </c>
      <c r="C132" s="4"/>
      <c r="D132" s="34">
        <v>0.7097222222222223</v>
      </c>
      <c r="E132" s="3"/>
      <c r="F132" s="3"/>
      <c r="G132" s="25"/>
      <c r="H132" s="3"/>
      <c r="I132" s="26"/>
      <c r="J132" s="3"/>
      <c r="K132" s="24"/>
      <c r="L132" s="3"/>
      <c r="M132" s="34"/>
      <c r="N132" s="4"/>
      <c r="O132" s="6">
        <f t="shared" si="24"/>
        <v>0.3472222222</v>
      </c>
      <c r="P132" s="21">
        <v>0.375</v>
      </c>
      <c r="Q132" s="8">
        <f t="shared" si="26"/>
        <v>0.3472222222</v>
      </c>
    </row>
    <row r="133">
      <c r="A133" s="18" t="s">
        <v>116</v>
      </c>
      <c r="B133" s="20">
        <v>0.36180555555555555</v>
      </c>
      <c r="C133" s="4"/>
      <c r="D133" s="20">
        <v>0.8368055555555556</v>
      </c>
      <c r="E133" s="3"/>
      <c r="F133" s="4"/>
      <c r="G133" s="19"/>
      <c r="H133" s="4"/>
      <c r="I133" s="19"/>
      <c r="J133" s="4"/>
      <c r="K133" s="19"/>
      <c r="L133" s="4"/>
      <c r="M133" s="20"/>
      <c r="N133" s="4"/>
      <c r="O133" s="6">
        <f t="shared" si="24"/>
        <v>0.475</v>
      </c>
      <c r="P133" s="21">
        <v>0.375</v>
      </c>
      <c r="Q133" s="8">
        <f>O133-P133</f>
        <v>0.1</v>
      </c>
    </row>
    <row r="134">
      <c r="A134" s="18" t="s">
        <v>65</v>
      </c>
      <c r="B134" s="23"/>
      <c r="C134" s="4"/>
      <c r="D134" s="24"/>
      <c r="E134" s="3"/>
      <c r="F134" s="3"/>
      <c r="G134" s="25"/>
      <c r="H134" s="3"/>
      <c r="I134" s="26"/>
      <c r="J134" s="3"/>
      <c r="K134" s="24"/>
      <c r="L134" s="3"/>
      <c r="M134" s="24"/>
      <c r="N134" s="4"/>
      <c r="O134" s="6"/>
      <c r="P134" s="7"/>
      <c r="Q134" s="8"/>
    </row>
    <row r="135">
      <c r="O135" s="28" t="s">
        <v>10</v>
      </c>
      <c r="P135" s="7"/>
      <c r="Q135" s="14">
        <f>Q120+Q121+Q122+Q123+Q124+Q126+Q127+Q128+Q130+Q131+Q132+Q133</f>
        <v>1.944444444</v>
      </c>
    </row>
    <row r="136">
      <c r="O136" s="6"/>
      <c r="P136" s="7"/>
      <c r="Q136" s="8"/>
    </row>
    <row r="137">
      <c r="A137" s="1" t="s">
        <v>0</v>
      </c>
      <c r="B137" s="2" t="s">
        <v>1</v>
      </c>
      <c r="C137" s="3"/>
      <c r="D137" s="3"/>
      <c r="E137" s="3"/>
      <c r="F137" s="3"/>
      <c r="G137" s="3"/>
      <c r="H137" s="4"/>
      <c r="I137" s="1" t="s">
        <v>2</v>
      </c>
      <c r="J137" s="10" t="s">
        <v>38</v>
      </c>
      <c r="K137" s="3"/>
      <c r="L137" s="3"/>
      <c r="M137" s="3"/>
      <c r="N137" s="4"/>
      <c r="O137" s="6"/>
      <c r="P137" s="7"/>
      <c r="Q137" s="8"/>
    </row>
    <row r="138">
      <c r="A138" s="1" t="s">
        <v>4</v>
      </c>
      <c r="B138" s="37" t="s">
        <v>102</v>
      </c>
      <c r="C138" s="3"/>
      <c r="D138" s="3"/>
      <c r="E138" s="3"/>
      <c r="F138" s="3"/>
      <c r="G138" s="3"/>
      <c r="H138" s="4"/>
      <c r="I138" s="1" t="s">
        <v>6</v>
      </c>
      <c r="J138" s="10">
        <v>11.0</v>
      </c>
      <c r="K138" s="3"/>
      <c r="L138" s="3"/>
      <c r="M138" s="3"/>
      <c r="N138" s="4"/>
      <c r="O138" s="6"/>
      <c r="P138" s="7"/>
      <c r="Q138" s="8"/>
    </row>
    <row r="139">
      <c r="A139" s="11" t="s">
        <v>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4"/>
      <c r="O139" s="12" t="s">
        <v>8</v>
      </c>
      <c r="P139" s="13" t="s">
        <v>9</v>
      </c>
      <c r="Q139" s="14" t="s">
        <v>10</v>
      </c>
    </row>
    <row r="140">
      <c r="A140" s="15" t="s">
        <v>11</v>
      </c>
      <c r="B140" s="2" t="s">
        <v>12</v>
      </c>
      <c r="C140" s="3"/>
      <c r="D140" s="3"/>
      <c r="E140" s="3"/>
      <c r="F140" s="4"/>
      <c r="G140" s="2" t="s">
        <v>13</v>
      </c>
      <c r="H140" s="3"/>
      <c r="I140" s="3"/>
      <c r="J140" s="3"/>
      <c r="K140" s="10" t="s">
        <v>14</v>
      </c>
      <c r="L140" s="3"/>
      <c r="M140" s="3"/>
      <c r="N140" s="4"/>
      <c r="O140" s="6"/>
      <c r="P140" s="7"/>
      <c r="Q140" s="8"/>
    </row>
    <row r="141">
      <c r="A141" s="16"/>
      <c r="B141" s="17" t="s">
        <v>15</v>
      </c>
      <c r="C141" s="4"/>
      <c r="D141" s="17" t="s">
        <v>16</v>
      </c>
      <c r="E141" s="3"/>
      <c r="F141" s="4"/>
      <c r="G141" s="17" t="s">
        <v>15</v>
      </c>
      <c r="H141" s="4"/>
      <c r="I141" s="17" t="s">
        <v>16</v>
      </c>
      <c r="J141" s="4"/>
      <c r="K141" s="17" t="s">
        <v>15</v>
      </c>
      <c r="L141" s="4"/>
      <c r="M141" s="17" t="s">
        <v>16</v>
      </c>
      <c r="N141" s="4"/>
      <c r="O141" s="6"/>
      <c r="P141" s="7"/>
      <c r="Q141" s="8"/>
    </row>
    <row r="142">
      <c r="A142" s="18" t="s">
        <v>99</v>
      </c>
      <c r="B142" s="20">
        <v>0.36666666666666664</v>
      </c>
      <c r="C142" s="4"/>
      <c r="D142" s="20">
        <v>0.8541666666666666</v>
      </c>
      <c r="E142" s="3"/>
      <c r="F142" s="4"/>
      <c r="G142" s="19"/>
      <c r="H142" s="4"/>
      <c r="I142" s="20"/>
      <c r="J142" s="4"/>
      <c r="K142" s="19"/>
      <c r="L142" s="4"/>
      <c r="M142" s="19"/>
      <c r="N142" s="4"/>
      <c r="O142" s="6">
        <f>D142-B142</f>
        <v>0.4875</v>
      </c>
      <c r="P142" s="21">
        <v>0.3541666666666667</v>
      </c>
      <c r="Q142" s="8">
        <f>O142-P142</f>
        <v>0.1333333333</v>
      </c>
    </row>
    <row r="143">
      <c r="A143" s="37" t="s">
        <v>103</v>
      </c>
      <c r="B143" s="20"/>
      <c r="C143" s="4"/>
      <c r="D143" s="19"/>
      <c r="E143" s="3"/>
      <c r="F143" s="4"/>
      <c r="G143" s="19"/>
      <c r="H143" s="4"/>
      <c r="I143" s="19"/>
      <c r="J143" s="4"/>
      <c r="K143" s="19"/>
      <c r="L143" s="4"/>
      <c r="M143" s="20"/>
      <c r="N143" s="4"/>
      <c r="O143" s="6">
        <f>M143-B143</f>
        <v>0</v>
      </c>
      <c r="P143" s="21">
        <v>0.3541666666666667</v>
      </c>
      <c r="Q143" s="8"/>
    </row>
    <row r="144">
      <c r="A144" s="18" t="s">
        <v>104</v>
      </c>
      <c r="B144" s="23"/>
      <c r="C144" s="4"/>
      <c r="D144" s="24"/>
      <c r="E144" s="3"/>
      <c r="F144" s="3"/>
      <c r="G144" s="25"/>
      <c r="H144" s="3"/>
      <c r="I144" s="26"/>
      <c r="J144" s="3"/>
      <c r="K144" s="24"/>
      <c r="L144" s="3"/>
      <c r="M144" s="24"/>
      <c r="N144" s="4"/>
      <c r="O144" s="6"/>
      <c r="P144" s="7"/>
      <c r="Q144" s="8"/>
    </row>
    <row r="145">
      <c r="A145" s="18" t="s">
        <v>105</v>
      </c>
      <c r="B145" s="20"/>
      <c r="C145" s="4"/>
      <c r="D145" s="20"/>
      <c r="E145" s="3"/>
      <c r="F145" s="4"/>
      <c r="G145" s="19"/>
      <c r="H145" s="4"/>
      <c r="I145" s="19"/>
      <c r="J145" s="4"/>
      <c r="K145" s="19"/>
      <c r="L145" s="4"/>
      <c r="M145" s="19"/>
      <c r="N145" s="4"/>
      <c r="O145" s="6">
        <f>D145-B145</f>
        <v>0</v>
      </c>
      <c r="P145" s="21">
        <v>0.3541666666666667</v>
      </c>
      <c r="Q145" s="8"/>
    </row>
    <row r="146">
      <c r="A146" s="18" t="s">
        <v>106</v>
      </c>
      <c r="B146" s="19"/>
      <c r="C146" s="4"/>
      <c r="D146" s="19"/>
      <c r="E146" s="3"/>
      <c r="F146" s="4"/>
      <c r="G146" s="19"/>
      <c r="H146" s="4"/>
      <c r="I146" s="19"/>
      <c r="J146" s="4"/>
      <c r="K146" s="19"/>
      <c r="L146" s="4"/>
      <c r="M146" s="19"/>
      <c r="N146" s="4"/>
      <c r="O146" s="6"/>
      <c r="P146" s="7"/>
      <c r="Q146" s="8"/>
    </row>
    <row r="147">
      <c r="A147" s="22" t="s">
        <v>107</v>
      </c>
      <c r="B147" s="20">
        <v>0.3784722222222222</v>
      </c>
      <c r="C147" s="4"/>
      <c r="D147" s="20">
        <v>0.8541666666666666</v>
      </c>
      <c r="E147" s="3"/>
      <c r="F147" s="4"/>
      <c r="G147" s="19"/>
      <c r="H147" s="4"/>
      <c r="I147" s="19"/>
      <c r="J147" s="4"/>
      <c r="K147" s="19"/>
      <c r="L147" s="4"/>
      <c r="M147" s="20"/>
      <c r="N147" s="4"/>
      <c r="O147" s="6">
        <f>D147-B147</f>
        <v>0.4756944444</v>
      </c>
      <c r="P147" s="21">
        <v>0.3541666666666667</v>
      </c>
      <c r="Q147" s="8">
        <f>O147-P147</f>
        <v>0.1215277778</v>
      </c>
    </row>
    <row r="148">
      <c r="A148" s="22" t="s">
        <v>108</v>
      </c>
      <c r="B148" s="20"/>
      <c r="C148" s="4"/>
      <c r="D148" s="19"/>
      <c r="E148" s="3"/>
      <c r="F148" s="4"/>
      <c r="G148" s="19"/>
      <c r="H148" s="4"/>
      <c r="I148" s="19"/>
      <c r="J148" s="4"/>
      <c r="K148" s="20"/>
      <c r="L148" s="4"/>
      <c r="M148" s="19"/>
      <c r="N148" s="4"/>
      <c r="O148" s="6">
        <f>K148-B148</f>
        <v>0</v>
      </c>
      <c r="P148" s="21">
        <v>0.3541666666666667</v>
      </c>
      <c r="Q148" s="8"/>
    </row>
    <row r="149">
      <c r="A149" s="18" t="s">
        <v>109</v>
      </c>
      <c r="B149" s="20">
        <v>0.18888888888888888</v>
      </c>
      <c r="C149" s="4"/>
      <c r="D149" s="20">
        <v>0.6263888888888889</v>
      </c>
      <c r="E149" s="3"/>
      <c r="F149" s="4"/>
      <c r="G149" s="20"/>
      <c r="H149" s="4"/>
      <c r="I149" s="19"/>
      <c r="J149" s="4"/>
      <c r="K149" s="19"/>
      <c r="L149" s="4"/>
      <c r="M149" s="19"/>
      <c r="N149" s="4"/>
      <c r="O149" s="6">
        <f>D149-B149</f>
        <v>0.4375</v>
      </c>
      <c r="P149" s="21">
        <v>0.3541666666666667</v>
      </c>
      <c r="Q149" s="8">
        <f>O149-P149</f>
        <v>0.08333333333</v>
      </c>
    </row>
    <row r="150">
      <c r="A150" s="18" t="s">
        <v>110</v>
      </c>
      <c r="B150" s="20"/>
      <c r="C150" s="4"/>
      <c r="D150" s="19"/>
      <c r="E150" s="3"/>
      <c r="F150" s="4"/>
      <c r="G150" s="20"/>
      <c r="H150" s="4"/>
      <c r="I150" s="19"/>
      <c r="J150" s="4"/>
      <c r="K150" s="19"/>
      <c r="L150" s="4"/>
      <c r="M150" s="19"/>
      <c r="N150" s="4"/>
      <c r="O150" s="6">
        <f>G150-B150</f>
        <v>0</v>
      </c>
      <c r="P150" s="21">
        <v>0.3541666666666667</v>
      </c>
      <c r="Q150" s="8"/>
    </row>
    <row r="151">
      <c r="A151" s="18" t="s">
        <v>111</v>
      </c>
      <c r="B151" s="23"/>
      <c r="C151" s="4"/>
      <c r="D151" s="24"/>
      <c r="E151" s="3"/>
      <c r="F151" s="3"/>
      <c r="G151" s="25"/>
      <c r="H151" s="3"/>
      <c r="I151" s="26"/>
      <c r="J151" s="3"/>
      <c r="K151" s="24"/>
      <c r="L151" s="3"/>
      <c r="M151" s="24"/>
      <c r="N151" s="4"/>
      <c r="O151" s="6"/>
      <c r="P151" s="7"/>
      <c r="Q151" s="8"/>
    </row>
    <row r="152">
      <c r="A152" s="18" t="s">
        <v>112</v>
      </c>
      <c r="B152" s="20"/>
      <c r="C152" s="4"/>
      <c r="D152" s="20"/>
      <c r="E152" s="3"/>
      <c r="F152" s="4"/>
      <c r="G152" s="19"/>
      <c r="H152" s="4"/>
      <c r="I152" s="19"/>
      <c r="J152" s="4"/>
      <c r="K152" s="19"/>
      <c r="L152" s="4"/>
      <c r="M152" s="19"/>
      <c r="N152" s="4"/>
      <c r="O152" s="6">
        <f>D152-B152</f>
        <v>0</v>
      </c>
      <c r="P152" s="21">
        <v>0.3541666666666667</v>
      </c>
      <c r="Q152" s="8"/>
    </row>
    <row r="153">
      <c r="A153" s="18" t="s">
        <v>113</v>
      </c>
      <c r="B153" s="19"/>
      <c r="C153" s="4"/>
      <c r="D153" s="19"/>
      <c r="E153" s="3"/>
      <c r="F153" s="4"/>
      <c r="G153" s="19"/>
      <c r="H153" s="4"/>
      <c r="I153" s="19"/>
      <c r="J153" s="4"/>
      <c r="K153" s="19"/>
      <c r="L153" s="4"/>
      <c r="M153" s="19"/>
      <c r="N153" s="4"/>
      <c r="O153" s="6"/>
      <c r="P153" s="7"/>
      <c r="Q153" s="8"/>
    </row>
    <row r="154">
      <c r="A154" s="22" t="s">
        <v>114</v>
      </c>
      <c r="B154" s="20"/>
      <c r="C154" s="4"/>
      <c r="D154" s="20"/>
      <c r="E154" s="3"/>
      <c r="F154" s="4"/>
      <c r="G154" s="20"/>
      <c r="H154" s="4"/>
      <c r="I154" s="19"/>
      <c r="J154" s="4"/>
      <c r="K154" s="19"/>
      <c r="L154" s="4"/>
      <c r="M154" s="19"/>
      <c r="N154" s="4"/>
      <c r="O154" s="6">
        <f t="shared" ref="O154:O155" si="27">D154-B154</f>
        <v>0</v>
      </c>
      <c r="P154" s="21">
        <v>0.3541666666666667</v>
      </c>
      <c r="Q154" s="8"/>
    </row>
    <row r="155">
      <c r="A155" s="22" t="s">
        <v>115</v>
      </c>
      <c r="B155" s="33"/>
      <c r="C155" s="4"/>
      <c r="D155" s="34"/>
      <c r="E155" s="3"/>
      <c r="F155" s="3"/>
      <c r="G155" s="25"/>
      <c r="H155" s="3"/>
      <c r="I155" s="26"/>
      <c r="J155" s="3"/>
      <c r="K155" s="24"/>
      <c r="L155" s="3"/>
      <c r="M155" s="24"/>
      <c r="N155" s="4"/>
      <c r="O155" s="6">
        <f t="shared" si="27"/>
        <v>0</v>
      </c>
      <c r="P155" s="21">
        <v>0.3541666666666667</v>
      </c>
      <c r="Q155" s="8"/>
    </row>
    <row r="156">
      <c r="A156" s="18" t="s">
        <v>116</v>
      </c>
      <c r="B156" s="20"/>
      <c r="C156" s="4"/>
      <c r="D156" s="19"/>
      <c r="E156" s="3"/>
      <c r="F156" s="4"/>
      <c r="G156" s="20"/>
      <c r="H156" s="4"/>
      <c r="I156" s="19"/>
      <c r="J156" s="4"/>
      <c r="K156" s="19"/>
      <c r="L156" s="4"/>
      <c r="M156" s="19"/>
      <c r="N156" s="4"/>
      <c r="O156" s="6">
        <f>G156-B156</f>
        <v>0</v>
      </c>
      <c r="P156" s="21">
        <v>0.3541666666666667</v>
      </c>
      <c r="Q156" s="8"/>
    </row>
    <row r="157">
      <c r="A157" s="18" t="s">
        <v>65</v>
      </c>
      <c r="B157" s="20"/>
      <c r="C157" s="4"/>
      <c r="D157" s="19"/>
      <c r="E157" s="3"/>
      <c r="F157" s="4"/>
      <c r="G157" s="19"/>
      <c r="H157" s="4"/>
      <c r="I157" s="19"/>
      <c r="J157" s="4"/>
      <c r="K157" s="19"/>
      <c r="L157" s="4"/>
      <c r="M157" s="19"/>
      <c r="N157" s="4"/>
      <c r="O157" s="6"/>
      <c r="P157" s="21">
        <v>0.3541666666666667</v>
      </c>
      <c r="Q157" s="8"/>
    </row>
    <row r="158">
      <c r="O158" s="28" t="s">
        <v>10</v>
      </c>
      <c r="P158" s="7"/>
      <c r="Q158" s="8">
        <f>Q142+Q147+Q149</f>
        <v>0.3381944444</v>
      </c>
    </row>
    <row r="159">
      <c r="O159" s="6"/>
      <c r="P159" s="7"/>
      <c r="Q159" s="8"/>
    </row>
    <row r="160">
      <c r="A160" s="1" t="s">
        <v>0</v>
      </c>
      <c r="B160" s="2" t="s">
        <v>1</v>
      </c>
      <c r="C160" s="3"/>
      <c r="D160" s="3"/>
      <c r="E160" s="3"/>
      <c r="F160" s="3"/>
      <c r="G160" s="3"/>
      <c r="H160" s="4"/>
      <c r="I160" s="1" t="s">
        <v>2</v>
      </c>
      <c r="J160" s="10" t="s">
        <v>39</v>
      </c>
      <c r="K160" s="3"/>
      <c r="L160" s="3"/>
      <c r="M160" s="3"/>
      <c r="N160" s="4"/>
      <c r="O160" s="6"/>
      <c r="P160" s="7"/>
      <c r="Q160" s="8"/>
    </row>
    <row r="161">
      <c r="A161" s="1" t="s">
        <v>4</v>
      </c>
      <c r="B161" s="37" t="s">
        <v>102</v>
      </c>
      <c r="C161" s="3"/>
      <c r="D161" s="3"/>
      <c r="E161" s="3"/>
      <c r="F161" s="3"/>
      <c r="G161" s="3"/>
      <c r="H161" s="4"/>
      <c r="I161" s="1" t="s">
        <v>6</v>
      </c>
      <c r="J161" s="10">
        <v>12.0</v>
      </c>
      <c r="K161" s="3"/>
      <c r="L161" s="3"/>
      <c r="M161" s="3"/>
      <c r="N161" s="4"/>
      <c r="O161" s="6"/>
      <c r="P161" s="7"/>
      <c r="Q161" s="8"/>
    </row>
    <row r="162">
      <c r="A162" s="11" t="s">
        <v>7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4"/>
      <c r="O162" s="12" t="s">
        <v>8</v>
      </c>
      <c r="P162" s="13" t="s">
        <v>9</v>
      </c>
      <c r="Q162" s="14" t="s">
        <v>10</v>
      </c>
    </row>
    <row r="163">
      <c r="A163" s="15" t="s">
        <v>11</v>
      </c>
      <c r="B163" s="2" t="s">
        <v>12</v>
      </c>
      <c r="C163" s="3"/>
      <c r="D163" s="3"/>
      <c r="E163" s="3"/>
      <c r="F163" s="4"/>
      <c r="G163" s="2" t="s">
        <v>13</v>
      </c>
      <c r="H163" s="3"/>
      <c r="I163" s="3"/>
      <c r="J163" s="3"/>
      <c r="K163" s="10" t="s">
        <v>14</v>
      </c>
      <c r="L163" s="3"/>
      <c r="M163" s="3"/>
      <c r="N163" s="4"/>
      <c r="O163" s="6"/>
      <c r="P163" s="7"/>
      <c r="Q163" s="8"/>
    </row>
    <row r="164">
      <c r="A164" s="16"/>
      <c r="B164" s="17" t="s">
        <v>15</v>
      </c>
      <c r="C164" s="4"/>
      <c r="D164" s="17" t="s">
        <v>16</v>
      </c>
      <c r="E164" s="3"/>
      <c r="F164" s="4"/>
      <c r="G164" s="17" t="s">
        <v>15</v>
      </c>
      <c r="H164" s="4"/>
      <c r="I164" s="17" t="s">
        <v>16</v>
      </c>
      <c r="J164" s="4"/>
      <c r="K164" s="17" t="s">
        <v>15</v>
      </c>
      <c r="L164" s="4"/>
      <c r="M164" s="17" t="s">
        <v>16</v>
      </c>
      <c r="N164" s="4"/>
      <c r="O164" s="6"/>
      <c r="P164" s="7"/>
      <c r="Q164" s="8"/>
    </row>
    <row r="165">
      <c r="A165" s="18" t="s">
        <v>99</v>
      </c>
      <c r="B165" s="33">
        <v>0.36666666666666664</v>
      </c>
      <c r="C165" s="4"/>
      <c r="D165" s="34">
        <v>0.8541666666666666</v>
      </c>
      <c r="E165" s="3"/>
      <c r="F165" s="3"/>
      <c r="G165" s="25"/>
      <c r="H165" s="3"/>
      <c r="I165" s="26"/>
      <c r="J165" s="3"/>
      <c r="K165" s="24"/>
      <c r="L165" s="3"/>
      <c r="M165" s="24"/>
      <c r="N165" s="4"/>
      <c r="O165" s="6">
        <f>D165-B165</f>
        <v>0.4875</v>
      </c>
      <c r="P165" s="21">
        <v>0.3541666666666667</v>
      </c>
      <c r="Q165" s="8">
        <f>O165-P165</f>
        <v>0.1333333333</v>
      </c>
    </row>
    <row r="166">
      <c r="A166" s="37" t="s">
        <v>103</v>
      </c>
      <c r="B166" s="20"/>
      <c r="C166" s="4"/>
      <c r="D166" s="19"/>
      <c r="E166" s="3"/>
      <c r="F166" s="4"/>
      <c r="G166" s="20"/>
      <c r="H166" s="4"/>
      <c r="I166" s="19"/>
      <c r="J166" s="4"/>
      <c r="K166" s="19"/>
      <c r="L166" s="4"/>
      <c r="M166" s="19"/>
      <c r="N166" s="4"/>
      <c r="O166" s="6">
        <f t="shared" ref="O166:O167" si="28">G166-B166</f>
        <v>0</v>
      </c>
      <c r="P166" s="21">
        <v>0.3541666666666667</v>
      </c>
      <c r="Q166" s="8"/>
    </row>
    <row r="167">
      <c r="A167" s="18" t="s">
        <v>104</v>
      </c>
      <c r="B167" s="20"/>
      <c r="C167" s="4"/>
      <c r="D167" s="19"/>
      <c r="E167" s="3"/>
      <c r="F167" s="4"/>
      <c r="G167" s="20"/>
      <c r="H167" s="4"/>
      <c r="I167" s="19"/>
      <c r="J167" s="4"/>
      <c r="K167" s="19"/>
      <c r="L167" s="4"/>
      <c r="M167" s="19"/>
      <c r="N167" s="4"/>
      <c r="O167" s="6">
        <f t="shared" si="28"/>
        <v>0</v>
      </c>
      <c r="P167" s="21">
        <v>0.3541666666666667</v>
      </c>
      <c r="Q167" s="8"/>
    </row>
    <row r="168">
      <c r="A168" s="18" t="s">
        <v>105</v>
      </c>
      <c r="B168" s="20"/>
      <c r="C168" s="4"/>
      <c r="D168" s="20"/>
      <c r="E168" s="3"/>
      <c r="F168" s="4"/>
      <c r="G168" s="19"/>
      <c r="H168" s="4"/>
      <c r="I168" s="19"/>
      <c r="J168" s="4"/>
      <c r="K168" s="19"/>
      <c r="L168" s="4"/>
      <c r="M168" s="19"/>
      <c r="N168" s="4"/>
      <c r="O168" s="6">
        <f>D168-B168</f>
        <v>0</v>
      </c>
      <c r="P168" s="21">
        <v>0.3541666666666667</v>
      </c>
      <c r="Q168" s="8"/>
    </row>
    <row r="169">
      <c r="A169" s="18" t="s">
        <v>106</v>
      </c>
      <c r="B169" s="19"/>
      <c r="C169" s="4"/>
      <c r="D169" s="19"/>
      <c r="E169" s="3"/>
      <c r="F169" s="4"/>
      <c r="G169" s="19"/>
      <c r="H169" s="4"/>
      <c r="I169" s="19"/>
      <c r="J169" s="4"/>
      <c r="K169" s="19"/>
      <c r="L169" s="4"/>
      <c r="M169" s="19"/>
      <c r="N169" s="4"/>
      <c r="O169" s="6"/>
      <c r="P169" s="7"/>
      <c r="Q169" s="8"/>
    </row>
    <row r="170">
      <c r="A170" s="22" t="s">
        <v>107</v>
      </c>
      <c r="B170" s="20"/>
      <c r="C170" s="4"/>
      <c r="D170" s="19"/>
      <c r="E170" s="3"/>
      <c r="F170" s="4"/>
      <c r="G170" s="20"/>
      <c r="H170" s="4"/>
      <c r="I170" s="19"/>
      <c r="J170" s="4"/>
      <c r="K170" s="19"/>
      <c r="L170" s="4"/>
      <c r="M170" s="19"/>
      <c r="N170" s="4"/>
      <c r="O170" s="6">
        <f t="shared" ref="O170:O171" si="29">G170-B170</f>
        <v>0</v>
      </c>
      <c r="P170" s="21">
        <v>0.3541666666666667</v>
      </c>
      <c r="Q170" s="8"/>
    </row>
    <row r="171">
      <c r="A171" s="22" t="s">
        <v>108</v>
      </c>
      <c r="B171" s="20"/>
      <c r="C171" s="4"/>
      <c r="D171" s="19"/>
      <c r="E171" s="3"/>
      <c r="F171" s="4"/>
      <c r="G171" s="20"/>
      <c r="H171" s="4"/>
      <c r="I171" s="19"/>
      <c r="J171" s="4"/>
      <c r="K171" s="19"/>
      <c r="L171" s="4"/>
      <c r="M171" s="19"/>
      <c r="N171" s="4"/>
      <c r="O171" s="6">
        <f t="shared" si="29"/>
        <v>0</v>
      </c>
      <c r="P171" s="21">
        <v>0.3541666666666667</v>
      </c>
      <c r="Q171" s="8"/>
    </row>
    <row r="172">
      <c r="A172" s="18" t="s">
        <v>109</v>
      </c>
      <c r="B172" s="20"/>
      <c r="C172" s="4"/>
      <c r="D172" s="19"/>
      <c r="E172" s="3"/>
      <c r="F172" s="4"/>
      <c r="G172" s="19"/>
      <c r="H172" s="4"/>
      <c r="I172" s="20"/>
      <c r="J172" s="4"/>
      <c r="K172" s="19"/>
      <c r="L172" s="4"/>
      <c r="M172" s="19"/>
      <c r="N172" s="4"/>
      <c r="O172" s="6">
        <f>I172-B172</f>
        <v>0</v>
      </c>
      <c r="P172" s="21">
        <v>0.3541666666666667</v>
      </c>
      <c r="Q172" s="8"/>
    </row>
    <row r="173">
      <c r="A173" s="18" t="s">
        <v>110</v>
      </c>
      <c r="B173" s="20">
        <v>0.38333333333333336</v>
      </c>
      <c r="C173" s="4"/>
      <c r="D173" s="20">
        <v>0.8</v>
      </c>
      <c r="E173" s="3"/>
      <c r="F173" s="4"/>
      <c r="G173" s="19"/>
      <c r="H173" s="4"/>
      <c r="I173" s="20"/>
      <c r="J173" s="4"/>
      <c r="K173" s="19"/>
      <c r="L173" s="4"/>
      <c r="M173" s="19"/>
      <c r="N173" s="4"/>
      <c r="O173" s="6">
        <f>D173-B173</f>
        <v>0.4166666667</v>
      </c>
      <c r="P173" s="21">
        <v>0.3541666666666667</v>
      </c>
      <c r="Q173" s="8">
        <f>O173-P173</f>
        <v>0.0625</v>
      </c>
    </row>
    <row r="174">
      <c r="A174" s="18" t="s">
        <v>111</v>
      </c>
      <c r="B174" s="19"/>
      <c r="C174" s="4"/>
      <c r="D174" s="20"/>
      <c r="E174" s="3"/>
      <c r="F174" s="4"/>
      <c r="G174" s="19"/>
      <c r="H174" s="4"/>
      <c r="I174" s="19"/>
      <c r="J174" s="4"/>
      <c r="K174" s="19"/>
      <c r="L174" s="4"/>
      <c r="M174" s="20"/>
      <c r="N174" s="4"/>
      <c r="O174" s="6">
        <f>M174-D174</f>
        <v>0</v>
      </c>
      <c r="P174" s="21">
        <v>0.3541666666666667</v>
      </c>
      <c r="Q174" s="8"/>
    </row>
    <row r="175">
      <c r="A175" s="18" t="s">
        <v>112</v>
      </c>
      <c r="B175" s="19"/>
      <c r="C175" s="4"/>
      <c r="D175" s="19"/>
      <c r="E175" s="3"/>
      <c r="F175" s="4"/>
      <c r="G175" s="19"/>
      <c r="H175" s="4"/>
      <c r="I175" s="19"/>
      <c r="J175" s="4"/>
      <c r="K175" s="19"/>
      <c r="L175" s="4"/>
      <c r="M175" s="19"/>
      <c r="N175" s="4"/>
      <c r="O175" s="6"/>
      <c r="P175" s="21"/>
      <c r="Q175" s="8"/>
    </row>
    <row r="176">
      <c r="A176" s="18" t="s">
        <v>113</v>
      </c>
      <c r="B176" s="19"/>
      <c r="C176" s="4"/>
      <c r="D176" s="19"/>
      <c r="E176" s="3"/>
      <c r="F176" s="4"/>
      <c r="G176" s="19"/>
      <c r="H176" s="4"/>
      <c r="I176" s="19"/>
      <c r="J176" s="4"/>
      <c r="K176" s="19"/>
      <c r="L176" s="4"/>
      <c r="M176" s="19"/>
      <c r="N176" s="4"/>
      <c r="O176" s="6"/>
      <c r="P176" s="7"/>
      <c r="Q176" s="8"/>
    </row>
    <row r="177">
      <c r="A177" s="22" t="s">
        <v>114</v>
      </c>
      <c r="B177" s="20"/>
      <c r="C177" s="4"/>
      <c r="D177" s="19"/>
      <c r="E177" s="3"/>
      <c r="F177" s="4"/>
      <c r="G177" s="19"/>
      <c r="H177" s="4"/>
      <c r="I177" s="19"/>
      <c r="J177" s="4"/>
      <c r="K177" s="20"/>
      <c r="L177" s="4"/>
      <c r="M177" s="19"/>
      <c r="N177" s="4"/>
      <c r="O177" s="6">
        <f>K177-B177</f>
        <v>0</v>
      </c>
      <c r="P177" s="21">
        <v>0.3541666666666667</v>
      </c>
      <c r="Q177" s="8"/>
    </row>
    <row r="178">
      <c r="A178" s="22" t="s">
        <v>115</v>
      </c>
      <c r="B178" s="20"/>
      <c r="C178" s="4"/>
      <c r="D178" s="19"/>
      <c r="E178" s="3"/>
      <c r="F178" s="4"/>
      <c r="G178" s="19"/>
      <c r="H178" s="4"/>
      <c r="I178" s="20"/>
      <c r="J178" s="4"/>
      <c r="K178" s="19"/>
      <c r="L178" s="4"/>
      <c r="M178" s="19"/>
      <c r="N178" s="4"/>
      <c r="O178" s="6">
        <f>I178-B178</f>
        <v>0</v>
      </c>
      <c r="P178" s="21">
        <v>0.3541666666666667</v>
      </c>
      <c r="Q178" s="8"/>
    </row>
    <row r="179">
      <c r="A179" s="18" t="s">
        <v>116</v>
      </c>
      <c r="B179" s="19"/>
      <c r="C179" s="4"/>
      <c r="D179" s="20"/>
      <c r="E179" s="3"/>
      <c r="F179" s="4"/>
      <c r="G179" s="19"/>
      <c r="H179" s="4"/>
      <c r="I179" s="19"/>
      <c r="J179" s="4"/>
      <c r="K179" s="19"/>
      <c r="L179" s="4"/>
      <c r="M179" s="20"/>
      <c r="N179" s="4"/>
      <c r="O179" s="6">
        <f>M179-D179</f>
        <v>0</v>
      </c>
      <c r="P179" s="21">
        <v>0.3541666666666667</v>
      </c>
      <c r="Q179" s="8"/>
    </row>
    <row r="180">
      <c r="A180" s="18" t="s">
        <v>65</v>
      </c>
      <c r="B180" s="23"/>
      <c r="C180" s="4"/>
      <c r="D180" s="24"/>
      <c r="E180" s="3"/>
      <c r="F180" s="3"/>
      <c r="G180" s="25"/>
      <c r="H180" s="3"/>
      <c r="I180" s="26"/>
      <c r="J180" s="3"/>
      <c r="K180" s="24"/>
      <c r="L180" s="3"/>
      <c r="M180" s="24"/>
      <c r="N180" s="4"/>
      <c r="O180" s="6"/>
      <c r="P180" s="7"/>
      <c r="Q180" s="8"/>
    </row>
    <row r="181">
      <c r="O181" s="28" t="s">
        <v>10</v>
      </c>
      <c r="P181" s="7"/>
      <c r="Q181" s="8">
        <f>Q165+Q173</f>
        <v>0.1958333333</v>
      </c>
    </row>
    <row r="182">
      <c r="O182" s="6"/>
      <c r="P182" s="7"/>
      <c r="Q182" s="8"/>
    </row>
    <row r="183">
      <c r="A183" s="1" t="s">
        <v>0</v>
      </c>
      <c r="B183" s="2" t="s">
        <v>1</v>
      </c>
      <c r="C183" s="3"/>
      <c r="D183" s="3"/>
      <c r="E183" s="3"/>
      <c r="F183" s="3"/>
      <c r="G183" s="3"/>
      <c r="H183" s="4"/>
      <c r="I183" s="1" t="s">
        <v>2</v>
      </c>
      <c r="J183" s="10" t="s">
        <v>40</v>
      </c>
      <c r="K183" s="3"/>
      <c r="L183" s="3"/>
      <c r="M183" s="3"/>
      <c r="N183" s="4"/>
      <c r="O183" s="6"/>
      <c r="P183" s="7"/>
      <c r="Q183" s="8"/>
    </row>
    <row r="184">
      <c r="A184" s="1" t="s">
        <v>4</v>
      </c>
      <c r="B184" s="37" t="s">
        <v>82</v>
      </c>
      <c r="C184" s="3"/>
      <c r="D184" s="3"/>
      <c r="E184" s="3"/>
      <c r="F184" s="3"/>
      <c r="G184" s="3"/>
      <c r="H184" s="4"/>
      <c r="I184" s="1" t="s">
        <v>6</v>
      </c>
      <c r="J184" s="10">
        <v>13.0</v>
      </c>
      <c r="K184" s="3"/>
      <c r="L184" s="3"/>
      <c r="M184" s="3"/>
      <c r="N184" s="4"/>
      <c r="O184" s="6"/>
      <c r="P184" s="7"/>
      <c r="Q184" s="8"/>
    </row>
    <row r="185">
      <c r="A185" s="11" t="s">
        <v>7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4"/>
      <c r="O185" s="12" t="s">
        <v>8</v>
      </c>
      <c r="P185" s="13" t="s">
        <v>9</v>
      </c>
      <c r="Q185" s="14" t="s">
        <v>10</v>
      </c>
      <c r="R185" s="48" t="s">
        <v>100</v>
      </c>
    </row>
    <row r="186">
      <c r="A186" s="15" t="s">
        <v>11</v>
      </c>
      <c r="B186" s="2" t="s">
        <v>12</v>
      </c>
      <c r="C186" s="3"/>
      <c r="D186" s="3"/>
      <c r="E186" s="3"/>
      <c r="F186" s="4"/>
      <c r="G186" s="2" t="s">
        <v>13</v>
      </c>
      <c r="H186" s="3"/>
      <c r="I186" s="3"/>
      <c r="J186" s="3"/>
      <c r="K186" s="10" t="s">
        <v>14</v>
      </c>
      <c r="L186" s="3"/>
      <c r="M186" s="3"/>
      <c r="N186" s="4"/>
      <c r="O186" s="6"/>
      <c r="P186" s="7"/>
      <c r="Q186" s="8"/>
    </row>
    <row r="187">
      <c r="A187" s="16"/>
      <c r="B187" s="17" t="s">
        <v>15</v>
      </c>
      <c r="C187" s="4"/>
      <c r="D187" s="17" t="s">
        <v>16</v>
      </c>
      <c r="E187" s="3"/>
      <c r="F187" s="4"/>
      <c r="G187" s="17" t="s">
        <v>15</v>
      </c>
      <c r="H187" s="4"/>
      <c r="I187" s="17" t="s">
        <v>16</v>
      </c>
      <c r="J187" s="4"/>
      <c r="K187" s="17" t="s">
        <v>15</v>
      </c>
      <c r="L187" s="4"/>
      <c r="M187" s="17" t="s">
        <v>16</v>
      </c>
      <c r="N187" s="4"/>
      <c r="O187" s="6"/>
      <c r="P187" s="7"/>
      <c r="Q187" s="8"/>
    </row>
    <row r="188">
      <c r="A188" s="22" t="s">
        <v>83</v>
      </c>
      <c r="B188" s="23"/>
      <c r="C188" s="4"/>
      <c r="D188" s="24"/>
      <c r="E188" s="3"/>
      <c r="F188" s="3"/>
      <c r="G188" s="25"/>
      <c r="H188" s="3"/>
      <c r="I188" s="26"/>
      <c r="J188" s="3"/>
      <c r="K188" s="24"/>
      <c r="L188" s="3"/>
      <c r="M188" s="24"/>
      <c r="N188" s="4"/>
      <c r="O188" s="6"/>
      <c r="P188" s="21"/>
      <c r="Q188" s="8"/>
    </row>
    <row r="189">
      <c r="A189" s="18" t="s">
        <v>84</v>
      </c>
      <c r="B189" s="20">
        <v>0.5763888888888888</v>
      </c>
      <c r="C189" s="4"/>
      <c r="D189" s="20">
        <v>0.8645833333333334</v>
      </c>
      <c r="E189" s="3"/>
      <c r="F189" s="4"/>
      <c r="G189" s="20"/>
      <c r="H189" s="4"/>
      <c r="I189" s="19"/>
      <c r="J189" s="4"/>
      <c r="K189" s="19"/>
      <c r="L189" s="4"/>
      <c r="M189" s="20"/>
      <c r="N189" s="4"/>
      <c r="O189" s="6">
        <f t="shared" ref="O189:O190" si="30">D189-B189</f>
        <v>0.2881944444</v>
      </c>
      <c r="P189" s="21">
        <v>0.3541666666666667</v>
      </c>
      <c r="Q189" s="8"/>
      <c r="R189" s="48">
        <v>45.0</v>
      </c>
    </row>
    <row r="190">
      <c r="A190" s="18" t="s">
        <v>85</v>
      </c>
      <c r="B190" s="20">
        <v>0.5784722222222223</v>
      </c>
      <c r="C190" s="4"/>
      <c r="D190" s="20">
        <v>0.85</v>
      </c>
      <c r="E190" s="3"/>
      <c r="F190" s="4"/>
      <c r="G190" s="19"/>
      <c r="H190" s="4"/>
      <c r="I190" s="19"/>
      <c r="J190" s="4"/>
      <c r="K190" s="19"/>
      <c r="L190" s="4"/>
      <c r="M190" s="20"/>
      <c r="N190" s="4"/>
      <c r="O190" s="6">
        <f t="shared" si="30"/>
        <v>0.2715277778</v>
      </c>
      <c r="P190" s="21">
        <v>0.3541666666666667</v>
      </c>
      <c r="Q190" s="8"/>
      <c r="R190" s="48">
        <v>48.0</v>
      </c>
    </row>
    <row r="191">
      <c r="A191" s="18" t="s">
        <v>86</v>
      </c>
      <c r="B191" s="20"/>
      <c r="C191" s="4"/>
      <c r="D191" s="20"/>
      <c r="E191" s="3"/>
      <c r="F191" s="4"/>
      <c r="G191" s="19"/>
      <c r="H191" s="4"/>
      <c r="I191" s="19"/>
      <c r="J191" s="4"/>
      <c r="K191" s="19"/>
      <c r="L191" s="4"/>
      <c r="M191" s="19"/>
      <c r="N191" s="4"/>
      <c r="O191" s="6"/>
      <c r="P191" s="21"/>
      <c r="Q191" s="8"/>
    </row>
    <row r="192">
      <c r="A192" s="18" t="s">
        <v>88</v>
      </c>
      <c r="B192" s="20">
        <v>0.5701388888888889</v>
      </c>
      <c r="C192" s="4"/>
      <c r="D192" s="20">
        <v>0.8090277777777778</v>
      </c>
      <c r="E192" s="3"/>
      <c r="F192" s="4"/>
      <c r="G192" s="19"/>
      <c r="H192" s="4"/>
      <c r="I192" s="19"/>
      <c r="J192" s="4"/>
      <c r="K192" s="19"/>
      <c r="L192" s="4"/>
      <c r="M192" s="19"/>
      <c r="N192" s="4"/>
      <c r="O192" s="6">
        <f t="shared" ref="O192:O194" si="31">D192-B192</f>
        <v>0.2388888889</v>
      </c>
      <c r="P192" s="21">
        <v>0.3541666666666667</v>
      </c>
      <c r="Q192" s="8"/>
      <c r="R192" s="48">
        <v>36.0</v>
      </c>
    </row>
    <row r="193">
      <c r="A193" s="18" t="s">
        <v>89</v>
      </c>
      <c r="B193" s="20">
        <v>0.5652777777777778</v>
      </c>
      <c r="C193" s="4"/>
      <c r="D193" s="20">
        <v>0.8472222222222222</v>
      </c>
      <c r="E193" s="3"/>
      <c r="F193" s="4"/>
      <c r="G193" s="20"/>
      <c r="H193" s="4"/>
      <c r="I193" s="19"/>
      <c r="J193" s="4"/>
      <c r="K193" s="19"/>
      <c r="L193" s="4"/>
      <c r="M193" s="20"/>
      <c r="N193" s="4"/>
      <c r="O193" s="6">
        <f t="shared" si="31"/>
        <v>0.2819444444</v>
      </c>
      <c r="P193" s="21">
        <v>0.3541666666666667</v>
      </c>
      <c r="Q193" s="8"/>
      <c r="R193" s="48">
        <v>29.0</v>
      </c>
    </row>
    <row r="194">
      <c r="A194" s="22" t="s">
        <v>90</v>
      </c>
      <c r="B194" s="20">
        <v>0.5666666666666667</v>
      </c>
      <c r="C194" s="4"/>
      <c r="D194" s="20">
        <v>0.8298611111111112</v>
      </c>
      <c r="E194" s="3"/>
      <c r="F194" s="4"/>
      <c r="G194" s="19"/>
      <c r="H194" s="4"/>
      <c r="I194" s="19"/>
      <c r="J194" s="4"/>
      <c r="K194" s="19"/>
      <c r="L194" s="4"/>
      <c r="M194" s="20"/>
      <c r="N194" s="4"/>
      <c r="O194" s="6">
        <f t="shared" si="31"/>
        <v>0.2631944444</v>
      </c>
      <c r="P194" s="21">
        <v>0.3541666666666667</v>
      </c>
      <c r="Q194" s="8"/>
      <c r="R194" s="48">
        <v>31.0</v>
      </c>
    </row>
    <row r="195">
      <c r="A195" s="22" t="s">
        <v>91</v>
      </c>
      <c r="B195" s="19"/>
      <c r="C195" s="4"/>
      <c r="D195" s="19"/>
      <c r="E195" s="3"/>
      <c r="F195" s="4"/>
      <c r="G195" s="20"/>
      <c r="H195" s="4"/>
      <c r="I195" s="19"/>
      <c r="J195" s="4"/>
      <c r="K195" s="19"/>
      <c r="L195" s="4"/>
      <c r="M195" s="20"/>
      <c r="N195" s="4"/>
      <c r="O195" s="6"/>
      <c r="P195" s="21"/>
      <c r="Q195" s="8"/>
    </row>
    <row r="196">
      <c r="A196" s="18" t="s">
        <v>92</v>
      </c>
      <c r="B196" s="33">
        <v>0.575</v>
      </c>
      <c r="C196" s="4"/>
      <c r="D196" s="34">
        <v>0.8715277777777778</v>
      </c>
      <c r="E196" s="3"/>
      <c r="F196" s="3"/>
      <c r="G196" s="25"/>
      <c r="H196" s="3"/>
      <c r="I196" s="26"/>
      <c r="J196" s="3"/>
      <c r="K196" s="24"/>
      <c r="L196" s="3"/>
      <c r="M196" s="24"/>
      <c r="N196" s="4"/>
      <c r="O196" s="6">
        <f t="shared" ref="O196:O197" si="32">D196-B196</f>
        <v>0.2965277778</v>
      </c>
      <c r="P196" s="21">
        <v>0.3541666666666667</v>
      </c>
      <c r="Q196" s="8"/>
      <c r="R196" s="48">
        <v>43.0</v>
      </c>
    </row>
    <row r="197">
      <c r="A197" s="18" t="s">
        <v>93</v>
      </c>
      <c r="B197" s="33">
        <v>0.5819444444444445</v>
      </c>
      <c r="C197" s="4"/>
      <c r="D197" s="34">
        <v>0.8361111111111111</v>
      </c>
      <c r="E197" s="3"/>
      <c r="F197" s="3"/>
      <c r="G197" s="25"/>
      <c r="H197" s="3"/>
      <c r="I197" s="26"/>
      <c r="J197" s="3"/>
      <c r="K197" s="24"/>
      <c r="L197" s="3"/>
      <c r="M197" s="24"/>
      <c r="N197" s="4"/>
      <c r="O197" s="6">
        <f t="shared" si="32"/>
        <v>0.2541666667</v>
      </c>
      <c r="P197" s="21">
        <v>0.3541666666666667</v>
      </c>
      <c r="Q197" s="8"/>
      <c r="R197" s="48">
        <v>53.0</v>
      </c>
    </row>
    <row r="198">
      <c r="A198" s="18" t="s">
        <v>94</v>
      </c>
      <c r="B198" s="20"/>
      <c r="C198" s="4"/>
      <c r="D198" s="20"/>
      <c r="E198" s="3"/>
      <c r="F198" s="4"/>
      <c r="G198" s="19"/>
      <c r="H198" s="4"/>
      <c r="I198" s="19"/>
      <c r="J198" s="4"/>
      <c r="K198" s="19"/>
      <c r="L198" s="4"/>
      <c r="M198" s="19"/>
      <c r="N198" s="4"/>
      <c r="O198" s="6"/>
      <c r="P198" s="21"/>
      <c r="Q198" s="8"/>
    </row>
    <row r="199">
      <c r="A199" s="18" t="s">
        <v>95</v>
      </c>
      <c r="B199" s="20">
        <v>0.5548611111111111</v>
      </c>
      <c r="C199" s="4"/>
      <c r="D199" s="20">
        <v>0.8069444444444445</v>
      </c>
      <c r="E199" s="3"/>
      <c r="F199" s="4"/>
      <c r="G199" s="19"/>
      <c r="H199" s="4"/>
      <c r="I199" s="19"/>
      <c r="J199" s="4"/>
      <c r="K199" s="19"/>
      <c r="L199" s="4"/>
      <c r="M199" s="19"/>
      <c r="N199" s="4"/>
      <c r="O199" s="6">
        <f t="shared" ref="O199:O200" si="33">D199-B199</f>
        <v>0.2520833333</v>
      </c>
      <c r="P199" s="21">
        <v>0.3541666666666667</v>
      </c>
      <c r="Q199" s="8"/>
      <c r="R199" s="48">
        <v>16.0</v>
      </c>
    </row>
    <row r="200">
      <c r="A200" s="18" t="s">
        <v>96</v>
      </c>
      <c r="B200" s="20">
        <v>0.5861111111111111</v>
      </c>
      <c r="C200" s="4"/>
      <c r="D200" s="20">
        <v>0.86875</v>
      </c>
      <c r="E200" s="3"/>
      <c r="F200" s="4"/>
      <c r="G200" s="20"/>
      <c r="H200" s="4"/>
      <c r="I200" s="19"/>
      <c r="J200" s="4"/>
      <c r="K200" s="19"/>
      <c r="L200" s="4"/>
      <c r="M200" s="20"/>
      <c r="N200" s="4"/>
      <c r="O200" s="6">
        <f t="shared" si="33"/>
        <v>0.2826388889</v>
      </c>
      <c r="P200" s="21">
        <v>0.3541666666666667</v>
      </c>
      <c r="Q200" s="8"/>
      <c r="R200" s="48">
        <v>59.0</v>
      </c>
    </row>
    <row r="201">
      <c r="A201" s="22" t="s">
        <v>97</v>
      </c>
      <c r="B201" s="19"/>
      <c r="C201" s="4"/>
      <c r="D201" s="20"/>
      <c r="E201" s="3"/>
      <c r="F201" s="4"/>
      <c r="G201" s="19"/>
      <c r="H201" s="4"/>
      <c r="I201" s="19"/>
      <c r="J201" s="4"/>
      <c r="K201" s="19"/>
      <c r="L201" s="4"/>
      <c r="M201" s="20"/>
      <c r="N201" s="4"/>
      <c r="O201" s="6"/>
      <c r="P201" s="21"/>
      <c r="Q201" s="8"/>
      <c r="R201" s="52">
        <f>R189+R190+R192+R193+R194+R196+R197+R199+R200</f>
        <v>360</v>
      </c>
      <c r="S201" s="50">
        <f>R201*2.2</f>
        <v>792</v>
      </c>
    </row>
    <row r="202">
      <c r="A202" s="22" t="s">
        <v>98</v>
      </c>
      <c r="B202" s="23"/>
      <c r="C202" s="4"/>
      <c r="D202" s="24"/>
      <c r="E202" s="3"/>
      <c r="F202" s="3"/>
      <c r="G202" s="25"/>
      <c r="H202" s="3"/>
      <c r="I202" s="26"/>
      <c r="J202" s="3"/>
      <c r="K202" s="24"/>
      <c r="L202" s="3"/>
      <c r="M202" s="24"/>
      <c r="N202" s="4"/>
      <c r="O202" s="6"/>
      <c r="P202" s="7"/>
      <c r="Q202" s="8"/>
    </row>
    <row r="203">
      <c r="A203" s="18" t="s">
        <v>99</v>
      </c>
      <c r="B203" s="23"/>
      <c r="C203" s="4"/>
      <c r="D203" s="24"/>
      <c r="E203" s="3"/>
      <c r="F203" s="3"/>
      <c r="G203" s="25"/>
      <c r="H203" s="3"/>
      <c r="I203" s="26"/>
      <c r="J203" s="3"/>
      <c r="K203" s="24"/>
      <c r="L203" s="3"/>
      <c r="M203" s="24"/>
      <c r="N203" s="4"/>
      <c r="O203" s="6"/>
      <c r="P203" s="7"/>
      <c r="Q203" s="8"/>
    </row>
    <row r="204">
      <c r="O204" s="28" t="s">
        <v>10</v>
      </c>
      <c r="P204" s="7"/>
      <c r="Q204" s="8" t="str">
        <f>Q190</f>
        <v/>
      </c>
    </row>
    <row r="205">
      <c r="A205" s="1" t="s">
        <v>0</v>
      </c>
      <c r="B205" s="2" t="s">
        <v>1</v>
      </c>
      <c r="C205" s="3"/>
      <c r="D205" s="3"/>
      <c r="E205" s="3"/>
      <c r="F205" s="3"/>
      <c r="G205" s="3"/>
      <c r="H205" s="4"/>
      <c r="I205" s="1" t="s">
        <v>2</v>
      </c>
      <c r="J205" s="10" t="s">
        <v>41</v>
      </c>
      <c r="K205" s="3"/>
      <c r="L205" s="3"/>
      <c r="M205" s="3"/>
      <c r="N205" s="4"/>
      <c r="O205" s="6"/>
      <c r="P205" s="7"/>
      <c r="Q205" s="8"/>
    </row>
    <row r="206">
      <c r="A206" s="1" t="s">
        <v>4</v>
      </c>
      <c r="B206" s="9" t="s">
        <v>5</v>
      </c>
      <c r="C206" s="3"/>
      <c r="D206" s="3"/>
      <c r="E206" s="3"/>
      <c r="F206" s="3"/>
      <c r="G206" s="3"/>
      <c r="H206" s="4"/>
      <c r="I206" s="1" t="s">
        <v>6</v>
      </c>
      <c r="J206" s="10">
        <v>14.0</v>
      </c>
      <c r="K206" s="3"/>
      <c r="L206" s="3"/>
      <c r="M206" s="3"/>
      <c r="N206" s="4"/>
      <c r="O206" s="6"/>
      <c r="P206" s="7"/>
      <c r="Q206" s="8"/>
    </row>
    <row r="207">
      <c r="A207" s="11" t="s">
        <v>7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4"/>
      <c r="O207" s="12" t="s">
        <v>8</v>
      </c>
      <c r="P207" s="13" t="s">
        <v>9</v>
      </c>
      <c r="Q207" s="14" t="s">
        <v>10</v>
      </c>
    </row>
    <row r="208">
      <c r="A208" s="15" t="s">
        <v>11</v>
      </c>
      <c r="B208" s="2" t="s">
        <v>12</v>
      </c>
      <c r="C208" s="3"/>
      <c r="D208" s="3"/>
      <c r="E208" s="3"/>
      <c r="F208" s="4"/>
      <c r="G208" s="2" t="s">
        <v>13</v>
      </c>
      <c r="H208" s="3"/>
      <c r="I208" s="3"/>
      <c r="J208" s="3"/>
      <c r="K208" s="10" t="s">
        <v>14</v>
      </c>
      <c r="L208" s="3"/>
      <c r="M208" s="3"/>
      <c r="N208" s="4"/>
      <c r="O208" s="6"/>
      <c r="P208" s="7"/>
      <c r="Q208" s="8"/>
    </row>
    <row r="209">
      <c r="A209" s="16"/>
      <c r="B209" s="17" t="s">
        <v>15</v>
      </c>
      <c r="C209" s="4"/>
      <c r="D209" s="17" t="s">
        <v>16</v>
      </c>
      <c r="E209" s="3"/>
      <c r="F209" s="4"/>
      <c r="G209" s="17" t="s">
        <v>15</v>
      </c>
      <c r="H209" s="4"/>
      <c r="I209" s="17" t="s">
        <v>16</v>
      </c>
      <c r="J209" s="4"/>
      <c r="K209" s="17" t="s">
        <v>15</v>
      </c>
      <c r="L209" s="4"/>
      <c r="M209" s="17" t="s">
        <v>16</v>
      </c>
      <c r="N209" s="4"/>
      <c r="O209" s="6"/>
      <c r="P209" s="7"/>
      <c r="Q209" s="8"/>
    </row>
    <row r="210">
      <c r="A210" s="18" t="s">
        <v>17</v>
      </c>
      <c r="B210" s="23"/>
      <c r="C210" s="4"/>
      <c r="D210" s="24"/>
      <c r="E210" s="3"/>
      <c r="F210" s="3"/>
      <c r="G210" s="25"/>
      <c r="H210" s="3"/>
      <c r="I210" s="26"/>
      <c r="J210" s="3"/>
      <c r="K210" s="24"/>
      <c r="L210" s="3"/>
      <c r="M210" s="24"/>
      <c r="N210" s="4"/>
      <c r="O210" s="6"/>
      <c r="P210" s="21">
        <v>0.3541666666666667</v>
      </c>
      <c r="Q210" s="8"/>
    </row>
    <row r="211">
      <c r="A211" s="18" t="s">
        <v>18</v>
      </c>
      <c r="B211" s="20"/>
      <c r="C211" s="4"/>
      <c r="D211" s="19"/>
      <c r="E211" s="3"/>
      <c r="F211" s="4"/>
      <c r="G211" s="20"/>
      <c r="H211" s="4"/>
      <c r="I211" s="19"/>
      <c r="J211" s="4"/>
      <c r="K211" s="19"/>
      <c r="L211" s="4"/>
      <c r="M211" s="19"/>
      <c r="N211" s="4"/>
      <c r="O211" s="6">
        <f t="shared" ref="O211:O212" si="34">G211-B211</f>
        <v>0</v>
      </c>
      <c r="P211" s="21">
        <v>0.3541666666666667</v>
      </c>
      <c r="Q211" s="8">
        <f t="shared" ref="Q211:Q213" si="35">O211-P211</f>
        <v>-0.3541666667</v>
      </c>
    </row>
    <row r="212">
      <c r="A212" s="18" t="s">
        <v>19</v>
      </c>
      <c r="B212" s="20"/>
      <c r="C212" s="4"/>
      <c r="D212" s="19"/>
      <c r="E212" s="3"/>
      <c r="F212" s="4"/>
      <c r="G212" s="20"/>
      <c r="H212" s="4"/>
      <c r="I212" s="19"/>
      <c r="J212" s="4"/>
      <c r="K212" s="19"/>
      <c r="L212" s="4"/>
      <c r="M212" s="19"/>
      <c r="N212" s="4"/>
      <c r="O212" s="6">
        <f t="shared" si="34"/>
        <v>0</v>
      </c>
      <c r="P212" s="21">
        <v>0.3541666666666667</v>
      </c>
      <c r="Q212" s="8">
        <f t="shared" si="35"/>
        <v>-0.3541666667</v>
      </c>
    </row>
    <row r="213">
      <c r="A213" s="22" t="s">
        <v>20</v>
      </c>
      <c r="B213" s="20"/>
      <c r="C213" s="4"/>
      <c r="D213" s="20"/>
      <c r="E213" s="3"/>
      <c r="F213" s="4"/>
      <c r="G213" s="19"/>
      <c r="H213" s="4"/>
      <c r="I213" s="19"/>
      <c r="J213" s="4"/>
      <c r="K213" s="19"/>
      <c r="L213" s="4"/>
      <c r="M213" s="19"/>
      <c r="N213" s="4"/>
      <c r="O213" s="6">
        <f>D213-B213</f>
        <v>0</v>
      </c>
      <c r="P213" s="21">
        <v>0.3541666666666667</v>
      </c>
      <c r="Q213" s="8">
        <f t="shared" si="35"/>
        <v>-0.3541666667</v>
      </c>
    </row>
    <row r="214">
      <c r="A214" s="22" t="s">
        <v>21</v>
      </c>
      <c r="B214" s="19"/>
      <c r="C214" s="4"/>
      <c r="D214" s="19"/>
      <c r="E214" s="3"/>
      <c r="F214" s="4"/>
      <c r="G214" s="19"/>
      <c r="H214" s="4"/>
      <c r="I214" s="19"/>
      <c r="J214" s="4"/>
      <c r="K214" s="19"/>
      <c r="L214" s="4"/>
      <c r="M214" s="19"/>
      <c r="N214" s="4"/>
      <c r="O214" s="6"/>
      <c r="P214" s="7"/>
      <c r="Q214" s="8"/>
    </row>
    <row r="215">
      <c r="A215" s="18" t="s">
        <v>22</v>
      </c>
      <c r="B215" s="20"/>
      <c r="C215" s="4"/>
      <c r="D215" s="19"/>
      <c r="E215" s="3"/>
      <c r="F215" s="4"/>
      <c r="G215" s="19"/>
      <c r="H215" s="4"/>
      <c r="I215" s="20"/>
      <c r="J215" s="4"/>
      <c r="K215" s="19"/>
      <c r="L215" s="4"/>
      <c r="M215" s="19"/>
      <c r="N215" s="4"/>
      <c r="O215" s="6">
        <f>I215-B215</f>
        <v>0</v>
      </c>
      <c r="P215" s="21">
        <v>0.3541666666666667</v>
      </c>
      <c r="Q215" s="8">
        <f>O215-P215</f>
        <v>-0.3541666667</v>
      </c>
    </row>
    <row r="216">
      <c r="A216" s="18" t="s">
        <v>23</v>
      </c>
      <c r="B216" s="23"/>
      <c r="C216" s="4"/>
      <c r="D216" s="24"/>
      <c r="E216" s="3"/>
      <c r="F216" s="3"/>
      <c r="G216" s="25"/>
      <c r="H216" s="3"/>
      <c r="I216" s="26"/>
      <c r="J216" s="3"/>
      <c r="K216" s="24"/>
      <c r="L216" s="3"/>
      <c r="M216" s="24"/>
      <c r="N216" s="4"/>
      <c r="O216" s="6"/>
      <c r="P216" s="7"/>
      <c r="Q216" s="8"/>
    </row>
    <row r="217">
      <c r="A217" s="18" t="s">
        <v>24</v>
      </c>
      <c r="B217" s="20"/>
      <c r="C217" s="4"/>
      <c r="D217" s="19"/>
      <c r="E217" s="3"/>
      <c r="F217" s="4"/>
      <c r="G217" s="20"/>
      <c r="H217" s="4"/>
      <c r="I217" s="19"/>
      <c r="J217" s="4"/>
      <c r="K217" s="19"/>
      <c r="L217" s="4"/>
      <c r="M217" s="19"/>
      <c r="N217" s="4"/>
      <c r="O217" s="6">
        <f t="shared" ref="O217:O218" si="36">G217-B217</f>
        <v>0</v>
      </c>
      <c r="P217" s="21">
        <v>0.3541666666666667</v>
      </c>
      <c r="Q217" s="8">
        <f t="shared" ref="Q217:Q220" si="37">O217-P217</f>
        <v>-0.3541666667</v>
      </c>
    </row>
    <row r="218">
      <c r="A218" s="18" t="s">
        <v>25</v>
      </c>
      <c r="B218" s="20"/>
      <c r="C218" s="4"/>
      <c r="D218" s="19"/>
      <c r="E218" s="3"/>
      <c r="F218" s="4"/>
      <c r="G218" s="20"/>
      <c r="H218" s="4"/>
      <c r="I218" s="19"/>
      <c r="J218" s="4"/>
      <c r="K218" s="19"/>
      <c r="L218" s="4"/>
      <c r="M218" s="19"/>
      <c r="N218" s="4"/>
      <c r="O218" s="6">
        <f t="shared" si="36"/>
        <v>0</v>
      </c>
      <c r="P218" s="21">
        <v>0.3541666666666667</v>
      </c>
      <c r="Q218" s="8">
        <f t="shared" si="37"/>
        <v>-0.3541666667</v>
      </c>
    </row>
    <row r="219">
      <c r="A219" s="18" t="s">
        <v>26</v>
      </c>
      <c r="B219" s="20"/>
      <c r="C219" s="4"/>
      <c r="D219" s="19"/>
      <c r="E219" s="3"/>
      <c r="F219" s="4"/>
      <c r="G219" s="19"/>
      <c r="H219" s="4"/>
      <c r="I219" s="20"/>
      <c r="J219" s="4"/>
      <c r="K219" s="19"/>
      <c r="L219" s="4"/>
      <c r="M219" s="19"/>
      <c r="N219" s="4"/>
      <c r="O219" s="6">
        <f>I219-B219</f>
        <v>0</v>
      </c>
      <c r="P219" s="21">
        <v>0.3541666666666667</v>
      </c>
      <c r="Q219" s="8">
        <f t="shared" si="37"/>
        <v>-0.3541666667</v>
      </c>
    </row>
    <row r="220">
      <c r="A220" s="22" t="s">
        <v>27</v>
      </c>
      <c r="B220" s="20"/>
      <c r="C220" s="4"/>
      <c r="D220" s="20"/>
      <c r="E220" s="3"/>
      <c r="F220" s="4"/>
      <c r="G220" s="19"/>
      <c r="H220" s="4"/>
      <c r="I220" s="19"/>
      <c r="J220" s="4"/>
      <c r="K220" s="19"/>
      <c r="L220" s="4"/>
      <c r="M220" s="19"/>
      <c r="N220" s="4"/>
      <c r="O220" s="6">
        <f>D220-B220</f>
        <v>0</v>
      </c>
      <c r="P220" s="21">
        <v>0.3541666666666667</v>
      </c>
      <c r="Q220" s="8">
        <f t="shared" si="37"/>
        <v>-0.3541666667</v>
      </c>
    </row>
    <row r="221">
      <c r="A221" s="22" t="s">
        <v>28</v>
      </c>
      <c r="B221" s="19"/>
      <c r="C221" s="4"/>
      <c r="D221" s="19"/>
      <c r="E221" s="3"/>
      <c r="F221" s="4"/>
      <c r="G221" s="19"/>
      <c r="H221" s="4"/>
      <c r="I221" s="19"/>
      <c r="J221" s="4"/>
      <c r="K221" s="19"/>
      <c r="L221" s="4"/>
      <c r="M221" s="19"/>
      <c r="N221" s="4"/>
      <c r="O221" s="6"/>
      <c r="P221" s="7"/>
      <c r="Q221" s="8"/>
    </row>
    <row r="222">
      <c r="A222" s="18" t="s">
        <v>29</v>
      </c>
      <c r="B222" s="20"/>
      <c r="C222" s="4"/>
      <c r="D222" s="19"/>
      <c r="E222" s="3"/>
      <c r="F222" s="4"/>
      <c r="G222" s="20"/>
      <c r="H222" s="4"/>
      <c r="I222" s="19"/>
      <c r="J222" s="4"/>
      <c r="K222" s="19"/>
      <c r="L222" s="4"/>
      <c r="M222" s="19"/>
      <c r="N222" s="4"/>
      <c r="O222" s="6">
        <f>G222-B222</f>
        <v>0</v>
      </c>
      <c r="P222" s="21">
        <v>0.3541666666666667</v>
      </c>
      <c r="Q222" s="8">
        <f t="shared" ref="Q222:Q224" si="38">O222-P222</f>
        <v>-0.3541666667</v>
      </c>
    </row>
    <row r="223">
      <c r="A223" s="18" t="s">
        <v>30</v>
      </c>
      <c r="B223" s="20"/>
      <c r="C223" s="4"/>
      <c r="D223" s="19"/>
      <c r="E223" s="3"/>
      <c r="F223" s="4"/>
      <c r="G223" s="19"/>
      <c r="H223" s="4"/>
      <c r="I223" s="20"/>
      <c r="J223" s="4"/>
      <c r="K223" s="19"/>
      <c r="L223" s="4"/>
      <c r="M223" s="19"/>
      <c r="N223" s="4"/>
      <c r="O223" s="6">
        <f>I223-B223</f>
        <v>0</v>
      </c>
      <c r="P223" s="21">
        <v>0.3541666666666667</v>
      </c>
      <c r="Q223" s="8">
        <f t="shared" si="38"/>
        <v>-0.3541666667</v>
      </c>
    </row>
    <row r="224">
      <c r="A224" s="18" t="s">
        <v>31</v>
      </c>
      <c r="B224" s="20"/>
      <c r="C224" s="4"/>
      <c r="D224" s="19"/>
      <c r="E224" s="3"/>
      <c r="F224" s="4"/>
      <c r="G224" s="20"/>
      <c r="H224" s="4"/>
      <c r="I224" s="19"/>
      <c r="J224" s="4"/>
      <c r="K224" s="19"/>
      <c r="L224" s="4"/>
      <c r="M224" s="19"/>
      <c r="N224" s="4"/>
      <c r="O224" s="6">
        <f>G224-B224</f>
        <v>0</v>
      </c>
      <c r="P224" s="21">
        <v>0.3541666666666667</v>
      </c>
      <c r="Q224" s="8">
        <f t="shared" si="38"/>
        <v>-0.3541666667</v>
      </c>
    </row>
    <row r="225">
      <c r="A225" s="18" t="s">
        <v>32</v>
      </c>
      <c r="B225" s="20"/>
      <c r="C225" s="4"/>
      <c r="D225" s="19"/>
      <c r="E225" s="3"/>
      <c r="F225" s="4"/>
      <c r="G225" s="19"/>
      <c r="H225" s="4"/>
      <c r="I225" s="19"/>
      <c r="J225" s="4"/>
      <c r="K225" s="19"/>
      <c r="L225" s="4"/>
      <c r="M225" s="19"/>
      <c r="N225" s="4"/>
      <c r="O225" s="6"/>
      <c r="P225" s="7"/>
      <c r="Q225" s="8"/>
    </row>
    <row r="226">
      <c r="O226" s="28" t="s">
        <v>10</v>
      </c>
      <c r="P226" s="7"/>
      <c r="Q226" s="8">
        <f>Q213+Q219+Q223</f>
        <v>-1.0625</v>
      </c>
    </row>
    <row r="227">
      <c r="O227" s="6"/>
      <c r="P227" s="7"/>
      <c r="Q227" s="8"/>
    </row>
    <row r="228">
      <c r="A228" s="1" t="s">
        <v>0</v>
      </c>
      <c r="B228" s="2" t="s">
        <v>1</v>
      </c>
      <c r="C228" s="3"/>
      <c r="D228" s="3"/>
      <c r="E228" s="3"/>
      <c r="F228" s="3"/>
      <c r="G228" s="3"/>
      <c r="H228" s="4"/>
      <c r="I228" s="1" t="s">
        <v>2</v>
      </c>
      <c r="J228" s="10" t="s">
        <v>101</v>
      </c>
      <c r="K228" s="3"/>
      <c r="L228" s="3"/>
      <c r="M228" s="3"/>
      <c r="N228" s="4"/>
      <c r="O228" s="6"/>
      <c r="P228" s="7"/>
      <c r="Q228" s="8"/>
    </row>
    <row r="229">
      <c r="A229" s="1" t="s">
        <v>4</v>
      </c>
      <c r="B229" s="37" t="s">
        <v>102</v>
      </c>
      <c r="C229" s="3"/>
      <c r="D229" s="3"/>
      <c r="E229" s="3"/>
      <c r="F229" s="3"/>
      <c r="G229" s="3"/>
      <c r="H229" s="4"/>
      <c r="I229" s="1" t="s">
        <v>6</v>
      </c>
      <c r="J229" s="10">
        <v>13.0</v>
      </c>
      <c r="K229" s="3"/>
      <c r="L229" s="3"/>
      <c r="M229" s="3"/>
      <c r="N229" s="4"/>
      <c r="O229" s="6"/>
      <c r="P229" s="7"/>
      <c r="Q229" s="8"/>
    </row>
    <row r="230">
      <c r="A230" s="11" t="s">
        <v>7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4"/>
      <c r="O230" s="6"/>
      <c r="P230" s="7"/>
      <c r="Q230" s="8"/>
    </row>
    <row r="231">
      <c r="A231" s="15" t="s">
        <v>11</v>
      </c>
      <c r="B231" s="2" t="s">
        <v>12</v>
      </c>
      <c r="C231" s="3"/>
      <c r="D231" s="3"/>
      <c r="E231" s="3"/>
      <c r="F231" s="4"/>
      <c r="G231" s="2" t="s">
        <v>13</v>
      </c>
      <c r="H231" s="3"/>
      <c r="I231" s="3"/>
      <c r="J231" s="3"/>
      <c r="K231" s="10" t="s">
        <v>14</v>
      </c>
      <c r="L231" s="3"/>
      <c r="M231" s="3"/>
      <c r="N231" s="4"/>
      <c r="O231" s="6"/>
      <c r="P231" s="7"/>
      <c r="Q231" s="8"/>
    </row>
    <row r="232">
      <c r="A232" s="16"/>
      <c r="B232" s="17" t="s">
        <v>15</v>
      </c>
      <c r="C232" s="4"/>
      <c r="D232" s="17" t="s">
        <v>16</v>
      </c>
      <c r="E232" s="3"/>
      <c r="F232" s="4"/>
      <c r="G232" s="17" t="s">
        <v>15</v>
      </c>
      <c r="H232" s="4"/>
      <c r="I232" s="17" t="s">
        <v>16</v>
      </c>
      <c r="J232" s="4"/>
      <c r="K232" s="17" t="s">
        <v>15</v>
      </c>
      <c r="L232" s="4"/>
      <c r="M232" s="17" t="s">
        <v>16</v>
      </c>
      <c r="N232" s="4"/>
      <c r="O232" s="6"/>
      <c r="P232" s="7"/>
      <c r="Q232" s="8"/>
    </row>
    <row r="233">
      <c r="A233" s="18" t="s">
        <v>99</v>
      </c>
      <c r="B233" s="33">
        <v>0.47847222222222224</v>
      </c>
      <c r="C233" s="4"/>
      <c r="D233" s="34">
        <v>0.8729166666666667</v>
      </c>
      <c r="E233" s="3"/>
      <c r="F233" s="3"/>
      <c r="G233" s="25"/>
      <c r="H233" s="3"/>
      <c r="I233" s="26"/>
      <c r="J233" s="3"/>
      <c r="K233" s="24"/>
      <c r="L233" s="3"/>
      <c r="M233" s="24"/>
      <c r="N233" s="4"/>
      <c r="O233" s="6">
        <f t="shared" ref="O233:O237" si="39">D233-B233</f>
        <v>0.3944444444</v>
      </c>
      <c r="P233" s="21">
        <v>0.3541666666666667</v>
      </c>
      <c r="Q233" s="8">
        <f t="shared" ref="Q233:Q237" si="40">O233-P233</f>
        <v>0.04027777778</v>
      </c>
    </row>
    <row r="234">
      <c r="A234" s="37" t="s">
        <v>103</v>
      </c>
      <c r="B234" s="20">
        <v>0.36875</v>
      </c>
      <c r="C234" s="4"/>
      <c r="D234" s="20">
        <v>0.8368055555555556</v>
      </c>
      <c r="E234" s="3"/>
      <c r="F234" s="4"/>
      <c r="G234" s="20"/>
      <c r="H234" s="4"/>
      <c r="I234" s="19"/>
      <c r="J234" s="4"/>
      <c r="K234" s="19"/>
      <c r="L234" s="4"/>
      <c r="M234" s="20"/>
      <c r="N234" s="4"/>
      <c r="O234" s="6">
        <f t="shared" si="39"/>
        <v>0.4680555556</v>
      </c>
      <c r="P234" s="21">
        <v>0.3541666666666667</v>
      </c>
      <c r="Q234" s="8">
        <f t="shared" si="40"/>
        <v>0.1138888889</v>
      </c>
    </row>
    <row r="235">
      <c r="A235" s="18" t="s">
        <v>104</v>
      </c>
      <c r="B235" s="20">
        <v>0.3548611111111111</v>
      </c>
      <c r="C235" s="4"/>
      <c r="D235" s="20">
        <v>0.8534722222222222</v>
      </c>
      <c r="E235" s="3"/>
      <c r="F235" s="4"/>
      <c r="G235" s="19"/>
      <c r="H235" s="4"/>
      <c r="I235" s="19"/>
      <c r="J235" s="4"/>
      <c r="K235" s="19"/>
      <c r="L235" s="4"/>
      <c r="M235" s="20"/>
      <c r="N235" s="4"/>
      <c r="O235" s="6">
        <f t="shared" si="39"/>
        <v>0.4986111111</v>
      </c>
      <c r="P235" s="21">
        <v>0.3541666666666667</v>
      </c>
      <c r="Q235" s="8">
        <f t="shared" si="40"/>
        <v>0.1444444444</v>
      </c>
    </row>
    <row r="236">
      <c r="A236" s="18" t="s">
        <v>105</v>
      </c>
      <c r="B236" s="20">
        <v>0.36527777777777776</v>
      </c>
      <c r="C236" s="4"/>
      <c r="D236" s="20">
        <v>0.8756944444444444</v>
      </c>
      <c r="E236" s="3"/>
      <c r="F236" s="4"/>
      <c r="G236" s="19"/>
      <c r="H236" s="4"/>
      <c r="I236" s="19"/>
      <c r="J236" s="4"/>
      <c r="K236" s="19"/>
      <c r="L236" s="4"/>
      <c r="M236" s="19"/>
      <c r="N236" s="4"/>
      <c r="O236" s="6">
        <f t="shared" si="39"/>
        <v>0.5104166667</v>
      </c>
      <c r="P236" s="21">
        <v>0.3541666666666667</v>
      </c>
      <c r="Q236" s="8">
        <f t="shared" si="40"/>
        <v>0.15625</v>
      </c>
    </row>
    <row r="237">
      <c r="A237" s="18" t="s">
        <v>106</v>
      </c>
      <c r="B237" s="20">
        <v>0.36944444444444446</v>
      </c>
      <c r="C237" s="4"/>
      <c r="D237" s="20">
        <v>0.8729166666666667</v>
      </c>
      <c r="E237" s="3"/>
      <c r="F237" s="4"/>
      <c r="G237" s="19"/>
      <c r="H237" s="4"/>
      <c r="I237" s="19"/>
      <c r="J237" s="4"/>
      <c r="K237" s="19"/>
      <c r="L237" s="4"/>
      <c r="M237" s="19"/>
      <c r="N237" s="4"/>
      <c r="O237" s="6">
        <f t="shared" si="39"/>
        <v>0.5034722222</v>
      </c>
      <c r="P237" s="21">
        <v>0.3541666666666667</v>
      </c>
      <c r="Q237" s="8">
        <f t="shared" si="40"/>
        <v>0.1493055556</v>
      </c>
    </row>
    <row r="238">
      <c r="A238" s="22" t="s">
        <v>107</v>
      </c>
      <c r="B238" s="20"/>
      <c r="C238" s="4"/>
      <c r="D238" s="20"/>
      <c r="E238" s="3"/>
      <c r="F238" s="4"/>
      <c r="G238" s="20"/>
      <c r="H238" s="4"/>
      <c r="I238" s="19"/>
      <c r="J238" s="4"/>
      <c r="K238" s="19"/>
      <c r="L238" s="4"/>
      <c r="M238" s="20"/>
      <c r="N238" s="4"/>
      <c r="O238" s="6"/>
      <c r="P238" s="21"/>
      <c r="Q238" s="8"/>
    </row>
    <row r="239">
      <c r="A239" s="22" t="s">
        <v>108</v>
      </c>
      <c r="B239" s="20"/>
      <c r="C239" s="4"/>
      <c r="D239" s="20"/>
      <c r="E239" s="3"/>
      <c r="F239" s="4"/>
      <c r="G239" s="19"/>
      <c r="H239" s="4"/>
      <c r="I239" s="19"/>
      <c r="J239" s="4"/>
      <c r="K239" s="19"/>
      <c r="L239" s="4"/>
      <c r="M239" s="20"/>
      <c r="N239" s="4"/>
      <c r="O239" s="6"/>
      <c r="P239" s="21"/>
      <c r="Q239" s="8"/>
    </row>
    <row r="240">
      <c r="A240" s="18" t="s">
        <v>109</v>
      </c>
      <c r="B240" s="20">
        <v>0.15625</v>
      </c>
      <c r="C240" s="4"/>
      <c r="D240" s="20">
        <v>0.8756944444444444</v>
      </c>
      <c r="E240" s="3"/>
      <c r="F240" s="4"/>
      <c r="G240" s="20"/>
      <c r="H240" s="4"/>
      <c r="I240" s="19"/>
      <c r="J240" s="4"/>
      <c r="K240" s="19"/>
      <c r="L240" s="4"/>
      <c r="M240" s="20"/>
      <c r="N240" s="4"/>
      <c r="O240" s="6">
        <f t="shared" ref="O240:O244" si="41">D240-B240</f>
        <v>0.7194444444</v>
      </c>
      <c r="P240" s="21">
        <v>0.3541666666666667</v>
      </c>
      <c r="Q240" s="8">
        <f t="shared" ref="Q240:Q244" si="42">O240-P240</f>
        <v>0.3652777778</v>
      </c>
    </row>
    <row r="241">
      <c r="A241" s="18" t="s">
        <v>110</v>
      </c>
      <c r="B241" s="33">
        <v>0.3645833333333333</v>
      </c>
      <c r="C241" s="4"/>
      <c r="D241" s="34">
        <v>0.8583333333333333</v>
      </c>
      <c r="E241" s="3"/>
      <c r="F241" s="3"/>
      <c r="G241" s="25"/>
      <c r="H241" s="3"/>
      <c r="I241" s="26"/>
      <c r="J241" s="3"/>
      <c r="K241" s="24"/>
      <c r="L241" s="3"/>
      <c r="M241" s="24"/>
      <c r="N241" s="4"/>
      <c r="O241" s="6">
        <f t="shared" si="41"/>
        <v>0.49375</v>
      </c>
      <c r="P241" s="21">
        <v>0.3541666666666667</v>
      </c>
      <c r="Q241" s="8">
        <f t="shared" si="42"/>
        <v>0.1395833333</v>
      </c>
    </row>
    <row r="242">
      <c r="A242" s="18" t="s">
        <v>111</v>
      </c>
      <c r="B242" s="33">
        <v>0.36875</v>
      </c>
      <c r="C242" s="4"/>
      <c r="D242" s="34">
        <v>0.85625</v>
      </c>
      <c r="E242" s="3"/>
      <c r="F242" s="3"/>
      <c r="G242" s="25"/>
      <c r="H242" s="3"/>
      <c r="I242" s="26"/>
      <c r="J242" s="3"/>
      <c r="K242" s="24"/>
      <c r="L242" s="3"/>
      <c r="M242" s="24"/>
      <c r="N242" s="4"/>
      <c r="O242" s="6">
        <f t="shared" si="41"/>
        <v>0.4875</v>
      </c>
      <c r="P242" s="21">
        <v>0.3541666666666667</v>
      </c>
      <c r="Q242" s="8">
        <f t="shared" si="42"/>
        <v>0.1333333333</v>
      </c>
      <c r="R242" s="48">
        <v>86.06</v>
      </c>
    </row>
    <row r="243">
      <c r="A243" s="18" t="s">
        <v>112</v>
      </c>
      <c r="B243" s="20">
        <v>0.4423611111111111</v>
      </c>
      <c r="C243" s="4"/>
      <c r="D243" s="20">
        <v>0.6923611111111111</v>
      </c>
      <c r="E243" s="3"/>
      <c r="F243" s="4"/>
      <c r="G243" s="19"/>
      <c r="H243" s="4"/>
      <c r="I243" s="19"/>
      <c r="J243" s="4"/>
      <c r="K243" s="19"/>
      <c r="L243" s="4"/>
      <c r="M243" s="19"/>
      <c r="N243" s="4"/>
      <c r="O243" s="6">
        <f t="shared" si="41"/>
        <v>0.25</v>
      </c>
      <c r="P243" s="21">
        <v>0.3541666666666667</v>
      </c>
      <c r="Q243" s="8">
        <f t="shared" si="42"/>
        <v>-0.1041666667</v>
      </c>
    </row>
    <row r="244">
      <c r="A244" s="18" t="s">
        <v>113</v>
      </c>
      <c r="B244" s="20">
        <v>0.36736111111111114</v>
      </c>
      <c r="C244" s="4"/>
      <c r="D244" s="20">
        <v>0.8479166666666667</v>
      </c>
      <c r="E244" s="3"/>
      <c r="F244" s="4"/>
      <c r="G244" s="19"/>
      <c r="H244" s="4"/>
      <c r="I244" s="19"/>
      <c r="J244" s="4"/>
      <c r="K244" s="19"/>
      <c r="L244" s="4"/>
      <c r="M244" s="19"/>
      <c r="N244" s="4"/>
      <c r="O244" s="6">
        <f t="shared" si="41"/>
        <v>0.4805555556</v>
      </c>
      <c r="P244" s="21">
        <v>0.3541666666666667</v>
      </c>
      <c r="Q244" s="8">
        <f t="shared" si="42"/>
        <v>0.1263888889</v>
      </c>
    </row>
    <row r="245">
      <c r="A245" s="22" t="s">
        <v>114</v>
      </c>
      <c r="B245" s="20"/>
      <c r="C245" s="4"/>
      <c r="D245" s="20"/>
      <c r="E245" s="3"/>
      <c r="F245" s="4"/>
      <c r="G245" s="20"/>
      <c r="H245" s="4"/>
      <c r="I245" s="19"/>
      <c r="J245" s="4"/>
      <c r="K245" s="19"/>
      <c r="L245" s="4"/>
      <c r="M245" s="20"/>
      <c r="N245" s="4"/>
      <c r="O245" s="6"/>
      <c r="P245" s="21"/>
      <c r="Q245" s="8"/>
    </row>
    <row r="246">
      <c r="A246" s="22" t="s">
        <v>115</v>
      </c>
      <c r="B246" s="20">
        <v>0.36875</v>
      </c>
      <c r="C246" s="4"/>
      <c r="D246" s="20">
        <v>0.6708333333333333</v>
      </c>
      <c r="E246" s="3"/>
      <c r="F246" s="4"/>
      <c r="G246" s="19"/>
      <c r="H246" s="4"/>
      <c r="I246" s="19"/>
      <c r="J246" s="4"/>
      <c r="K246" s="19"/>
      <c r="L246" s="4"/>
      <c r="M246" s="20"/>
      <c r="N246" s="4"/>
      <c r="O246" s="6">
        <f t="shared" ref="O246:O247" si="43">D246-B246</f>
        <v>0.3020833333</v>
      </c>
      <c r="P246" s="7"/>
      <c r="Q246" s="8">
        <f>O246</f>
        <v>0.3020833333</v>
      </c>
    </row>
    <row r="247">
      <c r="A247" s="18" t="s">
        <v>116</v>
      </c>
      <c r="B247" s="33">
        <v>0.18611111111111112</v>
      </c>
      <c r="C247" s="4"/>
      <c r="D247" s="34">
        <v>0.8347222222222223</v>
      </c>
      <c r="E247" s="3"/>
      <c r="F247" s="3"/>
      <c r="G247" s="25"/>
      <c r="H247" s="3"/>
      <c r="I247" s="26"/>
      <c r="J247" s="3"/>
      <c r="K247" s="24"/>
      <c r="L247" s="3"/>
      <c r="M247" s="24"/>
      <c r="N247" s="4"/>
      <c r="O247" s="6">
        <f t="shared" si="43"/>
        <v>0.6486111111</v>
      </c>
      <c r="P247" s="21">
        <v>0.3541666666666667</v>
      </c>
      <c r="Q247" s="8">
        <f>O247-P247</f>
        <v>0.2944444444</v>
      </c>
    </row>
    <row r="248">
      <c r="A248" s="18" t="s">
        <v>65</v>
      </c>
      <c r="B248" s="23"/>
      <c r="C248" s="4"/>
      <c r="D248" s="24"/>
      <c r="E248" s="3"/>
      <c r="F248" s="3"/>
      <c r="G248" s="25"/>
      <c r="H248" s="3"/>
      <c r="I248" s="26"/>
      <c r="J248" s="3"/>
      <c r="K248" s="24"/>
      <c r="L248" s="3"/>
      <c r="M248" s="24"/>
      <c r="N248" s="4"/>
      <c r="O248" s="6"/>
      <c r="P248" s="7"/>
      <c r="Q248" s="8"/>
    </row>
    <row r="249">
      <c r="O249" s="6"/>
      <c r="P249" s="7"/>
      <c r="Q249" s="8">
        <f>Q233+Q234+Q235+Q236+Q237+Q240+Q241+Q242+Q244+Q246+Q247</f>
        <v>1.965277778</v>
      </c>
    </row>
    <row r="250">
      <c r="O250" s="6"/>
      <c r="P250" s="7"/>
      <c r="Q250" s="8"/>
    </row>
    <row r="251">
      <c r="O251" s="6"/>
      <c r="P251" s="7"/>
      <c r="Q251" s="8"/>
    </row>
    <row r="252">
      <c r="O252" s="6"/>
      <c r="P252" s="7"/>
      <c r="Q252" s="8"/>
    </row>
    <row r="253">
      <c r="O253" s="6"/>
      <c r="P253" s="7"/>
      <c r="Q253" s="8"/>
    </row>
    <row r="254">
      <c r="O254" s="6"/>
      <c r="P254" s="7"/>
      <c r="Q254" s="8"/>
    </row>
    <row r="255">
      <c r="O255" s="6"/>
      <c r="P255" s="7"/>
      <c r="Q255" s="8"/>
    </row>
    <row r="256">
      <c r="O256" s="6"/>
      <c r="P256" s="7"/>
      <c r="Q256" s="8"/>
    </row>
    <row r="257">
      <c r="O257" s="6"/>
      <c r="P257" s="7"/>
      <c r="Q257" s="8"/>
    </row>
    <row r="258">
      <c r="O258" s="6"/>
      <c r="P258" s="7"/>
      <c r="Q258" s="8"/>
    </row>
    <row r="259">
      <c r="O259" s="6"/>
      <c r="P259" s="7"/>
      <c r="Q259" s="8"/>
    </row>
    <row r="260">
      <c r="O260" s="6"/>
      <c r="P260" s="7"/>
      <c r="Q260" s="8"/>
    </row>
    <row r="261">
      <c r="O261" s="6"/>
      <c r="P261" s="7"/>
      <c r="Q261" s="8"/>
    </row>
    <row r="262">
      <c r="O262" s="6"/>
      <c r="P262" s="7"/>
      <c r="Q262" s="8"/>
    </row>
    <row r="263">
      <c r="O263" s="6"/>
      <c r="P263" s="7"/>
      <c r="Q263" s="8"/>
    </row>
    <row r="264">
      <c r="O264" s="6"/>
      <c r="P264" s="7"/>
      <c r="Q264" s="8"/>
    </row>
    <row r="265">
      <c r="O265" s="6"/>
      <c r="P265" s="7"/>
      <c r="Q265" s="8"/>
    </row>
    <row r="266">
      <c r="O266" s="6"/>
      <c r="P266" s="7"/>
      <c r="Q266" s="8"/>
    </row>
    <row r="267">
      <c r="O267" s="6"/>
      <c r="P267" s="7"/>
      <c r="Q267" s="8"/>
    </row>
    <row r="268">
      <c r="O268" s="6"/>
      <c r="P268" s="7"/>
      <c r="Q268" s="8"/>
    </row>
    <row r="269">
      <c r="O269" s="6"/>
      <c r="P269" s="7"/>
      <c r="Q269" s="8"/>
    </row>
    <row r="270">
      <c r="O270" s="6"/>
      <c r="P270" s="7"/>
      <c r="Q270" s="8"/>
    </row>
    <row r="271">
      <c r="O271" s="6"/>
      <c r="P271" s="7"/>
      <c r="Q271" s="8"/>
    </row>
    <row r="272">
      <c r="O272" s="6"/>
      <c r="P272" s="7"/>
      <c r="Q272" s="8"/>
    </row>
    <row r="273">
      <c r="O273" s="6"/>
      <c r="P273" s="7"/>
      <c r="Q273" s="8"/>
    </row>
    <row r="274">
      <c r="O274" s="6"/>
      <c r="P274" s="7"/>
      <c r="Q274" s="8"/>
    </row>
    <row r="275">
      <c r="O275" s="6"/>
      <c r="P275" s="7"/>
      <c r="Q275" s="8"/>
    </row>
    <row r="276">
      <c r="O276" s="6"/>
      <c r="P276" s="7"/>
      <c r="Q276" s="8"/>
    </row>
    <row r="277">
      <c r="O277" s="6"/>
      <c r="P277" s="7"/>
      <c r="Q277" s="8"/>
    </row>
    <row r="278">
      <c r="O278" s="6"/>
      <c r="P278" s="7"/>
      <c r="Q278" s="8"/>
    </row>
    <row r="279">
      <c r="O279" s="6"/>
      <c r="P279" s="7"/>
      <c r="Q279" s="8"/>
    </row>
    <row r="280">
      <c r="O280" s="6"/>
      <c r="P280" s="7"/>
      <c r="Q280" s="8"/>
    </row>
    <row r="281">
      <c r="O281" s="6"/>
      <c r="P281" s="7"/>
      <c r="Q281" s="8"/>
    </row>
    <row r="282">
      <c r="O282" s="6"/>
      <c r="P282" s="7"/>
      <c r="Q282" s="8"/>
    </row>
    <row r="283">
      <c r="O283" s="6"/>
      <c r="P283" s="7"/>
      <c r="Q283" s="8"/>
    </row>
    <row r="284">
      <c r="O284" s="6"/>
      <c r="P284" s="7"/>
      <c r="Q284" s="8"/>
    </row>
    <row r="285">
      <c r="O285" s="6"/>
      <c r="P285" s="7"/>
      <c r="Q285" s="8"/>
    </row>
    <row r="286">
      <c r="O286" s="6"/>
      <c r="P286" s="7"/>
      <c r="Q286" s="8"/>
    </row>
    <row r="287">
      <c r="O287" s="6"/>
      <c r="P287" s="7"/>
      <c r="Q287" s="8"/>
    </row>
    <row r="288">
      <c r="O288" s="6"/>
      <c r="P288" s="7"/>
      <c r="Q288" s="8"/>
    </row>
    <row r="289">
      <c r="O289" s="6"/>
      <c r="P289" s="7"/>
      <c r="Q289" s="8"/>
    </row>
    <row r="290">
      <c r="O290" s="6"/>
      <c r="P290" s="7"/>
      <c r="Q290" s="8"/>
    </row>
    <row r="291">
      <c r="O291" s="6"/>
      <c r="P291" s="7"/>
      <c r="Q291" s="8"/>
    </row>
    <row r="292">
      <c r="O292" s="6"/>
      <c r="P292" s="7"/>
      <c r="Q292" s="8"/>
    </row>
    <row r="293">
      <c r="O293" s="6"/>
      <c r="P293" s="7"/>
      <c r="Q293" s="8"/>
    </row>
    <row r="294">
      <c r="O294" s="6"/>
      <c r="P294" s="7"/>
      <c r="Q294" s="8"/>
    </row>
    <row r="295">
      <c r="O295" s="6"/>
      <c r="P295" s="7"/>
      <c r="Q295" s="8"/>
    </row>
    <row r="296">
      <c r="O296" s="6"/>
      <c r="P296" s="7"/>
      <c r="Q296" s="8"/>
    </row>
    <row r="297">
      <c r="O297" s="6"/>
      <c r="P297" s="7"/>
      <c r="Q297" s="8"/>
    </row>
    <row r="298">
      <c r="O298" s="6"/>
      <c r="P298" s="7"/>
      <c r="Q298" s="8"/>
    </row>
    <row r="299">
      <c r="O299" s="6"/>
      <c r="P299" s="7"/>
      <c r="Q299" s="8"/>
    </row>
    <row r="300">
      <c r="O300" s="6"/>
      <c r="P300" s="7"/>
      <c r="Q300" s="8"/>
    </row>
    <row r="301">
      <c r="O301" s="6"/>
      <c r="P301" s="7"/>
      <c r="Q301" s="8"/>
    </row>
    <row r="302">
      <c r="O302" s="6"/>
      <c r="P302" s="7"/>
      <c r="Q302" s="8"/>
    </row>
    <row r="303">
      <c r="O303" s="6"/>
      <c r="P303" s="7"/>
      <c r="Q303" s="8"/>
    </row>
    <row r="304">
      <c r="O304" s="6"/>
      <c r="P304" s="7"/>
      <c r="Q304" s="8"/>
    </row>
    <row r="305">
      <c r="O305" s="6"/>
      <c r="P305" s="7"/>
      <c r="Q305" s="8"/>
    </row>
    <row r="306">
      <c r="O306" s="6"/>
      <c r="P306" s="7"/>
      <c r="Q306" s="8"/>
    </row>
    <row r="307">
      <c r="O307" s="6"/>
      <c r="P307" s="7"/>
      <c r="Q307" s="8"/>
    </row>
    <row r="308">
      <c r="O308" s="6"/>
      <c r="P308" s="7"/>
      <c r="Q308" s="8"/>
    </row>
    <row r="309">
      <c r="O309" s="6"/>
      <c r="P309" s="7"/>
      <c r="Q309" s="8"/>
    </row>
    <row r="310">
      <c r="O310" s="6"/>
      <c r="P310" s="7"/>
      <c r="Q310" s="8"/>
    </row>
    <row r="311">
      <c r="O311" s="6"/>
      <c r="P311" s="7"/>
      <c r="Q311" s="8"/>
    </row>
    <row r="312">
      <c r="O312" s="6"/>
      <c r="P312" s="7"/>
      <c r="Q312" s="8"/>
    </row>
    <row r="313">
      <c r="O313" s="6"/>
      <c r="P313" s="7"/>
      <c r="Q313" s="8"/>
    </row>
    <row r="314">
      <c r="O314" s="6"/>
      <c r="P314" s="7"/>
      <c r="Q314" s="8"/>
    </row>
    <row r="315">
      <c r="O315" s="6"/>
      <c r="P315" s="7"/>
      <c r="Q315" s="8"/>
    </row>
    <row r="316">
      <c r="O316" s="6"/>
      <c r="P316" s="7"/>
      <c r="Q316" s="8"/>
    </row>
    <row r="317">
      <c r="O317" s="6"/>
      <c r="P317" s="7"/>
      <c r="Q317" s="8"/>
    </row>
    <row r="318">
      <c r="O318" s="6"/>
      <c r="P318" s="7"/>
      <c r="Q318" s="8"/>
    </row>
    <row r="319">
      <c r="O319" s="6"/>
      <c r="P319" s="7"/>
      <c r="Q319" s="8"/>
    </row>
    <row r="320">
      <c r="O320" s="6"/>
      <c r="P320" s="7"/>
      <c r="Q320" s="8"/>
    </row>
    <row r="321">
      <c r="O321" s="6"/>
      <c r="P321" s="7"/>
      <c r="Q321" s="8"/>
    </row>
    <row r="322">
      <c r="O322" s="6"/>
      <c r="P322" s="7"/>
      <c r="Q322" s="8"/>
    </row>
    <row r="323">
      <c r="O323" s="6"/>
      <c r="P323" s="7"/>
      <c r="Q323" s="8"/>
    </row>
    <row r="324">
      <c r="O324" s="6"/>
      <c r="P324" s="7"/>
      <c r="Q324" s="8"/>
    </row>
    <row r="325">
      <c r="O325" s="6"/>
      <c r="P325" s="7"/>
      <c r="Q325" s="8"/>
    </row>
    <row r="326">
      <c r="O326" s="6"/>
      <c r="P326" s="7"/>
      <c r="Q326" s="8"/>
    </row>
    <row r="327">
      <c r="O327" s="6"/>
      <c r="P327" s="7"/>
      <c r="Q327" s="8"/>
    </row>
    <row r="328">
      <c r="O328" s="6"/>
      <c r="P328" s="7"/>
      <c r="Q328" s="8"/>
    </row>
    <row r="329">
      <c r="O329" s="6"/>
      <c r="P329" s="7"/>
      <c r="Q329" s="8"/>
    </row>
    <row r="330">
      <c r="O330" s="6"/>
      <c r="P330" s="7"/>
      <c r="Q330" s="8"/>
    </row>
    <row r="331">
      <c r="O331" s="6"/>
      <c r="P331" s="7"/>
      <c r="Q331" s="8"/>
    </row>
    <row r="332">
      <c r="O332" s="6"/>
      <c r="P332" s="7"/>
      <c r="Q332" s="8"/>
    </row>
    <row r="333">
      <c r="O333" s="6"/>
      <c r="P333" s="7"/>
      <c r="Q333" s="8"/>
    </row>
    <row r="334">
      <c r="O334" s="6"/>
      <c r="P334" s="7"/>
      <c r="Q334" s="8"/>
    </row>
    <row r="335">
      <c r="O335" s="6"/>
      <c r="P335" s="7"/>
      <c r="Q335" s="8"/>
    </row>
    <row r="336">
      <c r="O336" s="6"/>
      <c r="P336" s="7"/>
      <c r="Q336" s="8"/>
    </row>
    <row r="337">
      <c r="O337" s="6"/>
      <c r="P337" s="7"/>
      <c r="Q337" s="8"/>
    </row>
    <row r="338">
      <c r="O338" s="6"/>
      <c r="P338" s="7"/>
      <c r="Q338" s="8"/>
    </row>
    <row r="339">
      <c r="O339" s="6"/>
      <c r="P339" s="7"/>
      <c r="Q339" s="8"/>
    </row>
    <row r="340">
      <c r="O340" s="6"/>
      <c r="P340" s="7"/>
      <c r="Q340" s="8"/>
    </row>
    <row r="341">
      <c r="O341" s="6"/>
      <c r="P341" s="7"/>
      <c r="Q341" s="8"/>
    </row>
    <row r="342">
      <c r="O342" s="6"/>
      <c r="P342" s="7"/>
      <c r="Q342" s="8"/>
    </row>
    <row r="343">
      <c r="O343" s="6"/>
      <c r="P343" s="7"/>
      <c r="Q343" s="8"/>
    </row>
    <row r="344">
      <c r="O344" s="6"/>
      <c r="P344" s="7"/>
      <c r="Q344" s="8"/>
    </row>
    <row r="345">
      <c r="O345" s="6"/>
      <c r="P345" s="7"/>
      <c r="Q345" s="8"/>
    </row>
    <row r="346">
      <c r="O346" s="6"/>
      <c r="P346" s="7"/>
      <c r="Q346" s="8"/>
    </row>
    <row r="347">
      <c r="O347" s="6"/>
      <c r="P347" s="7"/>
      <c r="Q347" s="8"/>
    </row>
    <row r="348">
      <c r="O348" s="6"/>
      <c r="P348" s="7"/>
      <c r="Q348" s="8"/>
    </row>
    <row r="349">
      <c r="O349" s="6"/>
      <c r="P349" s="7"/>
      <c r="Q349" s="8"/>
    </row>
    <row r="350">
      <c r="O350" s="6"/>
      <c r="P350" s="7"/>
      <c r="Q350" s="8"/>
    </row>
    <row r="351">
      <c r="O351" s="6"/>
      <c r="P351" s="7"/>
      <c r="Q351" s="8"/>
    </row>
    <row r="352">
      <c r="O352" s="6"/>
      <c r="P352" s="7"/>
      <c r="Q352" s="8"/>
    </row>
    <row r="353">
      <c r="O353" s="6"/>
      <c r="P353" s="7"/>
      <c r="Q353" s="8"/>
    </row>
    <row r="354">
      <c r="O354" s="6"/>
      <c r="P354" s="7"/>
      <c r="Q354" s="8"/>
    </row>
    <row r="355">
      <c r="O355" s="6"/>
      <c r="P355" s="7"/>
      <c r="Q355" s="8"/>
    </row>
    <row r="356">
      <c r="O356" s="6"/>
      <c r="P356" s="7"/>
      <c r="Q356" s="8"/>
    </row>
    <row r="357">
      <c r="O357" s="6"/>
      <c r="P357" s="7"/>
      <c r="Q357" s="8"/>
    </row>
    <row r="358">
      <c r="O358" s="6"/>
      <c r="P358" s="7"/>
      <c r="Q358" s="8"/>
    </row>
    <row r="359">
      <c r="O359" s="6"/>
      <c r="P359" s="7"/>
      <c r="Q359" s="8"/>
    </row>
    <row r="360">
      <c r="O360" s="6"/>
      <c r="P360" s="7"/>
      <c r="Q360" s="8"/>
    </row>
    <row r="361">
      <c r="O361" s="6"/>
      <c r="P361" s="7"/>
      <c r="Q361" s="8"/>
    </row>
    <row r="362">
      <c r="O362" s="6"/>
      <c r="P362" s="7"/>
      <c r="Q362" s="8"/>
    </row>
    <row r="363">
      <c r="O363" s="6"/>
      <c r="P363" s="7"/>
      <c r="Q363" s="8"/>
    </row>
    <row r="364">
      <c r="O364" s="6"/>
      <c r="P364" s="7"/>
      <c r="Q364" s="8"/>
    </row>
    <row r="365">
      <c r="O365" s="6"/>
      <c r="P365" s="7"/>
      <c r="Q365" s="8"/>
    </row>
    <row r="366">
      <c r="O366" s="6"/>
      <c r="P366" s="7"/>
      <c r="Q366" s="8"/>
    </row>
    <row r="367">
      <c r="O367" s="6"/>
      <c r="P367" s="7"/>
      <c r="Q367" s="8"/>
    </row>
    <row r="368">
      <c r="O368" s="6"/>
      <c r="P368" s="7"/>
      <c r="Q368" s="8"/>
    </row>
    <row r="369">
      <c r="O369" s="6"/>
      <c r="P369" s="7"/>
      <c r="Q369" s="8"/>
    </row>
    <row r="370">
      <c r="O370" s="6"/>
      <c r="P370" s="7"/>
      <c r="Q370" s="8"/>
    </row>
    <row r="371">
      <c r="O371" s="6"/>
      <c r="P371" s="7"/>
      <c r="Q371" s="8"/>
    </row>
    <row r="372">
      <c r="O372" s="6"/>
      <c r="P372" s="7"/>
      <c r="Q372" s="8"/>
    </row>
    <row r="373">
      <c r="O373" s="6"/>
      <c r="P373" s="7"/>
      <c r="Q373" s="8"/>
    </row>
    <row r="374">
      <c r="O374" s="6"/>
      <c r="P374" s="7"/>
      <c r="Q374" s="8"/>
    </row>
    <row r="375">
      <c r="O375" s="6"/>
      <c r="P375" s="7"/>
      <c r="Q375" s="8"/>
    </row>
    <row r="376">
      <c r="O376" s="6"/>
      <c r="P376" s="7"/>
      <c r="Q376" s="8"/>
    </row>
    <row r="377">
      <c r="O377" s="6"/>
      <c r="P377" s="7"/>
      <c r="Q377" s="8"/>
    </row>
    <row r="378">
      <c r="O378" s="6"/>
      <c r="P378" s="7"/>
      <c r="Q378" s="8"/>
    </row>
    <row r="379">
      <c r="O379" s="6"/>
      <c r="P379" s="7"/>
      <c r="Q379" s="8"/>
    </row>
    <row r="380">
      <c r="O380" s="6"/>
      <c r="P380" s="7"/>
      <c r="Q380" s="8"/>
    </row>
    <row r="381">
      <c r="O381" s="6"/>
      <c r="P381" s="7"/>
      <c r="Q381" s="8"/>
    </row>
    <row r="382">
      <c r="O382" s="6"/>
      <c r="P382" s="7"/>
      <c r="Q382" s="8"/>
    </row>
    <row r="383">
      <c r="O383" s="6"/>
      <c r="P383" s="7"/>
      <c r="Q383" s="8"/>
    </row>
    <row r="384">
      <c r="O384" s="6"/>
      <c r="P384" s="7"/>
      <c r="Q384" s="8"/>
    </row>
    <row r="385">
      <c r="O385" s="6"/>
      <c r="P385" s="7"/>
      <c r="Q385" s="8"/>
    </row>
    <row r="386">
      <c r="O386" s="6"/>
      <c r="P386" s="7"/>
      <c r="Q386" s="8"/>
    </row>
    <row r="387">
      <c r="O387" s="6"/>
      <c r="P387" s="7"/>
      <c r="Q387" s="8"/>
    </row>
    <row r="388">
      <c r="O388" s="6"/>
      <c r="P388" s="7"/>
      <c r="Q388" s="8"/>
    </row>
    <row r="389">
      <c r="O389" s="6"/>
      <c r="P389" s="7"/>
      <c r="Q389" s="8"/>
    </row>
    <row r="390">
      <c r="O390" s="6"/>
      <c r="P390" s="7"/>
      <c r="Q390" s="8"/>
    </row>
    <row r="391">
      <c r="O391" s="6"/>
      <c r="P391" s="7"/>
      <c r="Q391" s="8"/>
    </row>
    <row r="392">
      <c r="O392" s="6"/>
      <c r="P392" s="7"/>
      <c r="Q392" s="8"/>
    </row>
    <row r="393">
      <c r="O393" s="6"/>
      <c r="P393" s="7"/>
      <c r="Q393" s="8"/>
    </row>
    <row r="394">
      <c r="O394" s="6"/>
      <c r="P394" s="7"/>
      <c r="Q394" s="8"/>
    </row>
    <row r="395">
      <c r="O395" s="6"/>
      <c r="P395" s="7"/>
      <c r="Q395" s="8"/>
    </row>
    <row r="396">
      <c r="O396" s="6"/>
      <c r="P396" s="7"/>
      <c r="Q396" s="8"/>
    </row>
    <row r="397">
      <c r="O397" s="6"/>
      <c r="P397" s="7"/>
      <c r="Q397" s="8"/>
    </row>
    <row r="398">
      <c r="O398" s="6"/>
      <c r="P398" s="7"/>
      <c r="Q398" s="8"/>
    </row>
    <row r="399">
      <c r="O399" s="6"/>
      <c r="P399" s="7"/>
      <c r="Q399" s="8"/>
    </row>
    <row r="400">
      <c r="O400" s="6"/>
      <c r="P400" s="7"/>
      <c r="Q400" s="8"/>
    </row>
    <row r="401">
      <c r="O401" s="6"/>
      <c r="P401" s="7"/>
      <c r="Q401" s="8"/>
    </row>
    <row r="402">
      <c r="O402" s="6"/>
      <c r="P402" s="7"/>
      <c r="Q402" s="8"/>
    </row>
    <row r="403">
      <c r="O403" s="6"/>
      <c r="P403" s="7"/>
      <c r="Q403" s="8"/>
    </row>
    <row r="404">
      <c r="O404" s="6"/>
      <c r="P404" s="7"/>
      <c r="Q404" s="8"/>
    </row>
    <row r="405">
      <c r="O405" s="6"/>
      <c r="P405" s="7"/>
      <c r="Q405" s="8"/>
    </row>
    <row r="406">
      <c r="O406" s="6"/>
      <c r="P406" s="7"/>
      <c r="Q406" s="8"/>
    </row>
    <row r="407">
      <c r="O407" s="6"/>
      <c r="P407" s="7"/>
      <c r="Q407" s="8"/>
    </row>
    <row r="408">
      <c r="O408" s="6"/>
      <c r="P408" s="7"/>
      <c r="Q408" s="8"/>
    </row>
    <row r="409">
      <c r="O409" s="6"/>
      <c r="P409" s="7"/>
      <c r="Q409" s="8"/>
    </row>
    <row r="410">
      <c r="O410" s="6"/>
      <c r="P410" s="7"/>
      <c r="Q410" s="8"/>
    </row>
    <row r="411">
      <c r="O411" s="6"/>
      <c r="P411" s="7"/>
      <c r="Q411" s="8"/>
    </row>
    <row r="412">
      <c r="O412" s="6"/>
      <c r="P412" s="7"/>
      <c r="Q412" s="8"/>
    </row>
    <row r="413">
      <c r="O413" s="6"/>
      <c r="P413" s="7"/>
      <c r="Q413" s="8"/>
    </row>
    <row r="414">
      <c r="O414" s="6"/>
      <c r="P414" s="7"/>
      <c r="Q414" s="8"/>
    </row>
    <row r="415">
      <c r="O415" s="6"/>
      <c r="P415" s="7"/>
      <c r="Q415" s="8"/>
    </row>
    <row r="416">
      <c r="O416" s="6"/>
      <c r="P416" s="7"/>
      <c r="Q416" s="8"/>
    </row>
    <row r="417">
      <c r="O417" s="6"/>
      <c r="P417" s="7"/>
      <c r="Q417" s="8"/>
    </row>
    <row r="418">
      <c r="O418" s="6"/>
      <c r="P418" s="7"/>
      <c r="Q418" s="8"/>
    </row>
    <row r="419">
      <c r="O419" s="6"/>
      <c r="P419" s="7"/>
      <c r="Q419" s="8"/>
    </row>
    <row r="420">
      <c r="O420" s="6"/>
      <c r="P420" s="7"/>
      <c r="Q420" s="8"/>
    </row>
    <row r="421">
      <c r="O421" s="6"/>
      <c r="P421" s="7"/>
      <c r="Q421" s="8"/>
    </row>
    <row r="422">
      <c r="O422" s="6"/>
      <c r="P422" s="7"/>
      <c r="Q422" s="8"/>
    </row>
    <row r="423">
      <c r="O423" s="6"/>
      <c r="P423" s="7"/>
      <c r="Q423" s="8"/>
    </row>
    <row r="424">
      <c r="O424" s="6"/>
      <c r="P424" s="7"/>
      <c r="Q424" s="8"/>
    </row>
    <row r="425">
      <c r="O425" s="6"/>
      <c r="P425" s="7"/>
      <c r="Q425" s="8"/>
    </row>
    <row r="426">
      <c r="O426" s="6"/>
      <c r="P426" s="7"/>
      <c r="Q426" s="8"/>
    </row>
    <row r="427">
      <c r="O427" s="6"/>
      <c r="P427" s="7"/>
      <c r="Q427" s="8"/>
    </row>
    <row r="428">
      <c r="O428" s="6"/>
      <c r="P428" s="7"/>
      <c r="Q428" s="8"/>
    </row>
    <row r="429">
      <c r="O429" s="6"/>
      <c r="P429" s="7"/>
      <c r="Q429" s="8"/>
    </row>
    <row r="430">
      <c r="O430" s="6"/>
      <c r="P430" s="7"/>
      <c r="Q430" s="8"/>
    </row>
    <row r="431">
      <c r="O431" s="6"/>
      <c r="P431" s="7"/>
      <c r="Q431" s="8"/>
    </row>
    <row r="432">
      <c r="O432" s="6"/>
      <c r="P432" s="7"/>
      <c r="Q432" s="8"/>
    </row>
    <row r="433">
      <c r="O433" s="6"/>
      <c r="P433" s="7"/>
      <c r="Q433" s="8"/>
    </row>
    <row r="434">
      <c r="O434" s="6"/>
      <c r="P434" s="7"/>
      <c r="Q434" s="8"/>
    </row>
    <row r="435">
      <c r="O435" s="6"/>
      <c r="P435" s="7"/>
      <c r="Q435" s="8"/>
    </row>
    <row r="436">
      <c r="O436" s="6"/>
      <c r="P436" s="7"/>
      <c r="Q436" s="8"/>
    </row>
    <row r="437">
      <c r="O437" s="6"/>
      <c r="P437" s="7"/>
      <c r="Q437" s="8"/>
    </row>
    <row r="438">
      <c r="O438" s="6"/>
      <c r="P438" s="7"/>
      <c r="Q438" s="8"/>
    </row>
    <row r="439">
      <c r="O439" s="6"/>
      <c r="P439" s="7"/>
      <c r="Q439" s="8"/>
    </row>
    <row r="440">
      <c r="O440" s="6"/>
      <c r="P440" s="7"/>
      <c r="Q440" s="8"/>
    </row>
    <row r="441">
      <c r="O441" s="6"/>
      <c r="P441" s="7"/>
      <c r="Q441" s="8"/>
    </row>
    <row r="442">
      <c r="O442" s="6"/>
      <c r="P442" s="7"/>
      <c r="Q442" s="8"/>
    </row>
    <row r="443">
      <c r="O443" s="6"/>
      <c r="P443" s="7"/>
      <c r="Q443" s="8"/>
    </row>
    <row r="444">
      <c r="O444" s="6"/>
      <c r="P444" s="7"/>
      <c r="Q444" s="8"/>
    </row>
    <row r="445">
      <c r="O445" s="6"/>
      <c r="P445" s="7"/>
      <c r="Q445" s="8"/>
    </row>
    <row r="446">
      <c r="O446" s="6"/>
      <c r="P446" s="7"/>
      <c r="Q446" s="8"/>
    </row>
    <row r="447">
      <c r="O447" s="6"/>
      <c r="P447" s="7"/>
      <c r="Q447" s="8"/>
    </row>
    <row r="448">
      <c r="O448" s="6"/>
      <c r="P448" s="7"/>
      <c r="Q448" s="8"/>
    </row>
    <row r="449">
      <c r="O449" s="6"/>
      <c r="P449" s="7"/>
      <c r="Q449" s="8"/>
    </row>
    <row r="450">
      <c r="O450" s="6"/>
      <c r="P450" s="7"/>
      <c r="Q450" s="8"/>
    </row>
    <row r="451">
      <c r="O451" s="6"/>
      <c r="P451" s="7"/>
      <c r="Q451" s="8"/>
    </row>
    <row r="452">
      <c r="O452" s="6"/>
      <c r="P452" s="7"/>
      <c r="Q452" s="8"/>
    </row>
    <row r="453">
      <c r="O453" s="6"/>
      <c r="P453" s="7"/>
      <c r="Q453" s="8"/>
    </row>
    <row r="454">
      <c r="O454" s="6"/>
      <c r="P454" s="7"/>
      <c r="Q454" s="8"/>
    </row>
    <row r="455">
      <c r="O455" s="6"/>
      <c r="P455" s="7"/>
      <c r="Q455" s="8"/>
    </row>
    <row r="456">
      <c r="O456" s="6"/>
      <c r="P456" s="7"/>
      <c r="Q456" s="8"/>
    </row>
    <row r="457">
      <c r="O457" s="6"/>
      <c r="P457" s="7"/>
      <c r="Q457" s="8"/>
    </row>
    <row r="458">
      <c r="O458" s="6"/>
      <c r="P458" s="7"/>
      <c r="Q458" s="8"/>
    </row>
    <row r="459">
      <c r="O459" s="6"/>
      <c r="P459" s="7"/>
      <c r="Q459" s="8"/>
    </row>
    <row r="460">
      <c r="O460" s="6"/>
      <c r="P460" s="7"/>
      <c r="Q460" s="8"/>
    </row>
    <row r="461">
      <c r="O461" s="6"/>
      <c r="P461" s="7"/>
      <c r="Q461" s="8"/>
    </row>
    <row r="462">
      <c r="O462" s="6"/>
      <c r="P462" s="7"/>
      <c r="Q462" s="8"/>
    </row>
    <row r="463">
      <c r="O463" s="6"/>
      <c r="P463" s="7"/>
      <c r="Q463" s="8"/>
    </row>
    <row r="464">
      <c r="O464" s="6"/>
      <c r="P464" s="7"/>
      <c r="Q464" s="8"/>
    </row>
    <row r="465">
      <c r="O465" s="6"/>
      <c r="P465" s="7"/>
      <c r="Q465" s="8"/>
    </row>
    <row r="466">
      <c r="O466" s="6"/>
      <c r="P466" s="7"/>
      <c r="Q466" s="8"/>
    </row>
    <row r="467">
      <c r="O467" s="6"/>
      <c r="P467" s="7"/>
      <c r="Q467" s="8"/>
    </row>
    <row r="468">
      <c r="O468" s="6"/>
      <c r="P468" s="7"/>
      <c r="Q468" s="8"/>
    </row>
    <row r="469">
      <c r="O469" s="6"/>
      <c r="P469" s="7"/>
      <c r="Q469" s="8"/>
    </row>
    <row r="470">
      <c r="O470" s="6"/>
      <c r="P470" s="7"/>
      <c r="Q470" s="8"/>
    </row>
    <row r="471">
      <c r="O471" s="6"/>
      <c r="P471" s="7"/>
      <c r="Q471" s="8"/>
    </row>
    <row r="472">
      <c r="O472" s="6"/>
      <c r="P472" s="7"/>
      <c r="Q472" s="8"/>
    </row>
    <row r="473">
      <c r="O473" s="6"/>
      <c r="P473" s="7"/>
      <c r="Q473" s="8"/>
    </row>
    <row r="474">
      <c r="O474" s="6"/>
      <c r="P474" s="7"/>
      <c r="Q474" s="8"/>
    </row>
    <row r="475">
      <c r="O475" s="6"/>
      <c r="P475" s="7"/>
      <c r="Q475" s="8"/>
    </row>
    <row r="476">
      <c r="O476" s="6"/>
      <c r="P476" s="7"/>
      <c r="Q476" s="8"/>
    </row>
    <row r="477">
      <c r="O477" s="6"/>
      <c r="P477" s="7"/>
      <c r="Q477" s="8"/>
    </row>
    <row r="478">
      <c r="O478" s="6"/>
      <c r="P478" s="7"/>
      <c r="Q478" s="8"/>
    </row>
    <row r="479">
      <c r="O479" s="6"/>
      <c r="P479" s="7"/>
      <c r="Q479" s="8"/>
    </row>
    <row r="480">
      <c r="O480" s="6"/>
      <c r="P480" s="7"/>
      <c r="Q480" s="8"/>
    </row>
    <row r="481">
      <c r="O481" s="6"/>
      <c r="P481" s="7"/>
      <c r="Q481" s="8"/>
    </row>
    <row r="482">
      <c r="O482" s="6"/>
      <c r="P482" s="7"/>
      <c r="Q482" s="8"/>
    </row>
    <row r="483">
      <c r="O483" s="6"/>
      <c r="P483" s="7"/>
      <c r="Q483" s="8"/>
    </row>
    <row r="484">
      <c r="O484" s="6"/>
      <c r="P484" s="7"/>
      <c r="Q484" s="8"/>
    </row>
    <row r="485">
      <c r="O485" s="6"/>
      <c r="P485" s="7"/>
      <c r="Q485" s="8"/>
    </row>
    <row r="486">
      <c r="O486" s="6"/>
      <c r="P486" s="7"/>
      <c r="Q486" s="8"/>
    </row>
    <row r="487">
      <c r="O487" s="6"/>
      <c r="P487" s="7"/>
      <c r="Q487" s="8"/>
    </row>
    <row r="488">
      <c r="O488" s="6"/>
      <c r="P488" s="7"/>
      <c r="Q488" s="8"/>
    </row>
    <row r="489">
      <c r="O489" s="6"/>
      <c r="P489" s="7"/>
      <c r="Q489" s="8"/>
    </row>
    <row r="490">
      <c r="O490" s="6"/>
      <c r="P490" s="7"/>
      <c r="Q490" s="8"/>
    </row>
    <row r="491">
      <c r="O491" s="6"/>
      <c r="P491" s="7"/>
      <c r="Q491" s="8"/>
    </row>
    <row r="492">
      <c r="O492" s="6"/>
      <c r="P492" s="7"/>
      <c r="Q492" s="8"/>
    </row>
    <row r="493">
      <c r="O493" s="6"/>
      <c r="P493" s="7"/>
      <c r="Q493" s="8"/>
    </row>
    <row r="494">
      <c r="O494" s="6"/>
      <c r="P494" s="7"/>
      <c r="Q494" s="8"/>
    </row>
    <row r="495">
      <c r="O495" s="6"/>
      <c r="P495" s="7"/>
      <c r="Q495" s="8"/>
    </row>
    <row r="496">
      <c r="O496" s="6"/>
      <c r="P496" s="7"/>
      <c r="Q496" s="8"/>
    </row>
    <row r="497">
      <c r="O497" s="6"/>
      <c r="P497" s="7"/>
      <c r="Q497" s="8"/>
    </row>
    <row r="498">
      <c r="O498" s="6"/>
      <c r="P498" s="7"/>
      <c r="Q498" s="8"/>
    </row>
    <row r="499">
      <c r="O499" s="6"/>
      <c r="P499" s="7"/>
      <c r="Q499" s="8"/>
    </row>
    <row r="500">
      <c r="O500" s="6"/>
      <c r="P500" s="7"/>
      <c r="Q500" s="8"/>
    </row>
    <row r="501">
      <c r="O501" s="6"/>
      <c r="P501" s="7"/>
      <c r="Q501" s="8"/>
    </row>
    <row r="502">
      <c r="O502" s="6"/>
      <c r="P502" s="7"/>
      <c r="Q502" s="8"/>
    </row>
    <row r="503">
      <c r="O503" s="6"/>
      <c r="P503" s="7"/>
      <c r="Q503" s="8"/>
    </row>
    <row r="504">
      <c r="O504" s="6"/>
      <c r="P504" s="7"/>
      <c r="Q504" s="8"/>
    </row>
    <row r="505">
      <c r="O505" s="6"/>
      <c r="P505" s="7"/>
      <c r="Q505" s="8"/>
    </row>
    <row r="506">
      <c r="O506" s="6"/>
      <c r="P506" s="7"/>
      <c r="Q506" s="8"/>
    </row>
    <row r="507">
      <c r="O507" s="6"/>
      <c r="P507" s="7"/>
      <c r="Q507" s="8"/>
    </row>
    <row r="508">
      <c r="O508" s="6"/>
      <c r="P508" s="7"/>
      <c r="Q508" s="8"/>
    </row>
    <row r="509">
      <c r="O509" s="6"/>
      <c r="P509" s="7"/>
      <c r="Q509" s="8"/>
    </row>
    <row r="510">
      <c r="O510" s="6"/>
      <c r="P510" s="7"/>
      <c r="Q510" s="8"/>
    </row>
    <row r="511">
      <c r="O511" s="6"/>
      <c r="P511" s="7"/>
      <c r="Q511" s="8"/>
    </row>
    <row r="512">
      <c r="O512" s="6"/>
      <c r="P512" s="7"/>
      <c r="Q512" s="8"/>
    </row>
    <row r="513">
      <c r="O513" s="6"/>
      <c r="P513" s="7"/>
      <c r="Q513" s="8"/>
    </row>
    <row r="514">
      <c r="O514" s="6"/>
      <c r="P514" s="7"/>
      <c r="Q514" s="8"/>
    </row>
    <row r="515">
      <c r="O515" s="6"/>
      <c r="P515" s="7"/>
      <c r="Q515" s="8"/>
    </row>
    <row r="516">
      <c r="O516" s="6"/>
      <c r="P516" s="7"/>
      <c r="Q516" s="8"/>
    </row>
    <row r="517">
      <c r="O517" s="6"/>
      <c r="P517" s="7"/>
      <c r="Q517" s="8"/>
    </row>
    <row r="518">
      <c r="O518" s="6"/>
      <c r="P518" s="7"/>
      <c r="Q518" s="8"/>
    </row>
    <row r="519">
      <c r="O519" s="6"/>
      <c r="P519" s="7"/>
      <c r="Q519" s="8"/>
    </row>
    <row r="520">
      <c r="O520" s="6"/>
      <c r="P520" s="7"/>
      <c r="Q520" s="8"/>
    </row>
    <row r="521">
      <c r="O521" s="6"/>
      <c r="P521" s="7"/>
      <c r="Q521" s="8"/>
    </row>
    <row r="522">
      <c r="O522" s="6"/>
      <c r="P522" s="7"/>
      <c r="Q522" s="8"/>
    </row>
    <row r="523">
      <c r="O523" s="6"/>
      <c r="P523" s="7"/>
      <c r="Q523" s="8"/>
    </row>
    <row r="524">
      <c r="O524" s="6"/>
      <c r="P524" s="7"/>
      <c r="Q524" s="8"/>
    </row>
    <row r="525">
      <c r="O525" s="6"/>
      <c r="P525" s="7"/>
      <c r="Q525" s="8"/>
    </row>
    <row r="526">
      <c r="O526" s="6"/>
      <c r="P526" s="7"/>
      <c r="Q526" s="8"/>
    </row>
    <row r="527">
      <c r="O527" s="6"/>
      <c r="P527" s="7"/>
      <c r="Q527" s="8"/>
    </row>
    <row r="528">
      <c r="O528" s="6"/>
      <c r="P528" s="7"/>
      <c r="Q528" s="8"/>
    </row>
    <row r="529">
      <c r="O529" s="6"/>
      <c r="P529" s="7"/>
      <c r="Q529" s="8"/>
    </row>
    <row r="530">
      <c r="O530" s="6"/>
      <c r="P530" s="7"/>
      <c r="Q530" s="8"/>
    </row>
    <row r="531">
      <c r="O531" s="6"/>
      <c r="P531" s="7"/>
      <c r="Q531" s="8"/>
    </row>
    <row r="532">
      <c r="O532" s="6"/>
      <c r="P532" s="7"/>
      <c r="Q532" s="8"/>
    </row>
    <row r="533">
      <c r="O533" s="6"/>
      <c r="P533" s="7"/>
      <c r="Q533" s="8"/>
    </row>
    <row r="534">
      <c r="O534" s="6"/>
      <c r="P534" s="7"/>
      <c r="Q534" s="8"/>
    </row>
    <row r="535">
      <c r="O535" s="6"/>
      <c r="P535" s="7"/>
      <c r="Q535" s="8"/>
    </row>
    <row r="536">
      <c r="O536" s="6"/>
      <c r="P536" s="7"/>
      <c r="Q536" s="8"/>
    </row>
    <row r="537">
      <c r="O537" s="6"/>
      <c r="P537" s="7"/>
      <c r="Q537" s="8"/>
    </row>
    <row r="538">
      <c r="O538" s="6"/>
      <c r="P538" s="7"/>
      <c r="Q538" s="8"/>
    </row>
    <row r="539">
      <c r="O539" s="6"/>
      <c r="P539" s="7"/>
      <c r="Q539" s="8"/>
    </row>
    <row r="540">
      <c r="O540" s="6"/>
      <c r="P540" s="7"/>
      <c r="Q540" s="8"/>
    </row>
    <row r="541">
      <c r="O541" s="6"/>
      <c r="P541" s="7"/>
      <c r="Q541" s="8"/>
    </row>
    <row r="542">
      <c r="O542" s="6"/>
      <c r="P542" s="7"/>
      <c r="Q542" s="8"/>
    </row>
    <row r="543">
      <c r="O543" s="6"/>
      <c r="P543" s="7"/>
      <c r="Q543" s="8"/>
    </row>
    <row r="544">
      <c r="O544" s="6"/>
      <c r="P544" s="7"/>
      <c r="Q544" s="8"/>
    </row>
    <row r="545">
      <c r="O545" s="6"/>
      <c r="P545" s="7"/>
      <c r="Q545" s="8"/>
    </row>
    <row r="546">
      <c r="O546" s="6"/>
      <c r="P546" s="7"/>
      <c r="Q546" s="8"/>
    </row>
    <row r="547">
      <c r="O547" s="6"/>
      <c r="P547" s="7"/>
      <c r="Q547" s="8"/>
    </row>
    <row r="548">
      <c r="O548" s="6"/>
      <c r="P548" s="7"/>
      <c r="Q548" s="8"/>
    </row>
    <row r="549">
      <c r="O549" s="6"/>
      <c r="P549" s="7"/>
      <c r="Q549" s="8"/>
    </row>
    <row r="550">
      <c r="O550" s="6"/>
      <c r="P550" s="7"/>
      <c r="Q550" s="8"/>
    </row>
    <row r="551">
      <c r="O551" s="6"/>
      <c r="P551" s="7"/>
      <c r="Q551" s="8"/>
    </row>
    <row r="552">
      <c r="O552" s="6"/>
      <c r="P552" s="7"/>
      <c r="Q552" s="8"/>
    </row>
    <row r="553">
      <c r="O553" s="6"/>
      <c r="P553" s="7"/>
      <c r="Q553" s="8"/>
    </row>
    <row r="554">
      <c r="O554" s="6"/>
      <c r="P554" s="7"/>
      <c r="Q554" s="8"/>
    </row>
    <row r="555">
      <c r="O555" s="6"/>
      <c r="P555" s="7"/>
      <c r="Q555" s="8"/>
    </row>
    <row r="556">
      <c r="O556" s="6"/>
      <c r="P556" s="7"/>
      <c r="Q556" s="8"/>
    </row>
    <row r="557">
      <c r="O557" s="6"/>
      <c r="P557" s="7"/>
      <c r="Q557" s="8"/>
    </row>
    <row r="558">
      <c r="O558" s="6"/>
      <c r="P558" s="7"/>
      <c r="Q558" s="8"/>
    </row>
    <row r="559">
      <c r="O559" s="6"/>
      <c r="P559" s="7"/>
      <c r="Q559" s="8"/>
    </row>
    <row r="560">
      <c r="O560" s="6"/>
      <c r="P560" s="7"/>
      <c r="Q560" s="8"/>
    </row>
    <row r="561">
      <c r="O561" s="6"/>
      <c r="P561" s="7"/>
      <c r="Q561" s="8"/>
    </row>
    <row r="562">
      <c r="O562" s="6"/>
      <c r="P562" s="7"/>
      <c r="Q562" s="8"/>
    </row>
    <row r="563">
      <c r="O563" s="6"/>
      <c r="P563" s="7"/>
      <c r="Q563" s="8"/>
    </row>
    <row r="564">
      <c r="O564" s="6"/>
      <c r="P564" s="7"/>
      <c r="Q564" s="8"/>
    </row>
    <row r="565">
      <c r="O565" s="6"/>
      <c r="P565" s="7"/>
      <c r="Q565" s="8"/>
    </row>
    <row r="566">
      <c r="O566" s="6"/>
      <c r="P566" s="7"/>
      <c r="Q566" s="8"/>
    </row>
    <row r="567">
      <c r="O567" s="6"/>
      <c r="P567" s="7"/>
      <c r="Q567" s="8"/>
    </row>
    <row r="568">
      <c r="O568" s="6"/>
      <c r="P568" s="7"/>
      <c r="Q568" s="8"/>
    </row>
    <row r="569">
      <c r="O569" s="6"/>
      <c r="P569" s="7"/>
      <c r="Q569" s="8"/>
    </row>
    <row r="570">
      <c r="O570" s="6"/>
      <c r="P570" s="7"/>
      <c r="Q570" s="8"/>
    </row>
    <row r="571">
      <c r="O571" s="6"/>
      <c r="P571" s="7"/>
      <c r="Q571" s="8"/>
    </row>
    <row r="572">
      <c r="O572" s="6"/>
      <c r="P572" s="7"/>
      <c r="Q572" s="8"/>
    </row>
    <row r="573">
      <c r="O573" s="6"/>
      <c r="P573" s="7"/>
      <c r="Q573" s="8"/>
    </row>
    <row r="574">
      <c r="O574" s="6"/>
      <c r="P574" s="7"/>
      <c r="Q574" s="8"/>
    </row>
    <row r="575">
      <c r="O575" s="6"/>
      <c r="P575" s="7"/>
      <c r="Q575" s="8"/>
    </row>
    <row r="576">
      <c r="O576" s="6"/>
      <c r="P576" s="7"/>
      <c r="Q576" s="8"/>
    </row>
    <row r="577">
      <c r="O577" s="6"/>
      <c r="P577" s="7"/>
      <c r="Q577" s="8"/>
    </row>
    <row r="578">
      <c r="O578" s="6"/>
      <c r="P578" s="7"/>
      <c r="Q578" s="8"/>
    </row>
    <row r="579">
      <c r="O579" s="6"/>
      <c r="P579" s="7"/>
      <c r="Q579" s="8"/>
    </row>
    <row r="580">
      <c r="O580" s="6"/>
      <c r="P580" s="7"/>
      <c r="Q580" s="8"/>
    </row>
    <row r="581">
      <c r="O581" s="6"/>
      <c r="P581" s="7"/>
      <c r="Q581" s="8"/>
    </row>
    <row r="582">
      <c r="O582" s="6"/>
      <c r="P582" s="7"/>
      <c r="Q582" s="8"/>
    </row>
    <row r="583">
      <c r="O583" s="6"/>
      <c r="P583" s="7"/>
      <c r="Q583" s="8"/>
    </row>
    <row r="584">
      <c r="O584" s="6"/>
      <c r="P584" s="7"/>
      <c r="Q584" s="8"/>
    </row>
    <row r="585">
      <c r="O585" s="6"/>
      <c r="P585" s="7"/>
      <c r="Q585" s="8"/>
    </row>
    <row r="586">
      <c r="O586" s="6"/>
      <c r="P586" s="7"/>
      <c r="Q586" s="8"/>
    </row>
    <row r="587">
      <c r="O587" s="6"/>
      <c r="P587" s="7"/>
      <c r="Q587" s="8"/>
    </row>
    <row r="588">
      <c r="O588" s="6"/>
      <c r="P588" s="7"/>
      <c r="Q588" s="8"/>
    </row>
    <row r="589">
      <c r="O589" s="6"/>
      <c r="P589" s="7"/>
      <c r="Q589" s="8"/>
    </row>
    <row r="590">
      <c r="O590" s="6"/>
      <c r="P590" s="7"/>
      <c r="Q590" s="8"/>
    </row>
    <row r="591">
      <c r="O591" s="6"/>
      <c r="P591" s="7"/>
      <c r="Q591" s="8"/>
    </row>
    <row r="592">
      <c r="O592" s="6"/>
      <c r="P592" s="7"/>
      <c r="Q592" s="8"/>
    </row>
    <row r="593">
      <c r="O593" s="6"/>
      <c r="P593" s="7"/>
      <c r="Q593" s="8"/>
    </row>
    <row r="594">
      <c r="O594" s="6"/>
      <c r="P594" s="7"/>
      <c r="Q594" s="8"/>
    </row>
    <row r="595">
      <c r="O595" s="6"/>
      <c r="P595" s="7"/>
      <c r="Q595" s="8"/>
    </row>
    <row r="596">
      <c r="O596" s="6"/>
      <c r="P596" s="7"/>
      <c r="Q596" s="8"/>
    </row>
    <row r="597">
      <c r="O597" s="6"/>
      <c r="P597" s="7"/>
      <c r="Q597" s="8"/>
    </row>
    <row r="598">
      <c r="O598" s="6"/>
      <c r="P598" s="7"/>
      <c r="Q598" s="8"/>
    </row>
    <row r="599">
      <c r="O599" s="6"/>
      <c r="P599" s="7"/>
      <c r="Q599" s="8"/>
    </row>
    <row r="600">
      <c r="O600" s="6"/>
      <c r="P600" s="7"/>
      <c r="Q600" s="8"/>
    </row>
    <row r="601">
      <c r="O601" s="6"/>
      <c r="P601" s="7"/>
      <c r="Q601" s="8"/>
    </row>
    <row r="602">
      <c r="O602" s="6"/>
      <c r="P602" s="7"/>
      <c r="Q602" s="8"/>
    </row>
    <row r="603">
      <c r="O603" s="6"/>
      <c r="P603" s="7"/>
      <c r="Q603" s="8"/>
    </row>
    <row r="604">
      <c r="O604" s="6"/>
      <c r="P604" s="7"/>
      <c r="Q604" s="8"/>
    </row>
    <row r="605">
      <c r="O605" s="6"/>
      <c r="P605" s="7"/>
      <c r="Q605" s="8"/>
    </row>
    <row r="606">
      <c r="O606" s="6"/>
      <c r="P606" s="7"/>
      <c r="Q606" s="8"/>
    </row>
    <row r="607">
      <c r="O607" s="6"/>
      <c r="P607" s="7"/>
      <c r="Q607" s="8"/>
    </row>
    <row r="608">
      <c r="O608" s="6"/>
      <c r="P608" s="7"/>
      <c r="Q608" s="8"/>
    </row>
    <row r="609">
      <c r="O609" s="6"/>
      <c r="P609" s="7"/>
      <c r="Q609" s="8"/>
    </row>
    <row r="610">
      <c r="O610" s="6"/>
      <c r="P610" s="7"/>
      <c r="Q610" s="8"/>
    </row>
    <row r="611">
      <c r="O611" s="6"/>
      <c r="P611" s="7"/>
      <c r="Q611" s="8"/>
    </row>
    <row r="612">
      <c r="O612" s="6"/>
      <c r="P612" s="7"/>
      <c r="Q612" s="8"/>
    </row>
    <row r="613">
      <c r="O613" s="6"/>
      <c r="P613" s="7"/>
      <c r="Q613" s="8"/>
    </row>
    <row r="614">
      <c r="O614" s="6"/>
      <c r="P614" s="7"/>
      <c r="Q614" s="8"/>
    </row>
    <row r="615">
      <c r="O615" s="6"/>
      <c r="P615" s="7"/>
      <c r="Q615" s="8"/>
    </row>
    <row r="616">
      <c r="O616" s="6"/>
      <c r="P616" s="7"/>
      <c r="Q616" s="8"/>
    </row>
    <row r="617">
      <c r="O617" s="6"/>
      <c r="P617" s="7"/>
      <c r="Q617" s="8"/>
    </row>
    <row r="618">
      <c r="O618" s="6"/>
      <c r="P618" s="7"/>
      <c r="Q618" s="8"/>
    </row>
    <row r="619">
      <c r="O619" s="6"/>
      <c r="P619" s="7"/>
      <c r="Q619" s="8"/>
    </row>
    <row r="620">
      <c r="O620" s="6"/>
      <c r="P620" s="7"/>
      <c r="Q620" s="8"/>
    </row>
    <row r="621">
      <c r="O621" s="6"/>
      <c r="P621" s="7"/>
      <c r="Q621" s="8"/>
    </row>
    <row r="622">
      <c r="O622" s="6"/>
      <c r="P622" s="7"/>
      <c r="Q622" s="8"/>
    </row>
    <row r="623">
      <c r="O623" s="6"/>
      <c r="P623" s="7"/>
      <c r="Q623" s="8"/>
    </row>
    <row r="624">
      <c r="O624" s="6"/>
      <c r="P624" s="7"/>
      <c r="Q624" s="8"/>
    </row>
    <row r="625">
      <c r="O625" s="6"/>
      <c r="P625" s="7"/>
      <c r="Q625" s="8"/>
    </row>
    <row r="626">
      <c r="O626" s="6"/>
      <c r="P626" s="7"/>
      <c r="Q626" s="8"/>
    </row>
    <row r="627">
      <c r="O627" s="6"/>
      <c r="P627" s="7"/>
      <c r="Q627" s="8"/>
    </row>
    <row r="628">
      <c r="O628" s="6"/>
      <c r="P628" s="7"/>
      <c r="Q628" s="8"/>
    </row>
    <row r="629">
      <c r="O629" s="6"/>
      <c r="P629" s="7"/>
      <c r="Q629" s="8"/>
    </row>
    <row r="630">
      <c r="O630" s="6"/>
      <c r="P630" s="7"/>
      <c r="Q630" s="8"/>
    </row>
    <row r="631">
      <c r="O631" s="6"/>
      <c r="P631" s="7"/>
      <c r="Q631" s="8"/>
    </row>
    <row r="632">
      <c r="O632" s="6"/>
      <c r="P632" s="7"/>
      <c r="Q632" s="8"/>
    </row>
    <row r="633">
      <c r="O633" s="6"/>
      <c r="P633" s="7"/>
      <c r="Q633" s="8"/>
    </row>
    <row r="634">
      <c r="O634" s="6"/>
      <c r="P634" s="7"/>
      <c r="Q634" s="8"/>
    </row>
    <row r="635">
      <c r="O635" s="6"/>
      <c r="P635" s="7"/>
      <c r="Q635" s="8"/>
    </row>
    <row r="636">
      <c r="O636" s="6"/>
      <c r="P636" s="7"/>
      <c r="Q636" s="8"/>
    </row>
    <row r="637">
      <c r="O637" s="6"/>
      <c r="P637" s="7"/>
      <c r="Q637" s="8"/>
    </row>
    <row r="638">
      <c r="O638" s="6"/>
      <c r="P638" s="7"/>
      <c r="Q638" s="8"/>
    </row>
    <row r="639">
      <c r="O639" s="6"/>
      <c r="P639" s="7"/>
      <c r="Q639" s="8"/>
    </row>
    <row r="640">
      <c r="O640" s="6"/>
      <c r="P640" s="7"/>
      <c r="Q640" s="8"/>
    </row>
    <row r="641">
      <c r="O641" s="6"/>
      <c r="P641" s="7"/>
      <c r="Q641" s="8"/>
    </row>
    <row r="642">
      <c r="O642" s="6"/>
      <c r="P642" s="7"/>
      <c r="Q642" s="8"/>
    </row>
    <row r="643">
      <c r="O643" s="6"/>
      <c r="P643" s="7"/>
      <c r="Q643" s="8"/>
    </row>
    <row r="644">
      <c r="O644" s="6"/>
      <c r="P644" s="7"/>
      <c r="Q644" s="8"/>
    </row>
    <row r="645">
      <c r="O645" s="6"/>
      <c r="P645" s="7"/>
      <c r="Q645" s="8"/>
    </row>
    <row r="646">
      <c r="O646" s="6"/>
      <c r="P646" s="7"/>
      <c r="Q646" s="8"/>
    </row>
    <row r="647">
      <c r="O647" s="6"/>
      <c r="P647" s="7"/>
      <c r="Q647" s="8"/>
    </row>
    <row r="648">
      <c r="O648" s="6"/>
      <c r="P648" s="7"/>
      <c r="Q648" s="8"/>
    </row>
    <row r="649">
      <c r="O649" s="6"/>
      <c r="P649" s="7"/>
      <c r="Q649" s="8"/>
    </row>
    <row r="650">
      <c r="O650" s="6"/>
      <c r="P650" s="7"/>
      <c r="Q650" s="8"/>
    </row>
    <row r="651">
      <c r="O651" s="6"/>
      <c r="P651" s="7"/>
      <c r="Q651" s="8"/>
    </row>
    <row r="652">
      <c r="O652" s="6"/>
      <c r="P652" s="7"/>
      <c r="Q652" s="8"/>
    </row>
    <row r="653">
      <c r="O653" s="6"/>
      <c r="P653" s="7"/>
      <c r="Q653" s="8"/>
    </row>
    <row r="654">
      <c r="O654" s="6"/>
      <c r="P654" s="7"/>
      <c r="Q654" s="8"/>
    </row>
    <row r="655">
      <c r="O655" s="6"/>
      <c r="P655" s="7"/>
      <c r="Q655" s="8"/>
    </row>
    <row r="656">
      <c r="O656" s="6"/>
      <c r="P656" s="7"/>
      <c r="Q656" s="8"/>
    </row>
    <row r="657">
      <c r="O657" s="6"/>
      <c r="P657" s="7"/>
      <c r="Q657" s="8"/>
    </row>
    <row r="658">
      <c r="O658" s="6"/>
      <c r="P658" s="7"/>
      <c r="Q658" s="8"/>
    </row>
    <row r="659">
      <c r="O659" s="6"/>
      <c r="P659" s="7"/>
      <c r="Q659" s="8"/>
    </row>
    <row r="660">
      <c r="O660" s="6"/>
      <c r="P660" s="7"/>
      <c r="Q660" s="8"/>
    </row>
    <row r="661">
      <c r="O661" s="6"/>
      <c r="P661" s="7"/>
      <c r="Q661" s="8"/>
    </row>
    <row r="662">
      <c r="O662" s="6"/>
      <c r="P662" s="7"/>
      <c r="Q662" s="8"/>
    </row>
    <row r="663">
      <c r="O663" s="6"/>
      <c r="P663" s="7"/>
      <c r="Q663" s="8"/>
    </row>
    <row r="664">
      <c r="O664" s="6"/>
      <c r="P664" s="7"/>
      <c r="Q664" s="8"/>
    </row>
    <row r="665">
      <c r="O665" s="6"/>
      <c r="P665" s="7"/>
      <c r="Q665" s="8"/>
    </row>
    <row r="666">
      <c r="O666" s="6"/>
      <c r="P666" s="7"/>
      <c r="Q666" s="8"/>
    </row>
    <row r="667">
      <c r="O667" s="6"/>
      <c r="P667" s="7"/>
      <c r="Q667" s="8"/>
    </row>
    <row r="668">
      <c r="O668" s="6"/>
      <c r="P668" s="7"/>
      <c r="Q668" s="8"/>
    </row>
    <row r="669">
      <c r="O669" s="6"/>
      <c r="P669" s="7"/>
      <c r="Q669" s="8"/>
    </row>
    <row r="670">
      <c r="O670" s="6"/>
      <c r="P670" s="7"/>
      <c r="Q670" s="8"/>
    </row>
    <row r="671">
      <c r="O671" s="6"/>
      <c r="P671" s="7"/>
      <c r="Q671" s="8"/>
    </row>
    <row r="672">
      <c r="O672" s="6"/>
      <c r="P672" s="7"/>
      <c r="Q672" s="8"/>
    </row>
    <row r="673">
      <c r="O673" s="6"/>
      <c r="P673" s="7"/>
      <c r="Q673" s="8"/>
    </row>
    <row r="674">
      <c r="O674" s="6"/>
      <c r="P674" s="7"/>
      <c r="Q674" s="8"/>
    </row>
    <row r="675">
      <c r="O675" s="6"/>
      <c r="P675" s="7"/>
      <c r="Q675" s="8"/>
    </row>
    <row r="676">
      <c r="O676" s="6"/>
      <c r="P676" s="7"/>
      <c r="Q676" s="8"/>
    </row>
    <row r="677">
      <c r="O677" s="6"/>
      <c r="P677" s="7"/>
      <c r="Q677" s="8"/>
    </row>
    <row r="678">
      <c r="O678" s="6"/>
      <c r="P678" s="7"/>
      <c r="Q678" s="8"/>
    </row>
    <row r="679">
      <c r="O679" s="6"/>
      <c r="P679" s="7"/>
      <c r="Q679" s="8"/>
    </row>
    <row r="680">
      <c r="O680" s="6"/>
      <c r="P680" s="7"/>
      <c r="Q680" s="8"/>
    </row>
    <row r="681">
      <c r="O681" s="6"/>
      <c r="P681" s="7"/>
      <c r="Q681" s="8"/>
    </row>
    <row r="682">
      <c r="O682" s="6"/>
      <c r="P682" s="7"/>
      <c r="Q682" s="8"/>
    </row>
    <row r="683">
      <c r="O683" s="6"/>
      <c r="P683" s="7"/>
      <c r="Q683" s="8"/>
    </row>
    <row r="684">
      <c r="O684" s="6"/>
      <c r="P684" s="7"/>
      <c r="Q684" s="8"/>
    </row>
    <row r="685">
      <c r="O685" s="6"/>
      <c r="P685" s="7"/>
      <c r="Q685" s="8"/>
    </row>
    <row r="686">
      <c r="O686" s="6"/>
      <c r="P686" s="7"/>
      <c r="Q686" s="8"/>
    </row>
    <row r="687">
      <c r="O687" s="6"/>
      <c r="P687" s="7"/>
      <c r="Q687" s="8"/>
    </row>
    <row r="688">
      <c r="O688" s="6"/>
      <c r="P688" s="7"/>
      <c r="Q688" s="8"/>
    </row>
    <row r="689">
      <c r="O689" s="6"/>
      <c r="P689" s="7"/>
      <c r="Q689" s="8"/>
    </row>
    <row r="690">
      <c r="O690" s="6"/>
      <c r="P690" s="7"/>
      <c r="Q690" s="8"/>
    </row>
    <row r="691">
      <c r="O691" s="6"/>
      <c r="P691" s="7"/>
      <c r="Q691" s="8"/>
    </row>
    <row r="692">
      <c r="O692" s="6"/>
      <c r="P692" s="7"/>
      <c r="Q692" s="8"/>
    </row>
    <row r="693">
      <c r="O693" s="6"/>
      <c r="P693" s="7"/>
      <c r="Q693" s="8"/>
    </row>
    <row r="694">
      <c r="O694" s="6"/>
      <c r="P694" s="7"/>
      <c r="Q694" s="8"/>
    </row>
    <row r="695">
      <c r="O695" s="6"/>
      <c r="P695" s="7"/>
      <c r="Q695" s="8"/>
    </row>
    <row r="696">
      <c r="O696" s="6"/>
      <c r="P696" s="7"/>
      <c r="Q696" s="8"/>
    </row>
    <row r="697">
      <c r="O697" s="6"/>
      <c r="P697" s="7"/>
      <c r="Q697" s="8"/>
    </row>
    <row r="698">
      <c r="O698" s="6"/>
      <c r="P698" s="7"/>
      <c r="Q698" s="8"/>
    </row>
    <row r="699">
      <c r="O699" s="6"/>
      <c r="P699" s="7"/>
      <c r="Q699" s="8"/>
    </row>
    <row r="700">
      <c r="O700" s="6"/>
      <c r="P700" s="7"/>
      <c r="Q700" s="8"/>
    </row>
    <row r="701">
      <c r="O701" s="6"/>
      <c r="P701" s="7"/>
      <c r="Q701" s="8"/>
    </row>
    <row r="702">
      <c r="O702" s="6"/>
      <c r="P702" s="7"/>
      <c r="Q702" s="8"/>
    </row>
    <row r="703">
      <c r="O703" s="6"/>
      <c r="P703" s="7"/>
      <c r="Q703" s="8"/>
    </row>
    <row r="704">
      <c r="O704" s="6"/>
      <c r="P704" s="7"/>
      <c r="Q704" s="8"/>
    </row>
    <row r="705">
      <c r="O705" s="6"/>
      <c r="P705" s="7"/>
      <c r="Q705" s="8"/>
    </row>
    <row r="706">
      <c r="O706" s="6"/>
      <c r="P706" s="7"/>
      <c r="Q706" s="8"/>
    </row>
    <row r="707">
      <c r="O707" s="6"/>
      <c r="P707" s="7"/>
      <c r="Q707" s="8"/>
    </row>
    <row r="708">
      <c r="O708" s="6"/>
      <c r="P708" s="7"/>
      <c r="Q708" s="8"/>
    </row>
    <row r="709">
      <c r="O709" s="6"/>
      <c r="P709" s="7"/>
      <c r="Q709" s="8"/>
    </row>
    <row r="710">
      <c r="O710" s="6"/>
      <c r="P710" s="7"/>
      <c r="Q710" s="8"/>
    </row>
    <row r="711">
      <c r="O711" s="6"/>
      <c r="P711" s="7"/>
      <c r="Q711" s="8"/>
    </row>
    <row r="712">
      <c r="O712" s="6"/>
      <c r="P712" s="7"/>
      <c r="Q712" s="8"/>
    </row>
    <row r="713">
      <c r="O713" s="6"/>
      <c r="P713" s="7"/>
      <c r="Q713" s="8"/>
    </row>
    <row r="714">
      <c r="O714" s="6"/>
      <c r="P714" s="7"/>
      <c r="Q714" s="8"/>
    </row>
    <row r="715">
      <c r="O715" s="6"/>
      <c r="P715" s="7"/>
      <c r="Q715" s="8"/>
    </row>
    <row r="716">
      <c r="O716" s="6"/>
      <c r="P716" s="7"/>
      <c r="Q716" s="8"/>
    </row>
    <row r="717">
      <c r="O717" s="6"/>
      <c r="P717" s="7"/>
      <c r="Q717" s="8"/>
    </row>
    <row r="718">
      <c r="O718" s="6"/>
      <c r="P718" s="7"/>
      <c r="Q718" s="8"/>
    </row>
    <row r="719">
      <c r="O719" s="6"/>
      <c r="P719" s="7"/>
      <c r="Q719" s="8"/>
    </row>
    <row r="720">
      <c r="O720" s="6"/>
      <c r="P720" s="7"/>
      <c r="Q720" s="8"/>
    </row>
    <row r="721">
      <c r="O721" s="6"/>
      <c r="P721" s="7"/>
      <c r="Q721" s="8"/>
    </row>
    <row r="722">
      <c r="O722" s="6"/>
      <c r="P722" s="7"/>
      <c r="Q722" s="8"/>
    </row>
    <row r="723">
      <c r="O723" s="6"/>
      <c r="P723" s="7"/>
      <c r="Q723" s="8"/>
    </row>
    <row r="724">
      <c r="O724" s="6"/>
      <c r="P724" s="7"/>
      <c r="Q724" s="8"/>
    </row>
    <row r="725">
      <c r="O725" s="6"/>
      <c r="P725" s="7"/>
      <c r="Q725" s="8"/>
    </row>
    <row r="726">
      <c r="O726" s="6"/>
      <c r="P726" s="7"/>
      <c r="Q726" s="8"/>
    </row>
    <row r="727">
      <c r="O727" s="6"/>
      <c r="P727" s="7"/>
      <c r="Q727" s="8"/>
    </row>
    <row r="728">
      <c r="O728" s="6"/>
      <c r="P728" s="7"/>
      <c r="Q728" s="8"/>
    </row>
    <row r="729">
      <c r="O729" s="6"/>
      <c r="P729" s="7"/>
      <c r="Q729" s="8"/>
    </row>
    <row r="730">
      <c r="O730" s="6"/>
      <c r="P730" s="7"/>
      <c r="Q730" s="8"/>
    </row>
    <row r="731">
      <c r="O731" s="6"/>
      <c r="P731" s="7"/>
      <c r="Q731" s="8"/>
    </row>
    <row r="732">
      <c r="O732" s="6"/>
      <c r="P732" s="7"/>
      <c r="Q732" s="8"/>
    </row>
    <row r="733">
      <c r="O733" s="6"/>
      <c r="P733" s="7"/>
      <c r="Q733" s="8"/>
    </row>
    <row r="734">
      <c r="O734" s="6"/>
      <c r="P734" s="7"/>
      <c r="Q734" s="8"/>
    </row>
    <row r="735">
      <c r="O735" s="6"/>
      <c r="P735" s="7"/>
      <c r="Q735" s="8"/>
    </row>
    <row r="736">
      <c r="O736" s="6"/>
      <c r="P736" s="7"/>
      <c r="Q736" s="8"/>
    </row>
    <row r="737">
      <c r="O737" s="6"/>
      <c r="P737" s="7"/>
      <c r="Q737" s="8"/>
    </row>
    <row r="738">
      <c r="O738" s="6"/>
      <c r="P738" s="7"/>
      <c r="Q738" s="8"/>
    </row>
    <row r="739">
      <c r="O739" s="6"/>
      <c r="P739" s="7"/>
      <c r="Q739" s="8"/>
    </row>
    <row r="740">
      <c r="O740" s="6"/>
      <c r="P740" s="7"/>
      <c r="Q740" s="8"/>
    </row>
    <row r="741">
      <c r="O741" s="6"/>
      <c r="P741" s="7"/>
      <c r="Q741" s="8"/>
    </row>
    <row r="742">
      <c r="O742" s="6"/>
      <c r="P742" s="7"/>
      <c r="Q742" s="8"/>
    </row>
    <row r="743">
      <c r="O743" s="6"/>
      <c r="P743" s="7"/>
      <c r="Q743" s="8"/>
    </row>
    <row r="744">
      <c r="O744" s="6"/>
      <c r="P744" s="7"/>
      <c r="Q744" s="8"/>
    </row>
    <row r="745">
      <c r="O745" s="6"/>
      <c r="P745" s="7"/>
      <c r="Q745" s="8"/>
    </row>
    <row r="746">
      <c r="O746" s="6"/>
      <c r="P746" s="7"/>
      <c r="Q746" s="8"/>
    </row>
    <row r="747">
      <c r="O747" s="6"/>
      <c r="P747" s="7"/>
      <c r="Q747" s="8"/>
    </row>
    <row r="748">
      <c r="O748" s="6"/>
      <c r="P748" s="7"/>
      <c r="Q748" s="8"/>
    </row>
    <row r="749">
      <c r="O749" s="6"/>
      <c r="P749" s="7"/>
      <c r="Q749" s="8"/>
    </row>
    <row r="750">
      <c r="O750" s="6"/>
      <c r="P750" s="7"/>
      <c r="Q750" s="8"/>
    </row>
    <row r="751">
      <c r="O751" s="6"/>
      <c r="P751" s="7"/>
      <c r="Q751" s="8"/>
    </row>
    <row r="752">
      <c r="O752" s="6"/>
      <c r="P752" s="7"/>
      <c r="Q752" s="8"/>
    </row>
    <row r="753">
      <c r="O753" s="6"/>
      <c r="P753" s="7"/>
      <c r="Q753" s="8"/>
    </row>
    <row r="754">
      <c r="O754" s="6"/>
      <c r="P754" s="7"/>
      <c r="Q754" s="8"/>
    </row>
    <row r="755">
      <c r="O755" s="6"/>
      <c r="P755" s="7"/>
      <c r="Q755" s="8"/>
    </row>
    <row r="756">
      <c r="O756" s="6"/>
      <c r="P756" s="7"/>
      <c r="Q756" s="8"/>
    </row>
    <row r="757">
      <c r="O757" s="6"/>
      <c r="P757" s="7"/>
      <c r="Q757" s="8"/>
    </row>
    <row r="758">
      <c r="O758" s="6"/>
      <c r="P758" s="7"/>
      <c r="Q758" s="8"/>
    </row>
    <row r="759">
      <c r="O759" s="6"/>
      <c r="P759" s="7"/>
      <c r="Q759" s="8"/>
    </row>
    <row r="760">
      <c r="O760" s="6"/>
      <c r="P760" s="7"/>
      <c r="Q760" s="8"/>
    </row>
    <row r="761">
      <c r="O761" s="6"/>
      <c r="P761" s="7"/>
      <c r="Q761" s="8"/>
    </row>
    <row r="762">
      <c r="O762" s="6"/>
      <c r="P762" s="7"/>
      <c r="Q762" s="8"/>
    </row>
    <row r="763">
      <c r="O763" s="6"/>
      <c r="P763" s="7"/>
      <c r="Q763" s="8"/>
    </row>
    <row r="764">
      <c r="O764" s="6"/>
      <c r="P764" s="7"/>
      <c r="Q764" s="8"/>
    </row>
    <row r="765">
      <c r="O765" s="6"/>
      <c r="P765" s="7"/>
      <c r="Q765" s="8"/>
    </row>
    <row r="766">
      <c r="O766" s="6"/>
      <c r="P766" s="7"/>
      <c r="Q766" s="8"/>
    </row>
    <row r="767">
      <c r="O767" s="6"/>
      <c r="P767" s="7"/>
      <c r="Q767" s="8"/>
    </row>
    <row r="768">
      <c r="O768" s="6"/>
      <c r="P768" s="7"/>
      <c r="Q768" s="8"/>
    </row>
    <row r="769">
      <c r="O769" s="6"/>
      <c r="P769" s="7"/>
      <c r="Q769" s="8"/>
    </row>
    <row r="770">
      <c r="O770" s="6"/>
      <c r="P770" s="7"/>
      <c r="Q770" s="8"/>
    </row>
    <row r="771">
      <c r="O771" s="6"/>
      <c r="P771" s="7"/>
      <c r="Q771" s="8"/>
    </row>
    <row r="772">
      <c r="O772" s="6"/>
      <c r="P772" s="7"/>
      <c r="Q772" s="8"/>
    </row>
    <row r="773">
      <c r="O773" s="6"/>
      <c r="P773" s="7"/>
      <c r="Q773" s="8"/>
    </row>
    <row r="774">
      <c r="O774" s="6"/>
      <c r="P774" s="7"/>
      <c r="Q774" s="8"/>
    </row>
    <row r="775">
      <c r="O775" s="6"/>
      <c r="P775" s="7"/>
      <c r="Q775" s="8"/>
    </row>
    <row r="776">
      <c r="O776" s="6"/>
      <c r="P776" s="7"/>
      <c r="Q776" s="8"/>
    </row>
    <row r="777">
      <c r="O777" s="6"/>
      <c r="P777" s="7"/>
      <c r="Q777" s="8"/>
    </row>
    <row r="778">
      <c r="O778" s="6"/>
      <c r="P778" s="7"/>
      <c r="Q778" s="8"/>
    </row>
    <row r="779">
      <c r="O779" s="6"/>
      <c r="P779" s="7"/>
      <c r="Q779" s="8"/>
    </row>
    <row r="780">
      <c r="O780" s="6"/>
      <c r="P780" s="7"/>
      <c r="Q780" s="8"/>
    </row>
    <row r="781">
      <c r="O781" s="6"/>
      <c r="P781" s="7"/>
      <c r="Q781" s="8"/>
    </row>
    <row r="782">
      <c r="O782" s="6"/>
      <c r="P782" s="7"/>
      <c r="Q782" s="8"/>
    </row>
    <row r="783">
      <c r="O783" s="6"/>
      <c r="P783" s="7"/>
      <c r="Q783" s="8"/>
    </row>
    <row r="784">
      <c r="O784" s="6"/>
      <c r="P784" s="7"/>
      <c r="Q784" s="8"/>
    </row>
    <row r="785">
      <c r="O785" s="6"/>
      <c r="P785" s="7"/>
      <c r="Q785" s="8"/>
    </row>
    <row r="786">
      <c r="O786" s="6"/>
      <c r="P786" s="7"/>
      <c r="Q786" s="8"/>
    </row>
    <row r="787">
      <c r="O787" s="6"/>
      <c r="P787" s="7"/>
      <c r="Q787" s="8"/>
    </row>
    <row r="788">
      <c r="O788" s="6"/>
      <c r="P788" s="7"/>
      <c r="Q788" s="8"/>
    </row>
    <row r="789">
      <c r="O789" s="6"/>
      <c r="P789" s="7"/>
      <c r="Q789" s="8"/>
    </row>
    <row r="790">
      <c r="O790" s="6"/>
      <c r="P790" s="7"/>
      <c r="Q790" s="8"/>
    </row>
    <row r="791">
      <c r="O791" s="6"/>
      <c r="P791" s="7"/>
      <c r="Q791" s="8"/>
    </row>
    <row r="792">
      <c r="O792" s="6"/>
      <c r="P792" s="7"/>
      <c r="Q792" s="8"/>
    </row>
    <row r="793">
      <c r="O793" s="6"/>
      <c r="P793" s="7"/>
      <c r="Q793" s="8"/>
    </row>
    <row r="794">
      <c r="O794" s="6"/>
      <c r="P794" s="7"/>
      <c r="Q794" s="8"/>
    </row>
    <row r="795">
      <c r="O795" s="6"/>
      <c r="P795" s="7"/>
      <c r="Q795" s="8"/>
    </row>
    <row r="796">
      <c r="O796" s="6"/>
      <c r="P796" s="7"/>
      <c r="Q796" s="8"/>
    </row>
    <row r="797">
      <c r="O797" s="6"/>
      <c r="P797" s="7"/>
      <c r="Q797" s="8"/>
    </row>
    <row r="798">
      <c r="O798" s="6"/>
      <c r="P798" s="7"/>
      <c r="Q798" s="8"/>
    </row>
    <row r="799">
      <c r="O799" s="6"/>
      <c r="P799" s="7"/>
      <c r="Q799" s="8"/>
    </row>
    <row r="800">
      <c r="O800" s="6"/>
      <c r="P800" s="7"/>
      <c r="Q800" s="8"/>
    </row>
    <row r="801">
      <c r="O801" s="6"/>
      <c r="P801" s="7"/>
      <c r="Q801" s="8"/>
    </row>
    <row r="802">
      <c r="O802" s="6"/>
      <c r="P802" s="7"/>
      <c r="Q802" s="8"/>
    </row>
    <row r="803">
      <c r="O803" s="6"/>
      <c r="P803" s="7"/>
      <c r="Q803" s="8"/>
    </row>
    <row r="804">
      <c r="O804" s="6"/>
      <c r="P804" s="7"/>
      <c r="Q804" s="8"/>
    </row>
    <row r="805">
      <c r="O805" s="6"/>
      <c r="P805" s="7"/>
      <c r="Q805" s="8"/>
    </row>
    <row r="806">
      <c r="O806" s="6"/>
      <c r="P806" s="7"/>
      <c r="Q806" s="8"/>
    </row>
    <row r="807">
      <c r="O807" s="6"/>
      <c r="P807" s="7"/>
      <c r="Q807" s="8"/>
    </row>
    <row r="808">
      <c r="O808" s="6"/>
      <c r="P808" s="7"/>
      <c r="Q808" s="8"/>
    </row>
    <row r="809">
      <c r="O809" s="6"/>
      <c r="P809" s="7"/>
      <c r="Q809" s="8"/>
    </row>
    <row r="810">
      <c r="O810" s="6"/>
      <c r="P810" s="7"/>
      <c r="Q810" s="8"/>
    </row>
    <row r="811">
      <c r="O811" s="6"/>
      <c r="P811" s="7"/>
      <c r="Q811" s="8"/>
    </row>
    <row r="812">
      <c r="O812" s="6"/>
      <c r="P812" s="7"/>
      <c r="Q812" s="8"/>
    </row>
    <row r="813">
      <c r="O813" s="6"/>
      <c r="P813" s="7"/>
      <c r="Q813" s="8"/>
    </row>
    <row r="814">
      <c r="O814" s="6"/>
      <c r="P814" s="7"/>
      <c r="Q814" s="8"/>
    </row>
    <row r="815">
      <c r="O815" s="6"/>
      <c r="P815" s="7"/>
      <c r="Q815" s="8"/>
    </row>
    <row r="816">
      <c r="O816" s="6"/>
      <c r="P816" s="7"/>
      <c r="Q816" s="8"/>
    </row>
    <row r="817">
      <c r="O817" s="6"/>
      <c r="P817" s="7"/>
      <c r="Q817" s="8"/>
    </row>
    <row r="818">
      <c r="O818" s="6"/>
      <c r="P818" s="7"/>
      <c r="Q818" s="8"/>
    </row>
    <row r="819">
      <c r="O819" s="6"/>
      <c r="P819" s="7"/>
      <c r="Q819" s="8"/>
    </row>
    <row r="820">
      <c r="O820" s="6"/>
      <c r="P820" s="7"/>
      <c r="Q820" s="8"/>
    </row>
    <row r="821">
      <c r="O821" s="6"/>
      <c r="P821" s="7"/>
      <c r="Q821" s="8"/>
    </row>
    <row r="822">
      <c r="O822" s="6"/>
      <c r="P822" s="7"/>
      <c r="Q822" s="8"/>
    </row>
    <row r="823">
      <c r="O823" s="6"/>
      <c r="P823" s="7"/>
      <c r="Q823" s="8"/>
    </row>
    <row r="824">
      <c r="O824" s="6"/>
      <c r="P824" s="7"/>
      <c r="Q824" s="8"/>
    </row>
    <row r="825">
      <c r="O825" s="6"/>
      <c r="P825" s="7"/>
      <c r="Q825" s="8"/>
    </row>
    <row r="826">
      <c r="O826" s="6"/>
      <c r="P826" s="7"/>
      <c r="Q826" s="8"/>
    </row>
    <row r="827">
      <c r="O827" s="6"/>
      <c r="P827" s="7"/>
      <c r="Q827" s="8"/>
    </row>
    <row r="828">
      <c r="O828" s="6"/>
      <c r="P828" s="7"/>
      <c r="Q828" s="8"/>
    </row>
    <row r="829">
      <c r="O829" s="6"/>
      <c r="P829" s="7"/>
      <c r="Q829" s="8"/>
    </row>
    <row r="830">
      <c r="O830" s="6"/>
      <c r="P830" s="7"/>
      <c r="Q830" s="8"/>
    </row>
    <row r="831">
      <c r="O831" s="6"/>
      <c r="P831" s="7"/>
      <c r="Q831" s="8"/>
    </row>
    <row r="832">
      <c r="O832" s="6"/>
      <c r="P832" s="7"/>
      <c r="Q832" s="8"/>
    </row>
    <row r="833">
      <c r="O833" s="6"/>
      <c r="P833" s="7"/>
      <c r="Q833" s="8"/>
    </row>
    <row r="834">
      <c r="O834" s="6"/>
      <c r="P834" s="7"/>
      <c r="Q834" s="8"/>
    </row>
    <row r="835">
      <c r="O835" s="6"/>
      <c r="P835" s="7"/>
      <c r="Q835" s="8"/>
    </row>
    <row r="836">
      <c r="O836" s="6"/>
      <c r="P836" s="7"/>
      <c r="Q836" s="8"/>
    </row>
    <row r="837">
      <c r="O837" s="6"/>
      <c r="P837" s="7"/>
      <c r="Q837" s="8"/>
    </row>
    <row r="838">
      <c r="O838" s="6"/>
      <c r="P838" s="7"/>
      <c r="Q838" s="8"/>
    </row>
    <row r="839">
      <c r="O839" s="6"/>
      <c r="P839" s="7"/>
      <c r="Q839" s="8"/>
    </row>
    <row r="840">
      <c r="O840" s="6"/>
      <c r="P840" s="7"/>
      <c r="Q840" s="8"/>
    </row>
    <row r="841">
      <c r="O841" s="6"/>
      <c r="P841" s="7"/>
      <c r="Q841" s="8"/>
    </row>
    <row r="842">
      <c r="O842" s="6"/>
      <c r="P842" s="7"/>
      <c r="Q842" s="8"/>
    </row>
    <row r="843">
      <c r="O843" s="6"/>
      <c r="P843" s="7"/>
      <c r="Q843" s="8"/>
    </row>
    <row r="844">
      <c r="O844" s="6"/>
      <c r="P844" s="7"/>
      <c r="Q844" s="8"/>
    </row>
    <row r="845">
      <c r="O845" s="6"/>
      <c r="P845" s="7"/>
      <c r="Q845" s="8"/>
    </row>
    <row r="846">
      <c r="O846" s="6"/>
      <c r="P846" s="7"/>
      <c r="Q846" s="8"/>
    </row>
    <row r="847">
      <c r="O847" s="6"/>
      <c r="P847" s="7"/>
      <c r="Q847" s="8"/>
    </row>
    <row r="848">
      <c r="O848" s="6"/>
      <c r="P848" s="7"/>
      <c r="Q848" s="8"/>
    </row>
    <row r="849">
      <c r="O849" s="6"/>
      <c r="P849" s="7"/>
      <c r="Q849" s="8"/>
    </row>
    <row r="850">
      <c r="O850" s="6"/>
      <c r="P850" s="7"/>
      <c r="Q850" s="8"/>
    </row>
    <row r="851">
      <c r="O851" s="6"/>
      <c r="P851" s="7"/>
      <c r="Q851" s="8"/>
    </row>
    <row r="852">
      <c r="O852" s="6"/>
      <c r="P852" s="7"/>
      <c r="Q852" s="8"/>
    </row>
    <row r="853">
      <c r="O853" s="6"/>
      <c r="P853" s="7"/>
      <c r="Q853" s="8"/>
    </row>
    <row r="854">
      <c r="O854" s="6"/>
      <c r="P854" s="7"/>
      <c r="Q854" s="8"/>
    </row>
    <row r="855">
      <c r="O855" s="6"/>
      <c r="P855" s="7"/>
      <c r="Q855" s="8"/>
    </row>
    <row r="856">
      <c r="O856" s="6"/>
      <c r="P856" s="7"/>
      <c r="Q856" s="8"/>
    </row>
    <row r="857">
      <c r="O857" s="6"/>
      <c r="P857" s="7"/>
      <c r="Q857" s="8"/>
    </row>
    <row r="858">
      <c r="O858" s="6"/>
      <c r="P858" s="7"/>
      <c r="Q858" s="8"/>
    </row>
    <row r="859">
      <c r="O859" s="6"/>
      <c r="P859" s="7"/>
      <c r="Q859" s="8"/>
    </row>
    <row r="860">
      <c r="O860" s="6"/>
      <c r="P860" s="7"/>
      <c r="Q860" s="8"/>
    </row>
    <row r="861">
      <c r="O861" s="6"/>
      <c r="P861" s="7"/>
      <c r="Q861" s="8"/>
    </row>
    <row r="862">
      <c r="O862" s="6"/>
      <c r="P862" s="7"/>
      <c r="Q862" s="8"/>
    </row>
    <row r="863">
      <c r="O863" s="6"/>
      <c r="P863" s="7"/>
      <c r="Q863" s="8"/>
    </row>
    <row r="864">
      <c r="O864" s="6"/>
      <c r="P864" s="7"/>
      <c r="Q864" s="8"/>
    </row>
    <row r="865">
      <c r="O865" s="6"/>
      <c r="P865" s="7"/>
      <c r="Q865" s="8"/>
    </row>
    <row r="866">
      <c r="O866" s="6"/>
      <c r="P866" s="7"/>
      <c r="Q866" s="8"/>
    </row>
    <row r="867">
      <c r="O867" s="6"/>
      <c r="P867" s="7"/>
      <c r="Q867" s="8"/>
    </row>
    <row r="868">
      <c r="O868" s="6"/>
      <c r="P868" s="7"/>
      <c r="Q868" s="8"/>
    </row>
    <row r="869">
      <c r="O869" s="6"/>
      <c r="P869" s="7"/>
      <c r="Q869" s="8"/>
    </row>
    <row r="870">
      <c r="O870" s="6"/>
      <c r="P870" s="7"/>
      <c r="Q870" s="8"/>
    </row>
    <row r="871">
      <c r="O871" s="6"/>
      <c r="P871" s="7"/>
      <c r="Q871" s="8"/>
    </row>
    <row r="872">
      <c r="O872" s="6"/>
      <c r="P872" s="7"/>
      <c r="Q872" s="8"/>
    </row>
    <row r="873">
      <c r="O873" s="6"/>
      <c r="P873" s="7"/>
      <c r="Q873" s="8"/>
    </row>
    <row r="874">
      <c r="O874" s="6"/>
      <c r="P874" s="7"/>
      <c r="Q874" s="8"/>
    </row>
    <row r="875">
      <c r="O875" s="6"/>
      <c r="P875" s="7"/>
      <c r="Q875" s="8"/>
    </row>
    <row r="876">
      <c r="O876" s="6"/>
      <c r="P876" s="7"/>
      <c r="Q876" s="8"/>
    </row>
    <row r="877">
      <c r="O877" s="6"/>
      <c r="P877" s="7"/>
      <c r="Q877" s="8"/>
    </row>
    <row r="878">
      <c r="O878" s="6"/>
      <c r="P878" s="7"/>
      <c r="Q878" s="8"/>
    </row>
    <row r="879">
      <c r="O879" s="6"/>
      <c r="P879" s="7"/>
      <c r="Q879" s="8"/>
    </row>
    <row r="880">
      <c r="O880" s="6"/>
      <c r="P880" s="7"/>
      <c r="Q880" s="8"/>
    </row>
    <row r="881">
      <c r="O881" s="6"/>
      <c r="P881" s="7"/>
      <c r="Q881" s="8"/>
    </row>
    <row r="882">
      <c r="O882" s="6"/>
      <c r="P882" s="7"/>
      <c r="Q882" s="8"/>
    </row>
    <row r="883">
      <c r="O883" s="6"/>
      <c r="P883" s="7"/>
      <c r="Q883" s="8"/>
    </row>
    <row r="884">
      <c r="O884" s="6"/>
      <c r="P884" s="7"/>
      <c r="Q884" s="8"/>
    </row>
    <row r="885">
      <c r="O885" s="6"/>
      <c r="P885" s="7"/>
      <c r="Q885" s="8"/>
    </row>
    <row r="886">
      <c r="O886" s="6"/>
      <c r="P886" s="7"/>
      <c r="Q886" s="8"/>
    </row>
    <row r="887">
      <c r="O887" s="6"/>
      <c r="P887" s="7"/>
      <c r="Q887" s="8"/>
    </row>
    <row r="888">
      <c r="O888" s="6"/>
      <c r="P888" s="7"/>
      <c r="Q888" s="8"/>
    </row>
    <row r="889">
      <c r="O889" s="6"/>
      <c r="P889" s="7"/>
      <c r="Q889" s="8"/>
    </row>
    <row r="890">
      <c r="O890" s="6"/>
      <c r="P890" s="7"/>
      <c r="Q890" s="8"/>
    </row>
    <row r="891">
      <c r="O891" s="6"/>
      <c r="P891" s="7"/>
      <c r="Q891" s="8"/>
    </row>
    <row r="892">
      <c r="O892" s="6"/>
      <c r="P892" s="7"/>
      <c r="Q892" s="8"/>
    </row>
    <row r="893">
      <c r="O893" s="6"/>
      <c r="P893" s="7"/>
      <c r="Q893" s="8"/>
    </row>
    <row r="894">
      <c r="O894" s="6"/>
      <c r="P894" s="7"/>
      <c r="Q894" s="8"/>
    </row>
    <row r="895">
      <c r="O895" s="6"/>
      <c r="P895" s="7"/>
      <c r="Q895" s="8"/>
    </row>
    <row r="896">
      <c r="O896" s="6"/>
      <c r="P896" s="7"/>
      <c r="Q896" s="8"/>
    </row>
    <row r="897">
      <c r="O897" s="6"/>
      <c r="P897" s="7"/>
      <c r="Q897" s="8"/>
    </row>
    <row r="898">
      <c r="O898" s="6"/>
      <c r="P898" s="7"/>
      <c r="Q898" s="8"/>
    </row>
    <row r="899">
      <c r="O899" s="6"/>
      <c r="P899" s="7"/>
      <c r="Q899" s="8"/>
    </row>
    <row r="900">
      <c r="O900" s="6"/>
      <c r="P900" s="7"/>
      <c r="Q900" s="8"/>
    </row>
    <row r="901">
      <c r="O901" s="6"/>
      <c r="P901" s="7"/>
      <c r="Q901" s="8"/>
    </row>
    <row r="902">
      <c r="O902" s="6"/>
      <c r="P902" s="7"/>
      <c r="Q902" s="8"/>
    </row>
    <row r="903">
      <c r="O903" s="6"/>
      <c r="P903" s="7"/>
      <c r="Q903" s="8"/>
    </row>
    <row r="904">
      <c r="O904" s="6"/>
      <c r="P904" s="7"/>
      <c r="Q904" s="8"/>
    </row>
    <row r="905">
      <c r="O905" s="6"/>
      <c r="P905" s="7"/>
      <c r="Q905" s="8"/>
    </row>
    <row r="906">
      <c r="O906" s="6"/>
      <c r="P906" s="7"/>
      <c r="Q906" s="8"/>
    </row>
    <row r="907">
      <c r="O907" s="6"/>
      <c r="P907" s="7"/>
      <c r="Q907" s="8"/>
    </row>
    <row r="908">
      <c r="O908" s="6"/>
      <c r="P908" s="7"/>
      <c r="Q908" s="8"/>
    </row>
    <row r="909">
      <c r="O909" s="6"/>
      <c r="P909" s="7"/>
      <c r="Q909" s="8"/>
    </row>
    <row r="910">
      <c r="O910" s="6"/>
      <c r="P910" s="7"/>
      <c r="Q910" s="8"/>
    </row>
    <row r="911">
      <c r="O911" s="6"/>
      <c r="P911" s="7"/>
      <c r="Q911" s="8"/>
    </row>
    <row r="912">
      <c r="O912" s="6"/>
      <c r="P912" s="7"/>
      <c r="Q912" s="8"/>
    </row>
    <row r="913">
      <c r="O913" s="6"/>
      <c r="P913" s="7"/>
      <c r="Q913" s="8"/>
    </row>
    <row r="914">
      <c r="O914" s="6"/>
      <c r="P914" s="7"/>
      <c r="Q914" s="8"/>
    </row>
    <row r="915">
      <c r="O915" s="6"/>
      <c r="P915" s="7"/>
      <c r="Q915" s="8"/>
    </row>
    <row r="916">
      <c r="O916" s="6"/>
      <c r="P916" s="7"/>
      <c r="Q916" s="8"/>
    </row>
    <row r="917">
      <c r="O917" s="6"/>
      <c r="P917" s="7"/>
      <c r="Q917" s="8"/>
    </row>
    <row r="918">
      <c r="O918" s="6"/>
      <c r="P918" s="7"/>
      <c r="Q918" s="8"/>
    </row>
    <row r="919">
      <c r="O919" s="6"/>
      <c r="P919" s="7"/>
      <c r="Q919" s="8"/>
    </row>
    <row r="920">
      <c r="O920" s="6"/>
      <c r="P920" s="7"/>
      <c r="Q920" s="8"/>
    </row>
    <row r="921">
      <c r="O921" s="6"/>
      <c r="P921" s="7"/>
      <c r="Q921" s="8"/>
    </row>
    <row r="922">
      <c r="O922" s="6"/>
      <c r="P922" s="7"/>
      <c r="Q922" s="8"/>
    </row>
    <row r="923">
      <c r="O923" s="6"/>
      <c r="P923" s="7"/>
      <c r="Q923" s="8"/>
    </row>
    <row r="924">
      <c r="O924" s="6"/>
      <c r="P924" s="7"/>
      <c r="Q924" s="8"/>
    </row>
    <row r="925">
      <c r="O925" s="6"/>
      <c r="P925" s="7"/>
      <c r="Q925" s="8"/>
    </row>
    <row r="926">
      <c r="O926" s="6"/>
      <c r="P926" s="7"/>
      <c r="Q926" s="8"/>
    </row>
    <row r="927">
      <c r="O927" s="6"/>
      <c r="P927" s="7"/>
      <c r="Q927" s="8"/>
    </row>
    <row r="928">
      <c r="O928" s="6"/>
      <c r="P928" s="7"/>
      <c r="Q928" s="8"/>
    </row>
    <row r="929">
      <c r="O929" s="6"/>
      <c r="P929" s="7"/>
      <c r="Q929" s="8"/>
    </row>
    <row r="930">
      <c r="O930" s="6"/>
      <c r="P930" s="7"/>
      <c r="Q930" s="8"/>
    </row>
    <row r="931">
      <c r="O931" s="6"/>
      <c r="P931" s="7"/>
      <c r="Q931" s="8"/>
    </row>
    <row r="932">
      <c r="O932" s="6"/>
      <c r="P932" s="7"/>
      <c r="Q932" s="8"/>
    </row>
    <row r="933">
      <c r="O933" s="6"/>
      <c r="P933" s="7"/>
      <c r="Q933" s="8"/>
    </row>
    <row r="934">
      <c r="O934" s="6"/>
      <c r="P934" s="7"/>
      <c r="Q934" s="8"/>
    </row>
    <row r="935">
      <c r="O935" s="6"/>
      <c r="P935" s="7"/>
      <c r="Q935" s="8"/>
    </row>
    <row r="936">
      <c r="O936" s="6"/>
      <c r="P936" s="7"/>
      <c r="Q936" s="8"/>
    </row>
    <row r="937">
      <c r="O937" s="6"/>
      <c r="P937" s="7"/>
      <c r="Q937" s="8"/>
    </row>
    <row r="938">
      <c r="O938" s="6"/>
      <c r="P938" s="7"/>
      <c r="Q938" s="8"/>
    </row>
    <row r="939">
      <c r="O939" s="6"/>
      <c r="P939" s="7"/>
      <c r="Q939" s="8"/>
    </row>
    <row r="940">
      <c r="O940" s="6"/>
      <c r="P940" s="7"/>
      <c r="Q940" s="8"/>
    </row>
    <row r="941">
      <c r="O941" s="6"/>
      <c r="P941" s="7"/>
      <c r="Q941" s="8"/>
    </row>
    <row r="942">
      <c r="O942" s="6"/>
      <c r="P942" s="7"/>
      <c r="Q942" s="8"/>
    </row>
    <row r="943">
      <c r="O943" s="6"/>
      <c r="P943" s="7"/>
      <c r="Q943" s="8"/>
    </row>
    <row r="944">
      <c r="O944" s="6"/>
      <c r="P944" s="7"/>
      <c r="Q944" s="8"/>
    </row>
    <row r="945">
      <c r="O945" s="6"/>
      <c r="P945" s="7"/>
      <c r="Q945" s="8"/>
    </row>
  </sheetData>
  <mergeCells count="1225">
    <mergeCell ref="B205:H205"/>
    <mergeCell ref="B206:H206"/>
    <mergeCell ref="J206:N206"/>
    <mergeCell ref="A207:N207"/>
    <mergeCell ref="B208:F208"/>
    <mergeCell ref="G208:J208"/>
    <mergeCell ref="K208:N208"/>
    <mergeCell ref="A208:A209"/>
    <mergeCell ref="B209:C209"/>
    <mergeCell ref="D209:F209"/>
    <mergeCell ref="G209:H209"/>
    <mergeCell ref="I209:J209"/>
    <mergeCell ref="K209:L209"/>
    <mergeCell ref="M209:N209"/>
    <mergeCell ref="I211:J211"/>
    <mergeCell ref="K211:L211"/>
    <mergeCell ref="I212:J212"/>
    <mergeCell ref="K212:L212"/>
    <mergeCell ref="M212:N212"/>
    <mergeCell ref="I213:J213"/>
    <mergeCell ref="K213:L213"/>
    <mergeCell ref="M213:N213"/>
    <mergeCell ref="B210:C210"/>
    <mergeCell ref="D210:F210"/>
    <mergeCell ref="G210:H210"/>
    <mergeCell ref="I210:J210"/>
    <mergeCell ref="K210:L210"/>
    <mergeCell ref="M210:N210"/>
    <mergeCell ref="B211:C211"/>
    <mergeCell ref="M211:N211"/>
    <mergeCell ref="D211:F211"/>
    <mergeCell ref="G211:H211"/>
    <mergeCell ref="B212:C212"/>
    <mergeCell ref="D212:F212"/>
    <mergeCell ref="G212:H212"/>
    <mergeCell ref="D213:F213"/>
    <mergeCell ref="G213:H213"/>
    <mergeCell ref="B213:C213"/>
    <mergeCell ref="B214:C214"/>
    <mergeCell ref="D214:F214"/>
    <mergeCell ref="G214:H214"/>
    <mergeCell ref="I214:J214"/>
    <mergeCell ref="K214:L214"/>
    <mergeCell ref="M214:N214"/>
    <mergeCell ref="I216:J216"/>
    <mergeCell ref="K216:L216"/>
    <mergeCell ref="B215:C215"/>
    <mergeCell ref="D215:F215"/>
    <mergeCell ref="G215:H215"/>
    <mergeCell ref="I215:J215"/>
    <mergeCell ref="K215:L215"/>
    <mergeCell ref="M215:N215"/>
    <mergeCell ref="B216:C216"/>
    <mergeCell ref="M216:N216"/>
    <mergeCell ref="D216:F216"/>
    <mergeCell ref="G216:H216"/>
    <mergeCell ref="D217:F217"/>
    <mergeCell ref="G217:H217"/>
    <mergeCell ref="I217:J217"/>
    <mergeCell ref="K217:L217"/>
    <mergeCell ref="M217:N217"/>
    <mergeCell ref="B217:C217"/>
    <mergeCell ref="B218:C218"/>
    <mergeCell ref="D218:F218"/>
    <mergeCell ref="G218:H218"/>
    <mergeCell ref="I218:J218"/>
    <mergeCell ref="K218:L218"/>
    <mergeCell ref="M218:N218"/>
    <mergeCell ref="I220:J220"/>
    <mergeCell ref="K220:L220"/>
    <mergeCell ref="I221:J221"/>
    <mergeCell ref="K221:L221"/>
    <mergeCell ref="M221:N221"/>
    <mergeCell ref="I222:J222"/>
    <mergeCell ref="K222:L222"/>
    <mergeCell ref="M222:N222"/>
    <mergeCell ref="B219:C219"/>
    <mergeCell ref="D219:F219"/>
    <mergeCell ref="G219:H219"/>
    <mergeCell ref="I219:J219"/>
    <mergeCell ref="K219:L219"/>
    <mergeCell ref="M219:N219"/>
    <mergeCell ref="B220:C220"/>
    <mergeCell ref="M220:N220"/>
    <mergeCell ref="D220:F220"/>
    <mergeCell ref="G220:H220"/>
    <mergeCell ref="B221:C221"/>
    <mergeCell ref="D221:F221"/>
    <mergeCell ref="G221:H221"/>
    <mergeCell ref="D222:F222"/>
    <mergeCell ref="G222:H222"/>
    <mergeCell ref="B222:C222"/>
    <mergeCell ref="B223:C223"/>
    <mergeCell ref="D223:F223"/>
    <mergeCell ref="G223:H223"/>
    <mergeCell ref="I223:J223"/>
    <mergeCell ref="K223:L223"/>
    <mergeCell ref="M223:N223"/>
    <mergeCell ref="B232:C232"/>
    <mergeCell ref="D232:F232"/>
    <mergeCell ref="B233:C233"/>
    <mergeCell ref="D233:F233"/>
    <mergeCell ref="B234:C234"/>
    <mergeCell ref="D234:F234"/>
    <mergeCell ref="D235:F235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36:F236"/>
    <mergeCell ref="D237:F237"/>
    <mergeCell ref="B238:C238"/>
    <mergeCell ref="D238:F238"/>
    <mergeCell ref="B239:C239"/>
    <mergeCell ref="D239:F239"/>
    <mergeCell ref="D240:F240"/>
    <mergeCell ref="B247:C247"/>
    <mergeCell ref="B248:C248"/>
    <mergeCell ref="B240:C240"/>
    <mergeCell ref="B241:C241"/>
    <mergeCell ref="B242:C242"/>
    <mergeCell ref="B243:C243"/>
    <mergeCell ref="B244:C244"/>
    <mergeCell ref="B245:C245"/>
    <mergeCell ref="B246:C246"/>
    <mergeCell ref="I225:J225"/>
    <mergeCell ref="K225:L225"/>
    <mergeCell ref="J228:N228"/>
    <mergeCell ref="J229:N229"/>
    <mergeCell ref="B224:C224"/>
    <mergeCell ref="D224:F224"/>
    <mergeCell ref="G224:H224"/>
    <mergeCell ref="I224:J224"/>
    <mergeCell ref="K224:L224"/>
    <mergeCell ref="M224:N224"/>
    <mergeCell ref="B225:C225"/>
    <mergeCell ref="M225:N225"/>
    <mergeCell ref="G231:J231"/>
    <mergeCell ref="K231:N231"/>
    <mergeCell ref="D225:F225"/>
    <mergeCell ref="G225:H225"/>
    <mergeCell ref="B228:H228"/>
    <mergeCell ref="B229:H229"/>
    <mergeCell ref="A230:N230"/>
    <mergeCell ref="A231:A232"/>
    <mergeCell ref="B231:F231"/>
    <mergeCell ref="B235:C235"/>
    <mergeCell ref="B236:C236"/>
    <mergeCell ref="B237:C237"/>
    <mergeCell ref="M236:N236"/>
    <mergeCell ref="M237:N237"/>
    <mergeCell ref="M238:N238"/>
    <mergeCell ref="K232:L232"/>
    <mergeCell ref="M232:N232"/>
    <mergeCell ref="K233:L233"/>
    <mergeCell ref="M233:N233"/>
    <mergeCell ref="K234:L234"/>
    <mergeCell ref="M234:N234"/>
    <mergeCell ref="M235:N235"/>
    <mergeCell ref="G245:H245"/>
    <mergeCell ref="I245:J245"/>
    <mergeCell ref="K245:L245"/>
    <mergeCell ref="M245:N245"/>
    <mergeCell ref="I246:J246"/>
    <mergeCell ref="K246:L246"/>
    <mergeCell ref="M246:N246"/>
    <mergeCell ref="G246:H246"/>
    <mergeCell ref="G247:H247"/>
    <mergeCell ref="I247:J247"/>
    <mergeCell ref="K247:L247"/>
    <mergeCell ref="M247:N247"/>
    <mergeCell ref="G248:H248"/>
    <mergeCell ref="I248:J248"/>
    <mergeCell ref="K235:L235"/>
    <mergeCell ref="K236:L236"/>
    <mergeCell ref="G237:H237"/>
    <mergeCell ref="I237:J237"/>
    <mergeCell ref="K237:L237"/>
    <mergeCell ref="I238:J238"/>
    <mergeCell ref="K238:L238"/>
    <mergeCell ref="K240:L240"/>
    <mergeCell ref="M240:N240"/>
    <mergeCell ref="G238:H238"/>
    <mergeCell ref="G239:H239"/>
    <mergeCell ref="I239:J239"/>
    <mergeCell ref="K239:L239"/>
    <mergeCell ref="M239:N239"/>
    <mergeCell ref="G240:H240"/>
    <mergeCell ref="I240:J240"/>
    <mergeCell ref="G241:H241"/>
    <mergeCell ref="I241:J241"/>
    <mergeCell ref="K241:L241"/>
    <mergeCell ref="M241:N241"/>
    <mergeCell ref="I242:J242"/>
    <mergeCell ref="K242:L242"/>
    <mergeCell ref="M242:N242"/>
    <mergeCell ref="K244:L244"/>
    <mergeCell ref="M244:N244"/>
    <mergeCell ref="G242:H242"/>
    <mergeCell ref="G243:H243"/>
    <mergeCell ref="I243:J243"/>
    <mergeCell ref="K243:L243"/>
    <mergeCell ref="M243:N243"/>
    <mergeCell ref="G244:H244"/>
    <mergeCell ref="I244:J244"/>
    <mergeCell ref="K248:L248"/>
    <mergeCell ref="M248:N248"/>
    <mergeCell ref="D151:F151"/>
    <mergeCell ref="G151:H151"/>
    <mergeCell ref="B152:C152"/>
    <mergeCell ref="D152:F152"/>
    <mergeCell ref="G152:H152"/>
    <mergeCell ref="D153:F153"/>
    <mergeCell ref="G153:H153"/>
    <mergeCell ref="B153:C153"/>
    <mergeCell ref="B154:C154"/>
    <mergeCell ref="D154:F154"/>
    <mergeCell ref="G154:H154"/>
    <mergeCell ref="I154:J154"/>
    <mergeCell ref="K154:L154"/>
    <mergeCell ref="M154:N154"/>
    <mergeCell ref="D176:F176"/>
    <mergeCell ref="G176:H176"/>
    <mergeCell ref="B175:C175"/>
    <mergeCell ref="D175:F175"/>
    <mergeCell ref="G175:H175"/>
    <mergeCell ref="I175:J175"/>
    <mergeCell ref="K175:L175"/>
    <mergeCell ref="M175:N175"/>
    <mergeCell ref="B176:C176"/>
    <mergeCell ref="M176:N176"/>
    <mergeCell ref="I176:J176"/>
    <mergeCell ref="K176:L176"/>
    <mergeCell ref="D177:F177"/>
    <mergeCell ref="G177:H177"/>
    <mergeCell ref="I177:J177"/>
    <mergeCell ref="K177:L177"/>
    <mergeCell ref="M177:N177"/>
    <mergeCell ref="B177:C177"/>
    <mergeCell ref="B178:C178"/>
    <mergeCell ref="D178:F178"/>
    <mergeCell ref="G178:H178"/>
    <mergeCell ref="I178:J178"/>
    <mergeCell ref="K178:L178"/>
    <mergeCell ref="M178:N178"/>
    <mergeCell ref="D180:F180"/>
    <mergeCell ref="G180:H180"/>
    <mergeCell ref="B179:C179"/>
    <mergeCell ref="D179:F179"/>
    <mergeCell ref="G179:H179"/>
    <mergeCell ref="I179:J179"/>
    <mergeCell ref="K179:L179"/>
    <mergeCell ref="M179:N179"/>
    <mergeCell ref="B180:C180"/>
    <mergeCell ref="M180:N180"/>
    <mergeCell ref="I146:J146"/>
    <mergeCell ref="K146:L146"/>
    <mergeCell ref="I147:J147"/>
    <mergeCell ref="K147:L147"/>
    <mergeCell ref="M147:N147"/>
    <mergeCell ref="I148:J148"/>
    <mergeCell ref="K148:L148"/>
    <mergeCell ref="M148:N148"/>
    <mergeCell ref="B145:C145"/>
    <mergeCell ref="D145:F145"/>
    <mergeCell ref="G145:H145"/>
    <mergeCell ref="I145:J145"/>
    <mergeCell ref="K145:L145"/>
    <mergeCell ref="M145:N145"/>
    <mergeCell ref="B146:C146"/>
    <mergeCell ref="M146:N146"/>
    <mergeCell ref="D146:F146"/>
    <mergeCell ref="G146:H146"/>
    <mergeCell ref="B147:C147"/>
    <mergeCell ref="D147:F147"/>
    <mergeCell ref="G147:H147"/>
    <mergeCell ref="D148:F148"/>
    <mergeCell ref="G148:H148"/>
    <mergeCell ref="B148:C148"/>
    <mergeCell ref="B149:C149"/>
    <mergeCell ref="D149:F149"/>
    <mergeCell ref="G149:H149"/>
    <mergeCell ref="I149:J149"/>
    <mergeCell ref="K149:L149"/>
    <mergeCell ref="M149:N149"/>
    <mergeCell ref="I151:J151"/>
    <mergeCell ref="K151:L151"/>
    <mergeCell ref="I152:J152"/>
    <mergeCell ref="K152:L152"/>
    <mergeCell ref="M152:N152"/>
    <mergeCell ref="I153:J153"/>
    <mergeCell ref="K153:L153"/>
    <mergeCell ref="M153:N153"/>
    <mergeCell ref="B150:C150"/>
    <mergeCell ref="D150:F150"/>
    <mergeCell ref="G150:H150"/>
    <mergeCell ref="I150:J150"/>
    <mergeCell ref="K150:L150"/>
    <mergeCell ref="M150:N150"/>
    <mergeCell ref="B151:C151"/>
    <mergeCell ref="M151:N151"/>
    <mergeCell ref="I180:J180"/>
    <mergeCell ref="K180:L180"/>
    <mergeCell ref="B183:H183"/>
    <mergeCell ref="J183:N183"/>
    <mergeCell ref="B184:H184"/>
    <mergeCell ref="J184:N184"/>
    <mergeCell ref="A185:N185"/>
    <mergeCell ref="I187:J187"/>
    <mergeCell ref="K187:L187"/>
    <mergeCell ref="A186:A187"/>
    <mergeCell ref="B186:F186"/>
    <mergeCell ref="G186:J186"/>
    <mergeCell ref="K186:N186"/>
    <mergeCell ref="D187:F187"/>
    <mergeCell ref="G187:H187"/>
    <mergeCell ref="M187:N187"/>
    <mergeCell ref="B187:C187"/>
    <mergeCell ref="B188:C188"/>
    <mergeCell ref="D188:F188"/>
    <mergeCell ref="G188:H188"/>
    <mergeCell ref="I188:J188"/>
    <mergeCell ref="K188:L188"/>
    <mergeCell ref="M188:N188"/>
    <mergeCell ref="I190:J190"/>
    <mergeCell ref="K190:L190"/>
    <mergeCell ref="I191:J191"/>
    <mergeCell ref="K191:L191"/>
    <mergeCell ref="M191:N191"/>
    <mergeCell ref="I192:J192"/>
    <mergeCell ref="K192:L192"/>
    <mergeCell ref="M192:N192"/>
    <mergeCell ref="B189:C189"/>
    <mergeCell ref="D189:F189"/>
    <mergeCell ref="G189:H189"/>
    <mergeCell ref="I189:J189"/>
    <mergeCell ref="K189:L189"/>
    <mergeCell ref="M189:N189"/>
    <mergeCell ref="B190:C190"/>
    <mergeCell ref="M190:N190"/>
    <mergeCell ref="D190:F190"/>
    <mergeCell ref="G190:H190"/>
    <mergeCell ref="B191:C191"/>
    <mergeCell ref="D191:F191"/>
    <mergeCell ref="G191:H191"/>
    <mergeCell ref="D192:F192"/>
    <mergeCell ref="G192:H192"/>
    <mergeCell ref="B192:C192"/>
    <mergeCell ref="B193:C193"/>
    <mergeCell ref="D193:F193"/>
    <mergeCell ref="G193:H193"/>
    <mergeCell ref="I193:J193"/>
    <mergeCell ref="K193:L193"/>
    <mergeCell ref="M193:N193"/>
    <mergeCell ref="G235:H235"/>
    <mergeCell ref="G236:H236"/>
    <mergeCell ref="G232:H232"/>
    <mergeCell ref="I232:J232"/>
    <mergeCell ref="G233:H233"/>
    <mergeCell ref="I233:J233"/>
    <mergeCell ref="G234:H234"/>
    <mergeCell ref="I234:J234"/>
    <mergeCell ref="I235:J235"/>
    <mergeCell ref="I236:J236"/>
    <mergeCell ref="I20:J20"/>
    <mergeCell ref="K20:L20"/>
    <mergeCell ref="M20:N20"/>
    <mergeCell ref="I21:J21"/>
    <mergeCell ref="K21:L21"/>
    <mergeCell ref="M21:N21"/>
    <mergeCell ref="I22:J22"/>
    <mergeCell ref="K22:L22"/>
    <mergeCell ref="M22:N22"/>
    <mergeCell ref="B24:H24"/>
    <mergeCell ref="J24:N24"/>
    <mergeCell ref="B25:H25"/>
    <mergeCell ref="J25:N25"/>
    <mergeCell ref="A26:N26"/>
    <mergeCell ref="G4:J4"/>
    <mergeCell ref="K4:N4"/>
    <mergeCell ref="B1:H1"/>
    <mergeCell ref="J1:N1"/>
    <mergeCell ref="B2:H2"/>
    <mergeCell ref="J2:N2"/>
    <mergeCell ref="A3:N3"/>
    <mergeCell ref="A4:A5"/>
    <mergeCell ref="B4:F4"/>
    <mergeCell ref="B8:C8"/>
    <mergeCell ref="B9:C9"/>
    <mergeCell ref="B10:C10"/>
    <mergeCell ref="G15:H15"/>
    <mergeCell ref="G16:H16"/>
    <mergeCell ref="G17:H17"/>
    <mergeCell ref="G18:H18"/>
    <mergeCell ref="G19:H19"/>
    <mergeCell ref="G20:H20"/>
    <mergeCell ref="G21:H21"/>
    <mergeCell ref="G22:H22"/>
    <mergeCell ref="G8:H8"/>
    <mergeCell ref="G9:H9"/>
    <mergeCell ref="G10:H10"/>
    <mergeCell ref="G11:H11"/>
    <mergeCell ref="G12:H12"/>
    <mergeCell ref="G13:H13"/>
    <mergeCell ref="G14:H14"/>
    <mergeCell ref="I9:J9"/>
    <mergeCell ref="I10:J10"/>
    <mergeCell ref="I11:J11"/>
    <mergeCell ref="I12:J12"/>
    <mergeCell ref="I13:J13"/>
    <mergeCell ref="I14:J14"/>
    <mergeCell ref="I15:J15"/>
    <mergeCell ref="B28:C28"/>
    <mergeCell ref="B29:C29"/>
    <mergeCell ref="D29:F29"/>
    <mergeCell ref="G29:H29"/>
    <mergeCell ref="I29:J29"/>
    <mergeCell ref="K29:L29"/>
    <mergeCell ref="M29:N29"/>
    <mergeCell ref="B5:C5"/>
    <mergeCell ref="D5:F5"/>
    <mergeCell ref="B6:C6"/>
    <mergeCell ref="D6:F6"/>
    <mergeCell ref="B7:C7"/>
    <mergeCell ref="D7:F7"/>
    <mergeCell ref="D8:F8"/>
    <mergeCell ref="D9:F9"/>
    <mergeCell ref="D10:F10"/>
    <mergeCell ref="B11:C11"/>
    <mergeCell ref="D11:F11"/>
    <mergeCell ref="B12:C12"/>
    <mergeCell ref="D12:F12"/>
    <mergeCell ref="D13:F13"/>
    <mergeCell ref="B20:C20"/>
    <mergeCell ref="B21:C21"/>
    <mergeCell ref="B22:C22"/>
    <mergeCell ref="B13:C13"/>
    <mergeCell ref="B14:C14"/>
    <mergeCell ref="B15:C15"/>
    <mergeCell ref="B16:C16"/>
    <mergeCell ref="B17:C17"/>
    <mergeCell ref="B18:C18"/>
    <mergeCell ref="B19:C19"/>
    <mergeCell ref="D21:F21"/>
    <mergeCell ref="D22:F22"/>
    <mergeCell ref="D14:F14"/>
    <mergeCell ref="D15:F15"/>
    <mergeCell ref="D16:F16"/>
    <mergeCell ref="D17:F17"/>
    <mergeCell ref="D18:F18"/>
    <mergeCell ref="D19:F19"/>
    <mergeCell ref="D20:F20"/>
    <mergeCell ref="G5:H5"/>
    <mergeCell ref="I5:J5"/>
    <mergeCell ref="G6:H6"/>
    <mergeCell ref="I6:J6"/>
    <mergeCell ref="G7:H7"/>
    <mergeCell ref="I7:J7"/>
    <mergeCell ref="I8:J8"/>
    <mergeCell ref="K5:L5"/>
    <mergeCell ref="M5:N5"/>
    <mergeCell ref="K6:L6"/>
    <mergeCell ref="M6:N6"/>
    <mergeCell ref="K7:L7"/>
    <mergeCell ref="M7:N7"/>
    <mergeCell ref="M8:N8"/>
    <mergeCell ref="K15:L15"/>
    <mergeCell ref="K16:L16"/>
    <mergeCell ref="K8:L8"/>
    <mergeCell ref="K9:L9"/>
    <mergeCell ref="K10:L10"/>
    <mergeCell ref="K11:L11"/>
    <mergeCell ref="K12:L12"/>
    <mergeCell ref="K13:L13"/>
    <mergeCell ref="K14:L14"/>
    <mergeCell ref="M16:N16"/>
    <mergeCell ref="M17:N17"/>
    <mergeCell ref="M9:N9"/>
    <mergeCell ref="M10:N10"/>
    <mergeCell ref="M11:N11"/>
    <mergeCell ref="M12:N12"/>
    <mergeCell ref="M13:N13"/>
    <mergeCell ref="M14:N14"/>
    <mergeCell ref="M15:N15"/>
    <mergeCell ref="K19:L19"/>
    <mergeCell ref="M19:N19"/>
    <mergeCell ref="I16:J16"/>
    <mergeCell ref="I17:J17"/>
    <mergeCell ref="K17:L17"/>
    <mergeCell ref="I18:J18"/>
    <mergeCell ref="K18:L18"/>
    <mergeCell ref="M18:N18"/>
    <mergeCell ref="I19:J19"/>
    <mergeCell ref="I28:J28"/>
    <mergeCell ref="K28:L28"/>
    <mergeCell ref="A27:A28"/>
    <mergeCell ref="B27:F27"/>
    <mergeCell ref="G27:J27"/>
    <mergeCell ref="K27:N27"/>
    <mergeCell ref="D28:F28"/>
    <mergeCell ref="G28:H28"/>
    <mergeCell ref="M28:N28"/>
    <mergeCell ref="D41:F41"/>
    <mergeCell ref="G41:H41"/>
    <mergeCell ref="B40:C40"/>
    <mergeCell ref="D40:F40"/>
    <mergeCell ref="G40:H40"/>
    <mergeCell ref="I40:J40"/>
    <mergeCell ref="K40:L40"/>
    <mergeCell ref="M40:N40"/>
    <mergeCell ref="B41:C41"/>
    <mergeCell ref="D36:F36"/>
    <mergeCell ref="G36:H36"/>
    <mergeCell ref="B37:C37"/>
    <mergeCell ref="D37:F37"/>
    <mergeCell ref="G37:H37"/>
    <mergeCell ref="D38:F38"/>
    <mergeCell ref="G38:H38"/>
    <mergeCell ref="B38:C38"/>
    <mergeCell ref="B39:C39"/>
    <mergeCell ref="D39:F39"/>
    <mergeCell ref="G39:H39"/>
    <mergeCell ref="I39:J39"/>
    <mergeCell ref="K39:L39"/>
    <mergeCell ref="M39:N39"/>
    <mergeCell ref="K42:L42"/>
    <mergeCell ref="M42:N42"/>
    <mergeCell ref="I41:J41"/>
    <mergeCell ref="K41:L41"/>
    <mergeCell ref="M41:N41"/>
    <mergeCell ref="B42:C42"/>
    <mergeCell ref="D42:F42"/>
    <mergeCell ref="G42:H42"/>
    <mergeCell ref="I42:J42"/>
    <mergeCell ref="D44:F44"/>
    <mergeCell ref="G44:H44"/>
    <mergeCell ref="B43:C43"/>
    <mergeCell ref="D43:F43"/>
    <mergeCell ref="G43:H43"/>
    <mergeCell ref="I43:J43"/>
    <mergeCell ref="K43:L43"/>
    <mergeCell ref="M43:N43"/>
    <mergeCell ref="B44:C44"/>
    <mergeCell ref="M44:N44"/>
    <mergeCell ref="I31:J31"/>
    <mergeCell ref="K31:L31"/>
    <mergeCell ref="I32:J32"/>
    <mergeCell ref="K32:L32"/>
    <mergeCell ref="M32:N32"/>
    <mergeCell ref="I33:J33"/>
    <mergeCell ref="K33:L33"/>
    <mergeCell ref="M33:N33"/>
    <mergeCell ref="B30:C30"/>
    <mergeCell ref="D30:F30"/>
    <mergeCell ref="G30:H30"/>
    <mergeCell ref="I30:J30"/>
    <mergeCell ref="K30:L30"/>
    <mergeCell ref="M30:N30"/>
    <mergeCell ref="B31:C31"/>
    <mergeCell ref="M31:N31"/>
    <mergeCell ref="D31:F31"/>
    <mergeCell ref="G31:H31"/>
    <mergeCell ref="B32:C32"/>
    <mergeCell ref="D32:F32"/>
    <mergeCell ref="G32:H32"/>
    <mergeCell ref="D33:F33"/>
    <mergeCell ref="G33:H33"/>
    <mergeCell ref="B33:C33"/>
    <mergeCell ref="B34:C34"/>
    <mergeCell ref="D34:F34"/>
    <mergeCell ref="G34:H34"/>
    <mergeCell ref="I34:J34"/>
    <mergeCell ref="K34:L34"/>
    <mergeCell ref="M34:N34"/>
    <mergeCell ref="I36:J36"/>
    <mergeCell ref="K36:L36"/>
    <mergeCell ref="I37:J37"/>
    <mergeCell ref="K37:L37"/>
    <mergeCell ref="M37:N37"/>
    <mergeCell ref="I38:J38"/>
    <mergeCell ref="K38:L38"/>
    <mergeCell ref="M38:N38"/>
    <mergeCell ref="B35:C35"/>
    <mergeCell ref="D35:F35"/>
    <mergeCell ref="G35:H35"/>
    <mergeCell ref="I35:J35"/>
    <mergeCell ref="K35:L35"/>
    <mergeCell ref="M35:N35"/>
    <mergeCell ref="B36:C36"/>
    <mergeCell ref="M36:N36"/>
    <mergeCell ref="I44:J44"/>
    <mergeCell ref="K44:L44"/>
    <mergeCell ref="B47:H47"/>
    <mergeCell ref="J47:N47"/>
    <mergeCell ref="B48:H48"/>
    <mergeCell ref="J48:N48"/>
    <mergeCell ref="A49:N49"/>
    <mergeCell ref="I51:J51"/>
    <mergeCell ref="K51:L51"/>
    <mergeCell ref="A50:A51"/>
    <mergeCell ref="B50:F50"/>
    <mergeCell ref="G50:J50"/>
    <mergeCell ref="K50:N50"/>
    <mergeCell ref="D51:F51"/>
    <mergeCell ref="G51:H51"/>
    <mergeCell ref="M51:N51"/>
    <mergeCell ref="B51:C51"/>
    <mergeCell ref="B52:C52"/>
    <mergeCell ref="D52:F52"/>
    <mergeCell ref="G52:H52"/>
    <mergeCell ref="I52:J52"/>
    <mergeCell ref="K52:L52"/>
    <mergeCell ref="M52:N52"/>
    <mergeCell ref="I54:J54"/>
    <mergeCell ref="K54:L54"/>
    <mergeCell ref="I55:J55"/>
    <mergeCell ref="K55:L55"/>
    <mergeCell ref="M55:N55"/>
    <mergeCell ref="I56:J56"/>
    <mergeCell ref="K56:L56"/>
    <mergeCell ref="M56:N56"/>
    <mergeCell ref="B53:C53"/>
    <mergeCell ref="D53:F53"/>
    <mergeCell ref="G53:H53"/>
    <mergeCell ref="I53:J53"/>
    <mergeCell ref="K53:L53"/>
    <mergeCell ref="M53:N53"/>
    <mergeCell ref="B54:C54"/>
    <mergeCell ref="M54:N54"/>
    <mergeCell ref="D54:F54"/>
    <mergeCell ref="G54:H54"/>
    <mergeCell ref="B55:C55"/>
    <mergeCell ref="D55:F55"/>
    <mergeCell ref="G55:H55"/>
    <mergeCell ref="D56:F56"/>
    <mergeCell ref="G56:H56"/>
    <mergeCell ref="B56:C56"/>
    <mergeCell ref="B57:C57"/>
    <mergeCell ref="D57:F57"/>
    <mergeCell ref="G57:H57"/>
    <mergeCell ref="I57:J57"/>
    <mergeCell ref="K57:L57"/>
    <mergeCell ref="M57:N57"/>
    <mergeCell ref="M66:N66"/>
    <mergeCell ref="J70:N70"/>
    <mergeCell ref="I64:J64"/>
    <mergeCell ref="K64:L64"/>
    <mergeCell ref="I65:J65"/>
    <mergeCell ref="K65:L65"/>
    <mergeCell ref="M65:N65"/>
    <mergeCell ref="I66:J66"/>
    <mergeCell ref="K66:L66"/>
    <mergeCell ref="I59:J59"/>
    <mergeCell ref="K59:L59"/>
    <mergeCell ref="I60:J60"/>
    <mergeCell ref="K60:L60"/>
    <mergeCell ref="M60:N60"/>
    <mergeCell ref="I61:J61"/>
    <mergeCell ref="K61:L61"/>
    <mergeCell ref="M61:N61"/>
    <mergeCell ref="B58:C58"/>
    <mergeCell ref="D58:F58"/>
    <mergeCell ref="G58:H58"/>
    <mergeCell ref="I58:J58"/>
    <mergeCell ref="K58:L58"/>
    <mergeCell ref="M58:N58"/>
    <mergeCell ref="B59:C59"/>
    <mergeCell ref="M59:N59"/>
    <mergeCell ref="D59:F59"/>
    <mergeCell ref="G59:H59"/>
    <mergeCell ref="B60:C60"/>
    <mergeCell ref="D60:F60"/>
    <mergeCell ref="G60:H60"/>
    <mergeCell ref="D61:F61"/>
    <mergeCell ref="G61:H61"/>
    <mergeCell ref="B61:C61"/>
    <mergeCell ref="B62:C62"/>
    <mergeCell ref="D62:F62"/>
    <mergeCell ref="G62:H62"/>
    <mergeCell ref="I62:J62"/>
    <mergeCell ref="K62:L62"/>
    <mergeCell ref="M62:N62"/>
    <mergeCell ref="B63:C63"/>
    <mergeCell ref="D63:F63"/>
    <mergeCell ref="G63:H63"/>
    <mergeCell ref="I63:J63"/>
    <mergeCell ref="K63:L63"/>
    <mergeCell ref="M63:N63"/>
    <mergeCell ref="B64:C64"/>
    <mergeCell ref="M64:N64"/>
    <mergeCell ref="B66:C66"/>
    <mergeCell ref="B67:C67"/>
    <mergeCell ref="D67:F67"/>
    <mergeCell ref="G67:H67"/>
    <mergeCell ref="I67:J67"/>
    <mergeCell ref="K67:L67"/>
    <mergeCell ref="M67:N67"/>
    <mergeCell ref="D64:F64"/>
    <mergeCell ref="G64:H64"/>
    <mergeCell ref="B65:C65"/>
    <mergeCell ref="D65:F65"/>
    <mergeCell ref="G65:H65"/>
    <mergeCell ref="D66:F66"/>
    <mergeCell ref="G66:H66"/>
    <mergeCell ref="B70:H70"/>
    <mergeCell ref="B71:H71"/>
    <mergeCell ref="J71:N71"/>
    <mergeCell ref="A72:N72"/>
    <mergeCell ref="B73:F73"/>
    <mergeCell ref="G73:J73"/>
    <mergeCell ref="K73:N73"/>
    <mergeCell ref="A73:A74"/>
    <mergeCell ref="B74:C74"/>
    <mergeCell ref="D74:F74"/>
    <mergeCell ref="G74:H74"/>
    <mergeCell ref="I74:J74"/>
    <mergeCell ref="K74:L74"/>
    <mergeCell ref="M74:N74"/>
    <mergeCell ref="I76:J76"/>
    <mergeCell ref="K76:L76"/>
    <mergeCell ref="I77:J77"/>
    <mergeCell ref="K77:L77"/>
    <mergeCell ref="M77:N77"/>
    <mergeCell ref="I78:J78"/>
    <mergeCell ref="K78:L78"/>
    <mergeCell ref="M78:N78"/>
    <mergeCell ref="B75:C75"/>
    <mergeCell ref="D75:F75"/>
    <mergeCell ref="G75:H75"/>
    <mergeCell ref="I75:J75"/>
    <mergeCell ref="K75:L75"/>
    <mergeCell ref="M75:N75"/>
    <mergeCell ref="B76:C76"/>
    <mergeCell ref="M76:N76"/>
    <mergeCell ref="D76:F76"/>
    <mergeCell ref="G76:H76"/>
    <mergeCell ref="B77:C77"/>
    <mergeCell ref="D77:F77"/>
    <mergeCell ref="G77:H77"/>
    <mergeCell ref="D78:F78"/>
    <mergeCell ref="G78:H78"/>
    <mergeCell ref="B78:C78"/>
    <mergeCell ref="B79:C79"/>
    <mergeCell ref="D79:F79"/>
    <mergeCell ref="G79:H79"/>
    <mergeCell ref="I79:J79"/>
    <mergeCell ref="K79:L79"/>
    <mergeCell ref="M79:N79"/>
    <mergeCell ref="I81:J81"/>
    <mergeCell ref="K81:L81"/>
    <mergeCell ref="B80:C80"/>
    <mergeCell ref="D80:F80"/>
    <mergeCell ref="G80:H80"/>
    <mergeCell ref="I80:J80"/>
    <mergeCell ref="K80:L80"/>
    <mergeCell ref="M80:N80"/>
    <mergeCell ref="B81:C81"/>
    <mergeCell ref="M81:N81"/>
    <mergeCell ref="D81:F81"/>
    <mergeCell ref="G81:H81"/>
    <mergeCell ref="D82:F82"/>
    <mergeCell ref="G82:H82"/>
    <mergeCell ref="I82:J82"/>
    <mergeCell ref="K82:L82"/>
    <mergeCell ref="M82:N82"/>
    <mergeCell ref="B82:C82"/>
    <mergeCell ref="B83:C83"/>
    <mergeCell ref="D83:F83"/>
    <mergeCell ref="G83:H83"/>
    <mergeCell ref="I83:J83"/>
    <mergeCell ref="K83:L83"/>
    <mergeCell ref="M83:N83"/>
    <mergeCell ref="I85:J85"/>
    <mergeCell ref="K85:L85"/>
    <mergeCell ref="I86:J86"/>
    <mergeCell ref="K86:L86"/>
    <mergeCell ref="M86:N86"/>
    <mergeCell ref="I87:J87"/>
    <mergeCell ref="K87:L87"/>
    <mergeCell ref="M87:N87"/>
    <mergeCell ref="B84:C84"/>
    <mergeCell ref="D84:F84"/>
    <mergeCell ref="G84:H84"/>
    <mergeCell ref="I84:J84"/>
    <mergeCell ref="K84:L84"/>
    <mergeCell ref="M84:N84"/>
    <mergeCell ref="B85:C85"/>
    <mergeCell ref="M85:N85"/>
    <mergeCell ref="D85:F85"/>
    <mergeCell ref="G85:H85"/>
    <mergeCell ref="B86:C86"/>
    <mergeCell ref="D86:F86"/>
    <mergeCell ref="G86:H86"/>
    <mergeCell ref="D87:F87"/>
    <mergeCell ref="G87:H87"/>
    <mergeCell ref="B87:C87"/>
    <mergeCell ref="B88:C88"/>
    <mergeCell ref="D88:F88"/>
    <mergeCell ref="G88:H88"/>
    <mergeCell ref="I88:J88"/>
    <mergeCell ref="K88:L88"/>
    <mergeCell ref="M88:N88"/>
    <mergeCell ref="G96:H96"/>
    <mergeCell ref="I96:J96"/>
    <mergeCell ref="G97:H97"/>
    <mergeCell ref="I97:J97"/>
    <mergeCell ref="G98:H98"/>
    <mergeCell ref="I98:J98"/>
    <mergeCell ref="I99:J99"/>
    <mergeCell ref="G107:H107"/>
    <mergeCell ref="G108:H108"/>
    <mergeCell ref="G109:H109"/>
    <mergeCell ref="G110:H110"/>
    <mergeCell ref="G111:H111"/>
    <mergeCell ref="G112:H112"/>
    <mergeCell ref="G99:H99"/>
    <mergeCell ref="G100:H100"/>
    <mergeCell ref="G102:H102"/>
    <mergeCell ref="G103:H103"/>
    <mergeCell ref="G104:H104"/>
    <mergeCell ref="G105:H105"/>
    <mergeCell ref="G106:H106"/>
    <mergeCell ref="I108:J108"/>
    <mergeCell ref="I109:J109"/>
    <mergeCell ref="I110:J110"/>
    <mergeCell ref="I111:J111"/>
    <mergeCell ref="I112:J112"/>
    <mergeCell ref="I100:J100"/>
    <mergeCell ref="I102:J102"/>
    <mergeCell ref="I103:J103"/>
    <mergeCell ref="I104:J104"/>
    <mergeCell ref="I105:J105"/>
    <mergeCell ref="I106:J106"/>
    <mergeCell ref="I107:J107"/>
    <mergeCell ref="K99:L99"/>
    <mergeCell ref="K100:L100"/>
    <mergeCell ref="G101:H101"/>
    <mergeCell ref="I101:J101"/>
    <mergeCell ref="K101:L101"/>
    <mergeCell ref="K102:L102"/>
    <mergeCell ref="K103:L103"/>
    <mergeCell ref="K111:L111"/>
    <mergeCell ref="K112:L112"/>
    <mergeCell ref="K104:L104"/>
    <mergeCell ref="K105:L105"/>
    <mergeCell ref="K106:L106"/>
    <mergeCell ref="K107:L107"/>
    <mergeCell ref="K108:L108"/>
    <mergeCell ref="K109:L109"/>
    <mergeCell ref="K110:L1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J115:N115"/>
    <mergeCell ref="D118:F118"/>
    <mergeCell ref="G118:H118"/>
    <mergeCell ref="B115:H115"/>
    <mergeCell ref="A116:N116"/>
    <mergeCell ref="A117:A118"/>
    <mergeCell ref="B117:F117"/>
    <mergeCell ref="G117:J117"/>
    <mergeCell ref="K117:N117"/>
    <mergeCell ref="B118:C118"/>
    <mergeCell ref="M118:N118"/>
    <mergeCell ref="I118:J118"/>
    <mergeCell ref="K118:L118"/>
    <mergeCell ref="D119:F119"/>
    <mergeCell ref="G119:H119"/>
    <mergeCell ref="I119:J119"/>
    <mergeCell ref="K119:L119"/>
    <mergeCell ref="M119:N119"/>
    <mergeCell ref="B119:C119"/>
    <mergeCell ref="B120:C120"/>
    <mergeCell ref="D120:F120"/>
    <mergeCell ref="G120:H120"/>
    <mergeCell ref="I120:J120"/>
    <mergeCell ref="K120:L120"/>
    <mergeCell ref="M120:N120"/>
    <mergeCell ref="B96:C96"/>
    <mergeCell ref="D96:F96"/>
    <mergeCell ref="B97:C97"/>
    <mergeCell ref="D97:F97"/>
    <mergeCell ref="B98:C98"/>
    <mergeCell ref="D98:F98"/>
    <mergeCell ref="D99:F99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00:F100"/>
    <mergeCell ref="D101:F101"/>
    <mergeCell ref="B102:C102"/>
    <mergeCell ref="D102:F102"/>
    <mergeCell ref="B103:C103"/>
    <mergeCell ref="D103:F103"/>
    <mergeCell ref="D104:F104"/>
    <mergeCell ref="B111:C111"/>
    <mergeCell ref="B112:C112"/>
    <mergeCell ref="B104:C104"/>
    <mergeCell ref="B105:C105"/>
    <mergeCell ref="B106:C106"/>
    <mergeCell ref="B107:C107"/>
    <mergeCell ref="B108:C108"/>
    <mergeCell ref="B109:C109"/>
    <mergeCell ref="B110:C110"/>
    <mergeCell ref="I90:J90"/>
    <mergeCell ref="K90:L90"/>
    <mergeCell ref="J92:N92"/>
    <mergeCell ref="J93:N93"/>
    <mergeCell ref="B89:C89"/>
    <mergeCell ref="D89:F89"/>
    <mergeCell ref="G89:H89"/>
    <mergeCell ref="I89:J89"/>
    <mergeCell ref="K89:L89"/>
    <mergeCell ref="M89:N89"/>
    <mergeCell ref="B90:C90"/>
    <mergeCell ref="M90:N90"/>
    <mergeCell ref="G95:J95"/>
    <mergeCell ref="K95:N95"/>
    <mergeCell ref="D90:F90"/>
    <mergeCell ref="G90:H90"/>
    <mergeCell ref="B92:H92"/>
    <mergeCell ref="B93:H93"/>
    <mergeCell ref="A94:N94"/>
    <mergeCell ref="A95:A96"/>
    <mergeCell ref="B95:F95"/>
    <mergeCell ref="B99:C99"/>
    <mergeCell ref="B100:C100"/>
    <mergeCell ref="B101:C101"/>
    <mergeCell ref="K96:L96"/>
    <mergeCell ref="M96:N96"/>
    <mergeCell ref="K97:L97"/>
    <mergeCell ref="M97:N97"/>
    <mergeCell ref="K98:L98"/>
    <mergeCell ref="M98:N98"/>
    <mergeCell ref="M99:N99"/>
    <mergeCell ref="I122:J122"/>
    <mergeCell ref="K122:L122"/>
    <mergeCell ref="B121:C121"/>
    <mergeCell ref="D121:F121"/>
    <mergeCell ref="G121:H121"/>
    <mergeCell ref="I121:J121"/>
    <mergeCell ref="K121:L121"/>
    <mergeCell ref="M121:N121"/>
    <mergeCell ref="B122:C122"/>
    <mergeCell ref="M122:N122"/>
    <mergeCell ref="D122:F122"/>
    <mergeCell ref="G122:H122"/>
    <mergeCell ref="D123:F123"/>
    <mergeCell ref="G123:H123"/>
    <mergeCell ref="I123:J123"/>
    <mergeCell ref="K123:L123"/>
    <mergeCell ref="M123:N123"/>
    <mergeCell ref="B123:C123"/>
    <mergeCell ref="B124:C124"/>
    <mergeCell ref="D124:F124"/>
    <mergeCell ref="G124:H124"/>
    <mergeCell ref="I124:J124"/>
    <mergeCell ref="K124:L124"/>
    <mergeCell ref="M124:N124"/>
    <mergeCell ref="I126:J126"/>
    <mergeCell ref="K126:L126"/>
    <mergeCell ref="I127:J127"/>
    <mergeCell ref="K127:L127"/>
    <mergeCell ref="M127:N127"/>
    <mergeCell ref="I128:J128"/>
    <mergeCell ref="K128:L128"/>
    <mergeCell ref="M128:N128"/>
    <mergeCell ref="B125:C125"/>
    <mergeCell ref="D125:F125"/>
    <mergeCell ref="G125:H125"/>
    <mergeCell ref="I125:J125"/>
    <mergeCell ref="K125:L125"/>
    <mergeCell ref="M125:N125"/>
    <mergeCell ref="B126:C126"/>
    <mergeCell ref="M126:N126"/>
    <mergeCell ref="D126:F126"/>
    <mergeCell ref="G126:H126"/>
    <mergeCell ref="B127:C127"/>
    <mergeCell ref="D127:F127"/>
    <mergeCell ref="G127:H127"/>
    <mergeCell ref="D128:F128"/>
    <mergeCell ref="G128:H128"/>
    <mergeCell ref="B128:C128"/>
    <mergeCell ref="B129:C129"/>
    <mergeCell ref="D129:F129"/>
    <mergeCell ref="G129:H129"/>
    <mergeCell ref="I129:J129"/>
    <mergeCell ref="K129:L129"/>
    <mergeCell ref="M129:N129"/>
    <mergeCell ref="B141:C141"/>
    <mergeCell ref="D141:F141"/>
    <mergeCell ref="B137:H137"/>
    <mergeCell ref="B138:H138"/>
    <mergeCell ref="A139:N139"/>
    <mergeCell ref="A140:A141"/>
    <mergeCell ref="B140:F140"/>
    <mergeCell ref="G140:J140"/>
    <mergeCell ref="K140:N140"/>
    <mergeCell ref="D143:F143"/>
    <mergeCell ref="G143:H143"/>
    <mergeCell ref="K143:L143"/>
    <mergeCell ref="M143:N143"/>
    <mergeCell ref="G141:H141"/>
    <mergeCell ref="I141:J141"/>
    <mergeCell ref="B142:C142"/>
    <mergeCell ref="D142:F142"/>
    <mergeCell ref="G142:H142"/>
    <mergeCell ref="I142:J142"/>
    <mergeCell ref="I143:J143"/>
    <mergeCell ref="B130:C130"/>
    <mergeCell ref="D130:F130"/>
    <mergeCell ref="G130:H130"/>
    <mergeCell ref="I130:J130"/>
    <mergeCell ref="K130:L130"/>
    <mergeCell ref="M130:N130"/>
    <mergeCell ref="B131:C131"/>
    <mergeCell ref="M131:N131"/>
    <mergeCell ref="B133:C133"/>
    <mergeCell ref="B134:C134"/>
    <mergeCell ref="D134:F134"/>
    <mergeCell ref="G134:H134"/>
    <mergeCell ref="I134:J134"/>
    <mergeCell ref="K134:L134"/>
    <mergeCell ref="M134:N134"/>
    <mergeCell ref="M133:N133"/>
    <mergeCell ref="J137:N137"/>
    <mergeCell ref="J138:N138"/>
    <mergeCell ref="I131:J131"/>
    <mergeCell ref="K131:L131"/>
    <mergeCell ref="I132:J132"/>
    <mergeCell ref="K132:L132"/>
    <mergeCell ref="M132:N132"/>
    <mergeCell ref="I133:J133"/>
    <mergeCell ref="K133:L133"/>
    <mergeCell ref="D131:F131"/>
    <mergeCell ref="G131:H131"/>
    <mergeCell ref="B132:C132"/>
    <mergeCell ref="D132:F132"/>
    <mergeCell ref="G132:H132"/>
    <mergeCell ref="D133:F133"/>
    <mergeCell ref="G133:H133"/>
    <mergeCell ref="K141:L141"/>
    <mergeCell ref="M141:N141"/>
    <mergeCell ref="K142:L142"/>
    <mergeCell ref="M142:N142"/>
    <mergeCell ref="B143:C143"/>
    <mergeCell ref="B144:C144"/>
    <mergeCell ref="D144:F144"/>
    <mergeCell ref="G144:H144"/>
    <mergeCell ref="I144:J144"/>
    <mergeCell ref="K144:L144"/>
    <mergeCell ref="M144:N144"/>
    <mergeCell ref="D156:F156"/>
    <mergeCell ref="G156:H156"/>
    <mergeCell ref="B155:C155"/>
    <mergeCell ref="D155:F155"/>
    <mergeCell ref="G155:H155"/>
    <mergeCell ref="I155:J155"/>
    <mergeCell ref="K155:L155"/>
    <mergeCell ref="M155:N155"/>
    <mergeCell ref="B156:C156"/>
    <mergeCell ref="K157:L157"/>
    <mergeCell ref="M157:N157"/>
    <mergeCell ref="I156:J156"/>
    <mergeCell ref="K156:L156"/>
    <mergeCell ref="M156:N156"/>
    <mergeCell ref="B157:C157"/>
    <mergeCell ref="D157:F157"/>
    <mergeCell ref="G157:H157"/>
    <mergeCell ref="I157:J157"/>
    <mergeCell ref="G163:J163"/>
    <mergeCell ref="K163:N163"/>
    <mergeCell ref="G164:H164"/>
    <mergeCell ref="I164:J164"/>
    <mergeCell ref="K164:L164"/>
    <mergeCell ref="M164:N164"/>
    <mergeCell ref="B160:H160"/>
    <mergeCell ref="J160:N160"/>
    <mergeCell ref="B161:H161"/>
    <mergeCell ref="J161:N161"/>
    <mergeCell ref="A162:N162"/>
    <mergeCell ref="A163:A164"/>
    <mergeCell ref="B163:F163"/>
    <mergeCell ref="B164:C164"/>
    <mergeCell ref="D164:F164"/>
    <mergeCell ref="D165:F165"/>
    <mergeCell ref="G165:H165"/>
    <mergeCell ref="I165:J165"/>
    <mergeCell ref="K165:L165"/>
    <mergeCell ref="M165:N165"/>
    <mergeCell ref="B165:C165"/>
    <mergeCell ref="B166:C166"/>
    <mergeCell ref="D166:F166"/>
    <mergeCell ref="G166:H166"/>
    <mergeCell ref="I166:J166"/>
    <mergeCell ref="K166:L166"/>
    <mergeCell ref="M166:N166"/>
    <mergeCell ref="D168:F168"/>
    <mergeCell ref="G168:H168"/>
    <mergeCell ref="B167:C167"/>
    <mergeCell ref="D167:F167"/>
    <mergeCell ref="G167:H167"/>
    <mergeCell ref="I167:J167"/>
    <mergeCell ref="K167:L167"/>
    <mergeCell ref="M167:N167"/>
    <mergeCell ref="B168:C168"/>
    <mergeCell ref="M168:N168"/>
    <mergeCell ref="I168:J168"/>
    <mergeCell ref="K168:L168"/>
    <mergeCell ref="D169:F169"/>
    <mergeCell ref="G169:H169"/>
    <mergeCell ref="I169:J169"/>
    <mergeCell ref="K169:L169"/>
    <mergeCell ref="M169:N169"/>
    <mergeCell ref="B169:C169"/>
    <mergeCell ref="B170:C170"/>
    <mergeCell ref="D170:F170"/>
    <mergeCell ref="G170:H170"/>
    <mergeCell ref="I170:J170"/>
    <mergeCell ref="K170:L170"/>
    <mergeCell ref="M170:N170"/>
    <mergeCell ref="D172:F172"/>
    <mergeCell ref="G172:H172"/>
    <mergeCell ref="B171:C171"/>
    <mergeCell ref="D171:F171"/>
    <mergeCell ref="G171:H171"/>
    <mergeCell ref="I171:J171"/>
    <mergeCell ref="K171:L171"/>
    <mergeCell ref="M171:N171"/>
    <mergeCell ref="B172:C172"/>
    <mergeCell ref="M172:N172"/>
    <mergeCell ref="I172:J172"/>
    <mergeCell ref="K172:L172"/>
    <mergeCell ref="D173:F173"/>
    <mergeCell ref="G173:H173"/>
    <mergeCell ref="I173:J173"/>
    <mergeCell ref="K173:L173"/>
    <mergeCell ref="M173:N173"/>
    <mergeCell ref="B173:C173"/>
    <mergeCell ref="B174:C174"/>
    <mergeCell ref="D174:F174"/>
    <mergeCell ref="G174:H174"/>
    <mergeCell ref="I174:J174"/>
    <mergeCell ref="K174:L174"/>
    <mergeCell ref="M174:N174"/>
    <mergeCell ref="M202:N202"/>
    <mergeCell ref="J205:N205"/>
    <mergeCell ref="I200:J200"/>
    <mergeCell ref="K200:L200"/>
    <mergeCell ref="I201:J201"/>
    <mergeCell ref="K201:L201"/>
    <mergeCell ref="M201:N201"/>
    <mergeCell ref="I202:J202"/>
    <mergeCell ref="K202:L202"/>
    <mergeCell ref="I195:J195"/>
    <mergeCell ref="K195:L195"/>
    <mergeCell ref="I196:J196"/>
    <mergeCell ref="K196:L196"/>
    <mergeCell ref="M196:N196"/>
    <mergeCell ref="I197:J197"/>
    <mergeCell ref="K197:L197"/>
    <mergeCell ref="M197:N197"/>
    <mergeCell ref="B194:C194"/>
    <mergeCell ref="D194:F194"/>
    <mergeCell ref="G194:H194"/>
    <mergeCell ref="I194:J194"/>
    <mergeCell ref="K194:L194"/>
    <mergeCell ref="M194:N194"/>
    <mergeCell ref="B195:C195"/>
    <mergeCell ref="M195:N195"/>
    <mergeCell ref="D195:F195"/>
    <mergeCell ref="G195:H195"/>
    <mergeCell ref="B196:C196"/>
    <mergeCell ref="D196:F196"/>
    <mergeCell ref="G196:H196"/>
    <mergeCell ref="D197:F197"/>
    <mergeCell ref="G197:H197"/>
    <mergeCell ref="B197:C197"/>
    <mergeCell ref="B198:C198"/>
    <mergeCell ref="D198:F198"/>
    <mergeCell ref="G198:H198"/>
    <mergeCell ref="I198:J198"/>
    <mergeCell ref="K198:L198"/>
    <mergeCell ref="M198:N198"/>
    <mergeCell ref="B199:C199"/>
    <mergeCell ref="D199:F199"/>
    <mergeCell ref="G199:H199"/>
    <mergeCell ref="I199:J199"/>
    <mergeCell ref="K199:L199"/>
    <mergeCell ref="M199:N199"/>
    <mergeCell ref="B200:C200"/>
    <mergeCell ref="M200:N200"/>
    <mergeCell ref="B202:C202"/>
    <mergeCell ref="B203:C203"/>
    <mergeCell ref="D203:F203"/>
    <mergeCell ref="G203:H203"/>
    <mergeCell ref="I203:J203"/>
    <mergeCell ref="K203:L203"/>
    <mergeCell ref="M203:N203"/>
    <mergeCell ref="D200:F200"/>
    <mergeCell ref="G200:H200"/>
    <mergeCell ref="B201:C201"/>
    <mergeCell ref="D201:F201"/>
    <mergeCell ref="G201:H201"/>
    <mergeCell ref="D202:F202"/>
    <mergeCell ref="G202:H20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4.88"/>
    <col customWidth="1" min="3" max="3" width="4.13"/>
    <col customWidth="1" min="4" max="4" width="4.5"/>
    <col customWidth="1" min="5" max="5" width="2.75"/>
    <col customWidth="1" min="6" max="6" width="2.0"/>
    <col customWidth="1" min="7" max="7" width="7.75"/>
    <col customWidth="1" min="8" max="8" width="0.38"/>
    <col customWidth="1" min="9" max="9" width="5.0"/>
    <col customWidth="1" min="10" max="10" width="5.13"/>
    <col customWidth="1" min="11" max="11" width="6.75"/>
    <col customWidth="1" min="12" max="12" width="0.38"/>
    <col customWidth="1" min="13" max="13" width="4.5"/>
    <col customWidth="1" min="14" max="14" width="2.25"/>
    <col customWidth="1" min="15" max="15" width="9.5"/>
    <col customWidth="1" min="16" max="16" width="9.38"/>
    <col customWidth="1" min="17" max="17" width="8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1" t="s">
        <v>2</v>
      </c>
      <c r="J1" s="5" t="s">
        <v>3</v>
      </c>
      <c r="K1" s="3"/>
      <c r="L1" s="3"/>
      <c r="M1" s="3"/>
      <c r="N1" s="4"/>
      <c r="O1" s="6"/>
      <c r="P1" s="7"/>
      <c r="Q1" s="8"/>
    </row>
    <row r="2">
      <c r="A2" s="1" t="s">
        <v>4</v>
      </c>
      <c r="B2" s="37" t="s">
        <v>64</v>
      </c>
      <c r="C2" s="3"/>
      <c r="D2" s="3"/>
      <c r="E2" s="3"/>
      <c r="F2" s="3"/>
      <c r="G2" s="3"/>
      <c r="H2" s="4"/>
      <c r="I2" s="1" t="s">
        <v>6</v>
      </c>
      <c r="J2" s="10">
        <v>2.0</v>
      </c>
      <c r="K2" s="3"/>
      <c r="L2" s="3"/>
      <c r="M2" s="3"/>
      <c r="N2" s="4"/>
      <c r="O2" s="6"/>
      <c r="P2" s="7"/>
      <c r="Q2" s="8"/>
    </row>
    <row r="3">
      <c r="A3" s="11" t="s">
        <v>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12" t="s">
        <v>8</v>
      </c>
      <c r="P3" s="13" t="s">
        <v>9</v>
      </c>
      <c r="Q3" s="14" t="s">
        <v>10</v>
      </c>
    </row>
    <row r="4">
      <c r="A4" s="15" t="s">
        <v>11</v>
      </c>
      <c r="B4" s="2" t="s">
        <v>12</v>
      </c>
      <c r="C4" s="3"/>
      <c r="D4" s="3"/>
      <c r="E4" s="3"/>
      <c r="F4" s="4"/>
      <c r="G4" s="2" t="s">
        <v>13</v>
      </c>
      <c r="H4" s="3"/>
      <c r="I4" s="3"/>
      <c r="J4" s="3"/>
      <c r="K4" s="10" t="s">
        <v>14</v>
      </c>
      <c r="L4" s="3"/>
      <c r="M4" s="3"/>
      <c r="N4" s="4"/>
      <c r="O4" s="6"/>
      <c r="P4" s="7"/>
      <c r="Q4" s="8"/>
    </row>
    <row r="5">
      <c r="A5" s="16"/>
      <c r="B5" s="17" t="s">
        <v>15</v>
      </c>
      <c r="C5" s="4"/>
      <c r="D5" s="17" t="s">
        <v>16</v>
      </c>
      <c r="E5" s="3"/>
      <c r="F5" s="4"/>
      <c r="G5" s="17" t="s">
        <v>15</v>
      </c>
      <c r="H5" s="4"/>
      <c r="I5" s="17" t="s">
        <v>16</v>
      </c>
      <c r="J5" s="4"/>
      <c r="K5" s="17" t="s">
        <v>15</v>
      </c>
      <c r="L5" s="4"/>
      <c r="M5" s="17" t="s">
        <v>16</v>
      </c>
      <c r="N5" s="4"/>
      <c r="O5" s="6"/>
      <c r="P5" s="7"/>
      <c r="Q5" s="8"/>
    </row>
    <row r="6">
      <c r="A6" s="18" t="s">
        <v>65</v>
      </c>
      <c r="B6" s="38">
        <v>0.4125</v>
      </c>
      <c r="C6" s="39"/>
      <c r="D6" s="40">
        <v>0.7604166666666666</v>
      </c>
      <c r="E6" s="41"/>
      <c r="F6" s="39"/>
      <c r="G6" s="19"/>
      <c r="H6" s="4"/>
      <c r="I6" s="19"/>
      <c r="J6" s="4"/>
      <c r="K6" s="19"/>
      <c r="L6" s="4"/>
      <c r="M6" s="20"/>
      <c r="N6" s="4"/>
      <c r="O6" s="6">
        <f t="shared" ref="O6:O7" si="1">D6-B6</f>
        <v>0.3479166667</v>
      </c>
      <c r="P6" s="21">
        <v>0.375</v>
      </c>
      <c r="Q6" s="8"/>
    </row>
    <row r="7">
      <c r="A7" s="18" t="s">
        <v>66</v>
      </c>
      <c r="B7" s="42">
        <v>0.44722222222222224</v>
      </c>
      <c r="C7" s="43"/>
      <c r="D7" s="42">
        <v>0.7583333333333333</v>
      </c>
      <c r="E7" s="44"/>
      <c r="F7" s="43"/>
      <c r="G7" s="19"/>
      <c r="H7" s="4"/>
      <c r="I7" s="20"/>
      <c r="J7" s="4"/>
      <c r="K7" s="19"/>
      <c r="L7" s="4"/>
      <c r="M7" s="20"/>
      <c r="N7" s="4"/>
      <c r="O7" s="6">
        <f t="shared" si="1"/>
        <v>0.3111111111</v>
      </c>
      <c r="P7" s="21">
        <v>0.375</v>
      </c>
      <c r="Q7" s="8"/>
    </row>
    <row r="8">
      <c r="A8" s="18" t="s">
        <v>67</v>
      </c>
      <c r="B8" s="45"/>
      <c r="C8" s="46"/>
      <c r="D8" s="45"/>
      <c r="E8" s="47"/>
      <c r="F8" s="46"/>
      <c r="G8" s="19"/>
      <c r="H8" s="4"/>
      <c r="I8" s="20"/>
      <c r="J8" s="4"/>
      <c r="K8" s="19"/>
      <c r="L8" s="4"/>
      <c r="M8" s="19"/>
      <c r="N8" s="4"/>
      <c r="O8" s="6"/>
      <c r="P8" s="21">
        <v>0.375</v>
      </c>
      <c r="Q8" s="8"/>
    </row>
    <row r="9">
      <c r="A9" s="18" t="s">
        <v>68</v>
      </c>
      <c r="B9" s="20">
        <v>0.45902777777777776</v>
      </c>
      <c r="C9" s="4"/>
      <c r="D9" s="20">
        <v>0.8506944444444444</v>
      </c>
      <c r="E9" s="3"/>
      <c r="F9" s="4"/>
      <c r="G9" s="19"/>
      <c r="H9" s="4"/>
      <c r="I9" s="19"/>
      <c r="J9" s="4"/>
      <c r="K9" s="19"/>
      <c r="L9" s="4"/>
      <c r="M9" s="19"/>
      <c r="N9" s="4"/>
      <c r="O9" s="6">
        <f t="shared" ref="O9:O10" si="2">D9-B9</f>
        <v>0.3916666667</v>
      </c>
      <c r="P9" s="21">
        <v>0.375</v>
      </c>
      <c r="Q9" s="8"/>
    </row>
    <row r="10">
      <c r="A10" s="22" t="s">
        <v>69</v>
      </c>
      <c r="B10" s="20">
        <v>0.44305555555555554</v>
      </c>
      <c r="C10" s="4"/>
      <c r="D10" s="20">
        <v>0.6284722222222222</v>
      </c>
      <c r="E10" s="3"/>
      <c r="F10" s="4"/>
      <c r="G10" s="19"/>
      <c r="H10" s="4"/>
      <c r="I10" s="19"/>
      <c r="J10" s="4"/>
      <c r="K10" s="19"/>
      <c r="L10" s="4"/>
      <c r="M10" s="19"/>
      <c r="N10" s="4"/>
      <c r="O10" s="6">
        <f t="shared" si="2"/>
        <v>0.1854166667</v>
      </c>
      <c r="P10" s="21"/>
      <c r="Q10" s="8"/>
    </row>
    <row r="11">
      <c r="A11" s="22" t="s">
        <v>70</v>
      </c>
      <c r="B11" s="20"/>
      <c r="C11" s="4"/>
      <c r="D11" s="20"/>
      <c r="E11" s="3"/>
      <c r="F11" s="4"/>
      <c r="G11" s="25"/>
      <c r="H11" s="3"/>
      <c r="I11" s="26"/>
      <c r="J11" s="3"/>
      <c r="K11" s="24"/>
      <c r="L11" s="3"/>
      <c r="M11" s="24"/>
      <c r="N11" s="4"/>
      <c r="O11" s="6"/>
      <c r="P11" s="21">
        <v>0.375</v>
      </c>
      <c r="Q11" s="8"/>
    </row>
    <row r="12">
      <c r="A12" s="18" t="s">
        <v>71</v>
      </c>
      <c r="B12" s="20"/>
      <c r="C12" s="4"/>
      <c r="D12" s="20"/>
      <c r="E12" s="3"/>
      <c r="F12" s="4"/>
      <c r="G12" s="19"/>
      <c r="H12" s="4"/>
      <c r="I12" s="19"/>
      <c r="J12" s="4"/>
      <c r="K12" s="19"/>
      <c r="L12" s="4"/>
      <c r="M12" s="20"/>
      <c r="N12" s="4"/>
      <c r="O12" s="6"/>
      <c r="P12" s="21"/>
      <c r="Q12" s="8"/>
    </row>
    <row r="13">
      <c r="A13" s="18" t="s">
        <v>72</v>
      </c>
      <c r="B13" s="20">
        <v>0.3909722222222222</v>
      </c>
      <c r="C13" s="4"/>
      <c r="D13" s="20">
        <v>0.8236111111111111</v>
      </c>
      <c r="E13" s="3"/>
      <c r="F13" s="4"/>
      <c r="G13" s="19"/>
      <c r="H13" s="4"/>
      <c r="I13" s="19"/>
      <c r="J13" s="4"/>
      <c r="K13" s="19"/>
      <c r="L13" s="4"/>
      <c r="M13" s="20"/>
      <c r="N13" s="4"/>
      <c r="O13" s="6">
        <f t="shared" ref="O13:O14" si="3">D13-B13</f>
        <v>0.4326388889</v>
      </c>
      <c r="P13" s="21">
        <v>0.375</v>
      </c>
      <c r="Q13" s="8"/>
    </row>
    <row r="14">
      <c r="A14" s="18" t="s">
        <v>73</v>
      </c>
      <c r="B14" s="20">
        <v>0.41388888888888886</v>
      </c>
      <c r="C14" s="4"/>
      <c r="D14" s="20">
        <v>0.8055555555555556</v>
      </c>
      <c r="E14" s="3"/>
      <c r="F14" s="4"/>
      <c r="G14" s="19"/>
      <c r="H14" s="4"/>
      <c r="I14" s="19"/>
      <c r="J14" s="4"/>
      <c r="K14" s="20"/>
      <c r="L14" s="4"/>
      <c r="M14" s="19"/>
      <c r="N14" s="4"/>
      <c r="O14" s="6">
        <f t="shared" si="3"/>
        <v>0.3916666667</v>
      </c>
      <c r="P14" s="21">
        <v>0.375</v>
      </c>
      <c r="Q14" s="8"/>
      <c r="R14" s="50">
        <f>114.94*3.58</f>
        <v>411.4852</v>
      </c>
      <c r="S14" s="50">
        <f>R14*30%</f>
        <v>123.44556</v>
      </c>
    </row>
    <row r="15">
      <c r="A15" s="18" t="s">
        <v>74</v>
      </c>
      <c r="B15" s="20"/>
      <c r="C15" s="4"/>
      <c r="D15" s="20"/>
      <c r="E15" s="3"/>
      <c r="F15" s="4"/>
      <c r="G15" s="19"/>
      <c r="H15" s="4"/>
      <c r="I15" s="19"/>
      <c r="J15" s="4"/>
      <c r="K15" s="20"/>
      <c r="L15" s="4"/>
      <c r="M15" s="19"/>
      <c r="N15" s="4"/>
      <c r="O15" s="6"/>
      <c r="P15" s="21">
        <v>0.375</v>
      </c>
      <c r="Q15" s="8"/>
    </row>
    <row r="16">
      <c r="A16" s="18" t="s">
        <v>75</v>
      </c>
      <c r="B16" s="20">
        <v>0.45</v>
      </c>
      <c r="C16" s="4"/>
      <c r="D16" s="20">
        <v>0.8020833333333334</v>
      </c>
      <c r="E16" s="3"/>
      <c r="F16" s="4"/>
      <c r="G16" s="19"/>
      <c r="H16" s="4"/>
      <c r="I16" s="19"/>
      <c r="J16" s="4"/>
      <c r="K16" s="19"/>
      <c r="L16" s="4"/>
      <c r="M16" s="19"/>
      <c r="N16" s="4"/>
      <c r="O16" s="6">
        <f t="shared" ref="O16:O17" si="4">D16-B16</f>
        <v>0.3520833333</v>
      </c>
      <c r="P16" s="21">
        <v>0.375</v>
      </c>
      <c r="Q16" s="8"/>
    </row>
    <row r="17">
      <c r="A17" s="22" t="s">
        <v>76</v>
      </c>
      <c r="B17" s="20">
        <v>0.41388888888888886</v>
      </c>
      <c r="C17" s="4"/>
      <c r="D17" s="20">
        <v>0.7916666666666666</v>
      </c>
      <c r="E17" s="3"/>
      <c r="F17" s="4"/>
      <c r="G17" s="19"/>
      <c r="H17" s="4"/>
      <c r="I17" s="19"/>
      <c r="J17" s="4"/>
      <c r="K17" s="19"/>
      <c r="L17" s="4"/>
      <c r="M17" s="19"/>
      <c r="N17" s="4"/>
      <c r="O17" s="6">
        <f t="shared" si="4"/>
        <v>0.3777777778</v>
      </c>
      <c r="P17" s="21"/>
      <c r="Q17" s="8"/>
    </row>
    <row r="18">
      <c r="A18" s="22" t="s">
        <v>77</v>
      </c>
      <c r="B18" s="20"/>
      <c r="C18" s="4"/>
      <c r="D18" s="20"/>
      <c r="E18" s="3"/>
      <c r="F18" s="4"/>
      <c r="G18" s="19"/>
      <c r="H18" s="4"/>
      <c r="I18" s="19"/>
      <c r="J18" s="4"/>
      <c r="K18" s="19"/>
      <c r="L18" s="4"/>
      <c r="M18" s="20"/>
      <c r="N18" s="4"/>
      <c r="O18" s="6"/>
      <c r="P18" s="21"/>
      <c r="Q18" s="8"/>
    </row>
    <row r="19">
      <c r="A19" s="18" t="s">
        <v>78</v>
      </c>
      <c r="B19" s="20"/>
      <c r="C19" s="4"/>
      <c r="D19" s="20"/>
      <c r="E19" s="3"/>
      <c r="F19" s="4"/>
      <c r="G19" s="19"/>
      <c r="H19" s="4"/>
      <c r="I19" s="19"/>
      <c r="J19" s="4"/>
      <c r="K19" s="19"/>
      <c r="L19" s="4"/>
      <c r="M19" s="20"/>
      <c r="N19" s="4"/>
      <c r="O19" s="6"/>
      <c r="P19" s="21">
        <v>0.375</v>
      </c>
      <c r="Q19" s="8">
        <f>O19-P19</f>
        <v>-0.375</v>
      </c>
    </row>
    <row r="20">
      <c r="A20" s="18" t="s">
        <v>79</v>
      </c>
      <c r="B20" s="20">
        <v>0.5479166666666667</v>
      </c>
      <c r="C20" s="4"/>
      <c r="D20" s="20">
        <v>0.8444444444444444</v>
      </c>
      <c r="E20" s="3"/>
      <c r="F20" s="4"/>
      <c r="G20" s="19"/>
      <c r="H20" s="4"/>
      <c r="I20" s="19"/>
      <c r="J20" s="4"/>
      <c r="K20" s="19"/>
      <c r="L20" s="4"/>
      <c r="M20" s="20"/>
      <c r="N20" s="4"/>
      <c r="O20" s="6">
        <f t="shared" ref="O20:O21" si="5">D20-B20</f>
        <v>0.2965277778</v>
      </c>
      <c r="P20" s="21">
        <v>0.375</v>
      </c>
      <c r="Q20" s="8"/>
    </row>
    <row r="21">
      <c r="A21" s="18" t="s">
        <v>80</v>
      </c>
      <c r="B21" s="20">
        <v>0.2923611111111111</v>
      </c>
      <c r="C21" s="4"/>
      <c r="D21" s="20">
        <v>0.8243055555555555</v>
      </c>
      <c r="E21" s="3"/>
      <c r="F21" s="4"/>
      <c r="G21" s="19"/>
      <c r="H21" s="4"/>
      <c r="I21" s="19"/>
      <c r="J21" s="4"/>
      <c r="K21" s="19"/>
      <c r="L21" s="4"/>
      <c r="M21" s="19"/>
      <c r="N21" s="4"/>
      <c r="O21" s="6">
        <f t="shared" si="5"/>
        <v>0.5319444444</v>
      </c>
      <c r="P21" s="21"/>
      <c r="Q21" s="8"/>
    </row>
    <row r="22">
      <c r="A22" s="18" t="s">
        <v>43</v>
      </c>
      <c r="B22" s="20">
        <v>0.4465277777777778</v>
      </c>
      <c r="C22" s="4"/>
      <c r="D22" s="19"/>
      <c r="E22" s="3"/>
      <c r="F22" s="4"/>
      <c r="G22" s="19"/>
      <c r="H22" s="4"/>
      <c r="I22" s="19"/>
      <c r="J22" s="4"/>
      <c r="K22" s="19"/>
      <c r="L22" s="4"/>
      <c r="M22" s="19"/>
      <c r="N22" s="4"/>
      <c r="O22" s="28"/>
      <c r="P22" s="7"/>
      <c r="Q22" s="8">
        <f>Q6+Q7+Q8+Q10+Q12+Q14+Q16+Q17+Q18+Q19</f>
        <v>-0.375</v>
      </c>
    </row>
    <row r="23">
      <c r="O23" s="6"/>
      <c r="P23" s="7"/>
      <c r="Q23" s="8"/>
    </row>
    <row r="24">
      <c r="A24" s="1" t="s">
        <v>0</v>
      </c>
      <c r="B24" s="2" t="s">
        <v>1</v>
      </c>
      <c r="C24" s="3"/>
      <c r="D24" s="3"/>
      <c r="E24" s="3"/>
      <c r="F24" s="3"/>
      <c r="G24" s="3"/>
      <c r="H24" s="4"/>
      <c r="I24" s="1" t="s">
        <v>2</v>
      </c>
      <c r="J24" s="10" t="s">
        <v>33</v>
      </c>
      <c r="K24" s="3"/>
      <c r="L24" s="3"/>
      <c r="M24" s="3"/>
      <c r="N24" s="4"/>
      <c r="O24" s="6"/>
      <c r="P24" s="7"/>
      <c r="Q24" s="8"/>
    </row>
    <row r="25">
      <c r="A25" s="1" t="s">
        <v>4</v>
      </c>
      <c r="B25" s="37" t="s">
        <v>64</v>
      </c>
      <c r="C25" s="3"/>
      <c r="D25" s="3"/>
      <c r="E25" s="3"/>
      <c r="F25" s="3"/>
      <c r="G25" s="3"/>
      <c r="H25" s="4"/>
      <c r="I25" s="1" t="s">
        <v>6</v>
      </c>
      <c r="J25" s="10">
        <v>6.0</v>
      </c>
      <c r="K25" s="3"/>
      <c r="L25" s="3"/>
      <c r="M25" s="3"/>
      <c r="N25" s="4"/>
      <c r="O25" s="6"/>
      <c r="P25" s="7"/>
      <c r="Q25" s="8"/>
      <c r="S25" s="48" t="s">
        <v>61</v>
      </c>
    </row>
    <row r="26">
      <c r="A26" s="11" t="s">
        <v>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  <c r="O26" s="6"/>
      <c r="P26" s="7"/>
      <c r="Q26" s="8"/>
    </row>
    <row r="27">
      <c r="A27" s="15" t="s">
        <v>11</v>
      </c>
      <c r="B27" s="2" t="s">
        <v>12</v>
      </c>
      <c r="C27" s="3"/>
      <c r="D27" s="3"/>
      <c r="E27" s="3"/>
      <c r="F27" s="4"/>
      <c r="G27" s="2" t="s">
        <v>13</v>
      </c>
      <c r="H27" s="3"/>
      <c r="I27" s="3"/>
      <c r="J27" s="3"/>
      <c r="K27" s="10" t="s">
        <v>14</v>
      </c>
      <c r="L27" s="3"/>
      <c r="M27" s="3"/>
      <c r="N27" s="4"/>
      <c r="O27" s="12" t="s">
        <v>8</v>
      </c>
      <c r="P27" s="13" t="s">
        <v>9</v>
      </c>
      <c r="Q27" s="14" t="s">
        <v>10</v>
      </c>
    </row>
    <row r="28">
      <c r="A28" s="16"/>
      <c r="B28" s="17" t="s">
        <v>15</v>
      </c>
      <c r="C28" s="4"/>
      <c r="D28" s="17" t="s">
        <v>16</v>
      </c>
      <c r="E28" s="3"/>
      <c r="F28" s="4"/>
      <c r="G28" s="17" t="s">
        <v>15</v>
      </c>
      <c r="H28" s="4"/>
      <c r="I28" s="17" t="s">
        <v>16</v>
      </c>
      <c r="J28" s="4"/>
      <c r="K28" s="17" t="s">
        <v>15</v>
      </c>
      <c r="L28" s="4"/>
      <c r="M28" s="17" t="s">
        <v>16</v>
      </c>
      <c r="N28" s="4"/>
      <c r="O28" s="6"/>
      <c r="P28" s="7"/>
      <c r="Q28" s="8"/>
    </row>
    <row r="29">
      <c r="A29" s="18" t="s">
        <v>65</v>
      </c>
      <c r="B29" s="20">
        <v>0.38125</v>
      </c>
      <c r="C29" s="4"/>
      <c r="D29" s="20">
        <v>0.8298611111111112</v>
      </c>
      <c r="E29" s="3"/>
      <c r="F29" s="4"/>
      <c r="G29" s="19"/>
      <c r="H29" s="4"/>
      <c r="I29" s="19"/>
      <c r="J29" s="4"/>
      <c r="K29" s="19"/>
      <c r="L29" s="4"/>
      <c r="M29" s="20"/>
      <c r="N29" s="4"/>
      <c r="O29" s="6">
        <f t="shared" ref="O29:O33" si="6">D29-B29</f>
        <v>0.4486111111</v>
      </c>
      <c r="P29" s="21">
        <v>0.3541666666666667</v>
      </c>
      <c r="Q29" s="8">
        <f t="shared" ref="Q29:Q30" si="7">O29-P29</f>
        <v>0.09444444444</v>
      </c>
      <c r="R29" s="48">
        <v>285.5</v>
      </c>
      <c r="S29" s="50">
        <f>R29</f>
        <v>285.5</v>
      </c>
    </row>
    <row r="30">
      <c r="A30" s="18" t="s">
        <v>66</v>
      </c>
      <c r="B30" s="20">
        <v>0.17916666666666667</v>
      </c>
      <c r="C30" s="4"/>
      <c r="D30" s="20">
        <v>0.7652777777777777</v>
      </c>
      <c r="E30" s="3"/>
      <c r="F30" s="4"/>
      <c r="G30" s="19"/>
      <c r="H30" s="4"/>
      <c r="I30" s="19"/>
      <c r="J30" s="4"/>
      <c r="K30" s="19"/>
      <c r="L30" s="4"/>
      <c r="M30" s="20"/>
      <c r="N30" s="4"/>
      <c r="O30" s="6">
        <f t="shared" si="6"/>
        <v>0.5861111111</v>
      </c>
      <c r="P30" s="21">
        <v>0.3541666666666667</v>
      </c>
      <c r="Q30" s="8">
        <f t="shared" si="7"/>
        <v>0.2319444444</v>
      </c>
      <c r="R30" s="48">
        <v>705.84</v>
      </c>
      <c r="S30" s="48">
        <v>211.75</v>
      </c>
    </row>
    <row r="31">
      <c r="A31" s="18" t="s">
        <v>67</v>
      </c>
      <c r="B31" s="20">
        <v>0.42291666666666666</v>
      </c>
      <c r="C31" s="4"/>
      <c r="D31" s="20">
        <v>0.7569444444444444</v>
      </c>
      <c r="E31" s="3"/>
      <c r="F31" s="4"/>
      <c r="G31" s="19"/>
      <c r="H31" s="4"/>
      <c r="I31" s="19"/>
      <c r="J31" s="4"/>
      <c r="K31" s="19"/>
      <c r="L31" s="4"/>
      <c r="M31" s="20"/>
      <c r="N31" s="4"/>
      <c r="O31" s="6">
        <f t="shared" si="6"/>
        <v>0.3340277778</v>
      </c>
      <c r="P31" s="21">
        <v>0.3541666666666667</v>
      </c>
      <c r="Q31" s="8">
        <f>O31</f>
        <v>0.3340277778</v>
      </c>
      <c r="R31" s="49">
        <v>1058.76</v>
      </c>
      <c r="S31" s="51">
        <f>R31</f>
        <v>1058.76</v>
      </c>
    </row>
    <row r="32">
      <c r="A32" s="18" t="s">
        <v>68</v>
      </c>
      <c r="B32" s="29">
        <v>0.19027777777777777</v>
      </c>
      <c r="C32" s="4"/>
      <c r="D32" s="29">
        <v>0.8541666666666666</v>
      </c>
      <c r="E32" s="3"/>
      <c r="F32" s="4"/>
      <c r="G32" s="30"/>
      <c r="H32" s="4"/>
      <c r="I32" s="30"/>
      <c r="J32" s="4"/>
      <c r="K32" s="30"/>
      <c r="L32" s="4"/>
      <c r="M32" s="30"/>
      <c r="N32" s="4"/>
      <c r="O32" s="31">
        <f t="shared" si="6"/>
        <v>0.6638888889</v>
      </c>
      <c r="P32" s="32">
        <v>0.3541666666666667</v>
      </c>
      <c r="Q32" s="8">
        <f t="shared" ref="Q32:Q33" si="8">O32-P32</f>
        <v>0.3097222222</v>
      </c>
      <c r="R32" s="48">
        <v>959.62</v>
      </c>
    </row>
    <row r="33">
      <c r="A33" s="22" t="s">
        <v>69</v>
      </c>
      <c r="B33" s="20">
        <v>0.20625</v>
      </c>
      <c r="C33" s="4"/>
      <c r="D33" s="20">
        <v>0.8319444444444445</v>
      </c>
      <c r="E33" s="3"/>
      <c r="F33" s="4"/>
      <c r="G33" s="19"/>
      <c r="H33" s="4"/>
      <c r="I33" s="19"/>
      <c r="J33" s="4"/>
      <c r="K33" s="19"/>
      <c r="L33" s="4"/>
      <c r="M33" s="19"/>
      <c r="N33" s="4"/>
      <c r="O33" s="6">
        <f t="shared" si="6"/>
        <v>0.6256944444</v>
      </c>
      <c r="P33" s="21">
        <v>0.3541666666666667</v>
      </c>
      <c r="Q33" s="8">
        <f t="shared" si="8"/>
        <v>0.2715277778</v>
      </c>
      <c r="R33" s="48">
        <v>834.05</v>
      </c>
    </row>
    <row r="34">
      <c r="A34" s="22" t="s">
        <v>70</v>
      </c>
      <c r="B34" s="20"/>
      <c r="C34" s="4"/>
      <c r="D34" s="20"/>
      <c r="E34" s="3"/>
      <c r="F34" s="4"/>
      <c r="G34" s="19"/>
      <c r="H34" s="4"/>
      <c r="I34" s="19"/>
      <c r="J34" s="4"/>
      <c r="K34" s="19"/>
      <c r="L34" s="4"/>
      <c r="M34" s="20"/>
      <c r="N34" s="4"/>
      <c r="O34" s="6"/>
      <c r="P34" s="21"/>
      <c r="Q34" s="8"/>
    </row>
    <row r="35">
      <c r="A35" s="18" t="s">
        <v>71</v>
      </c>
      <c r="B35" s="20"/>
      <c r="C35" s="4"/>
      <c r="D35" s="20"/>
      <c r="E35" s="3"/>
      <c r="F35" s="4"/>
      <c r="G35" s="19"/>
      <c r="H35" s="4"/>
      <c r="I35" s="19"/>
      <c r="J35" s="4"/>
      <c r="K35" s="20"/>
      <c r="L35" s="4"/>
      <c r="M35" s="19"/>
      <c r="N35" s="4"/>
      <c r="O35" s="6"/>
      <c r="P35" s="21"/>
      <c r="Q35" s="8"/>
    </row>
    <row r="36">
      <c r="A36" s="18" t="s">
        <v>72</v>
      </c>
      <c r="B36" s="20"/>
      <c r="C36" s="4"/>
      <c r="D36" s="19"/>
      <c r="E36" s="3"/>
      <c r="F36" s="4"/>
      <c r="G36" s="19"/>
      <c r="H36" s="4"/>
      <c r="I36" s="19"/>
      <c r="J36" s="4"/>
      <c r="K36" s="19"/>
      <c r="L36" s="4"/>
      <c r="M36" s="20"/>
      <c r="N36" s="4"/>
      <c r="O36" s="6"/>
      <c r="P36" s="21"/>
      <c r="Q36" s="8"/>
    </row>
    <row r="37">
      <c r="A37" s="18" t="s">
        <v>73</v>
      </c>
      <c r="B37" s="20"/>
      <c r="C37" s="4"/>
      <c r="D37" s="20"/>
      <c r="E37" s="3"/>
      <c r="F37" s="4"/>
      <c r="G37" s="19"/>
      <c r="H37" s="4"/>
      <c r="I37" s="20"/>
      <c r="J37" s="4"/>
      <c r="K37" s="19"/>
      <c r="L37" s="4"/>
      <c r="M37" s="19"/>
      <c r="N37" s="4"/>
      <c r="O37" s="6"/>
      <c r="P37" s="21"/>
      <c r="Q37" s="8"/>
    </row>
    <row r="38">
      <c r="A38" s="18" t="s">
        <v>74</v>
      </c>
      <c r="B38" s="20"/>
      <c r="C38" s="4"/>
      <c r="D38" s="19"/>
      <c r="E38" s="3"/>
      <c r="F38" s="4"/>
      <c r="G38" s="19"/>
      <c r="H38" s="4"/>
      <c r="I38" s="19"/>
      <c r="J38" s="4"/>
      <c r="K38" s="19"/>
      <c r="L38" s="4"/>
      <c r="M38" s="20"/>
      <c r="N38" s="4"/>
      <c r="O38" s="6"/>
      <c r="P38" s="21"/>
      <c r="Q38" s="8"/>
    </row>
    <row r="39">
      <c r="A39" s="18" t="s">
        <v>75</v>
      </c>
      <c r="B39" s="29"/>
      <c r="C39" s="4"/>
      <c r="D39" s="29"/>
      <c r="E39" s="3"/>
      <c r="F39" s="4"/>
      <c r="G39" s="30"/>
      <c r="H39" s="4"/>
      <c r="I39" s="30"/>
      <c r="J39" s="4"/>
      <c r="K39" s="30"/>
      <c r="L39" s="4"/>
      <c r="M39" s="30"/>
      <c r="N39" s="4"/>
      <c r="O39" s="31"/>
      <c r="P39" s="32"/>
      <c r="Q39" s="8"/>
    </row>
    <row r="40">
      <c r="A40" s="22" t="s">
        <v>76</v>
      </c>
      <c r="B40" s="29"/>
      <c r="C40" s="4"/>
      <c r="D40" s="29"/>
      <c r="E40" s="3"/>
      <c r="F40" s="4"/>
      <c r="G40" s="30"/>
      <c r="H40" s="4"/>
      <c r="I40" s="30"/>
      <c r="J40" s="4"/>
      <c r="K40" s="30"/>
      <c r="L40" s="4"/>
      <c r="M40" s="30"/>
      <c r="N40" s="4"/>
      <c r="O40" s="31"/>
      <c r="P40" s="32"/>
      <c r="Q40" s="8"/>
    </row>
    <row r="41">
      <c r="A41" s="22" t="s">
        <v>77</v>
      </c>
      <c r="B41" s="20"/>
      <c r="C41" s="4"/>
      <c r="D41" s="20"/>
      <c r="E41" s="3"/>
      <c r="F41" s="4"/>
      <c r="G41" s="19"/>
      <c r="H41" s="4"/>
      <c r="I41" s="19"/>
      <c r="J41" s="4"/>
      <c r="K41" s="19"/>
      <c r="L41" s="4"/>
      <c r="M41" s="20"/>
      <c r="N41" s="4"/>
      <c r="O41" s="6"/>
      <c r="P41" s="21"/>
      <c r="Q41" s="8"/>
    </row>
    <row r="42">
      <c r="A42" s="18" t="s">
        <v>78</v>
      </c>
      <c r="B42" s="20"/>
      <c r="C42" s="4"/>
      <c r="D42" s="19"/>
      <c r="E42" s="3"/>
      <c r="F42" s="4"/>
      <c r="G42" s="19"/>
      <c r="H42" s="4"/>
      <c r="I42" s="19"/>
      <c r="J42" s="4"/>
      <c r="K42" s="19"/>
      <c r="L42" s="4"/>
      <c r="M42" s="20"/>
      <c r="N42" s="4"/>
      <c r="O42" s="6"/>
      <c r="P42" s="21"/>
      <c r="Q42" s="8"/>
    </row>
    <row r="43">
      <c r="A43" s="18" t="s">
        <v>79</v>
      </c>
      <c r="B43" s="20"/>
      <c r="C43" s="4"/>
      <c r="D43" s="19"/>
      <c r="E43" s="3"/>
      <c r="F43" s="4"/>
      <c r="G43" s="19"/>
      <c r="H43" s="4"/>
      <c r="I43" s="19"/>
      <c r="J43" s="4"/>
      <c r="K43" s="19"/>
      <c r="L43" s="4"/>
      <c r="M43" s="20"/>
      <c r="N43" s="4"/>
      <c r="O43" s="6"/>
      <c r="P43" s="21"/>
      <c r="Q43" s="8"/>
    </row>
    <row r="44">
      <c r="A44" s="18" t="s">
        <v>80</v>
      </c>
      <c r="B44" s="23"/>
      <c r="C44" s="4"/>
      <c r="D44" s="24"/>
      <c r="E44" s="3"/>
      <c r="F44" s="3"/>
      <c r="G44" s="25"/>
      <c r="H44" s="3"/>
      <c r="I44" s="26"/>
      <c r="J44" s="3"/>
      <c r="K44" s="24"/>
      <c r="L44" s="3"/>
      <c r="M44" s="24"/>
      <c r="N44" s="4"/>
      <c r="O44" s="6"/>
      <c r="P44" s="7"/>
      <c r="Q44" s="8">
        <f>Q29+Q30+Q31+Q32+Q33</f>
        <v>1.241666667</v>
      </c>
      <c r="R44" s="51">
        <f>R29+R30+R31+R32+R33+S29+S30+S31</f>
        <v>5399.78</v>
      </c>
    </row>
    <row r="45">
      <c r="A45" s="18" t="s">
        <v>43</v>
      </c>
      <c r="O45" s="28"/>
      <c r="P45" s="7"/>
      <c r="Q45" s="8"/>
    </row>
    <row r="46">
      <c r="O46" s="6"/>
      <c r="P46" s="7"/>
      <c r="Q46" s="8"/>
    </row>
    <row r="47">
      <c r="A47" s="1" t="s">
        <v>0</v>
      </c>
      <c r="B47" s="2" t="s">
        <v>1</v>
      </c>
      <c r="C47" s="3"/>
      <c r="D47" s="3"/>
      <c r="E47" s="3"/>
      <c r="F47" s="3"/>
      <c r="G47" s="3"/>
      <c r="H47" s="4"/>
      <c r="I47" s="1" t="s">
        <v>2</v>
      </c>
      <c r="J47" s="10" t="s">
        <v>117</v>
      </c>
      <c r="K47" s="3"/>
      <c r="L47" s="3"/>
      <c r="M47" s="3"/>
      <c r="N47" s="4"/>
      <c r="O47" s="6"/>
      <c r="P47" s="7"/>
      <c r="Q47" s="8"/>
    </row>
    <row r="48">
      <c r="A48" s="1" t="s">
        <v>4</v>
      </c>
      <c r="B48" s="37" t="s">
        <v>64</v>
      </c>
      <c r="C48" s="3"/>
      <c r="D48" s="3"/>
      <c r="E48" s="3"/>
      <c r="F48" s="3"/>
      <c r="G48" s="3"/>
      <c r="H48" s="4"/>
      <c r="I48" s="1" t="s">
        <v>6</v>
      </c>
      <c r="J48" s="10">
        <v>7.0</v>
      </c>
      <c r="K48" s="3"/>
      <c r="L48" s="3"/>
      <c r="M48" s="3"/>
      <c r="N48" s="4"/>
      <c r="O48" s="6"/>
      <c r="P48" s="7"/>
      <c r="Q48" s="8"/>
    </row>
    <row r="49">
      <c r="A49" s="11" t="s">
        <v>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4"/>
      <c r="O49" s="12" t="s">
        <v>8</v>
      </c>
      <c r="P49" s="13" t="s">
        <v>9</v>
      </c>
      <c r="Q49" s="14" t="s">
        <v>10</v>
      </c>
    </row>
    <row r="50">
      <c r="A50" s="15" t="s">
        <v>11</v>
      </c>
      <c r="B50" s="2" t="s">
        <v>12</v>
      </c>
      <c r="C50" s="3"/>
      <c r="D50" s="3"/>
      <c r="E50" s="3"/>
      <c r="F50" s="4"/>
      <c r="G50" s="2" t="s">
        <v>13</v>
      </c>
      <c r="H50" s="3"/>
      <c r="I50" s="3"/>
      <c r="J50" s="3"/>
      <c r="K50" s="10" t="s">
        <v>14</v>
      </c>
      <c r="L50" s="3"/>
      <c r="M50" s="3"/>
      <c r="N50" s="4"/>
      <c r="O50" s="6"/>
      <c r="P50" s="7"/>
      <c r="Q50" s="8"/>
    </row>
    <row r="51">
      <c r="A51" s="16"/>
      <c r="B51" s="17" t="s">
        <v>15</v>
      </c>
      <c r="C51" s="4"/>
      <c r="D51" s="17" t="s">
        <v>16</v>
      </c>
      <c r="E51" s="3"/>
      <c r="F51" s="4"/>
      <c r="G51" s="17" t="s">
        <v>15</v>
      </c>
      <c r="H51" s="4"/>
      <c r="I51" s="17" t="s">
        <v>16</v>
      </c>
      <c r="J51" s="4"/>
      <c r="K51" s="17" t="s">
        <v>15</v>
      </c>
      <c r="L51" s="4"/>
      <c r="M51" s="17" t="s">
        <v>16</v>
      </c>
      <c r="N51" s="4"/>
      <c r="O51" s="6"/>
      <c r="P51" s="7"/>
      <c r="Q51" s="8"/>
    </row>
    <row r="52">
      <c r="A52" s="18" t="s">
        <v>65</v>
      </c>
      <c r="B52" s="20">
        <v>0.3763888888888889</v>
      </c>
      <c r="C52" s="4"/>
      <c r="D52" s="20">
        <v>0.8270833333333333</v>
      </c>
      <c r="E52" s="3"/>
      <c r="F52" s="4"/>
      <c r="G52" s="20"/>
      <c r="H52" s="4"/>
      <c r="I52" s="19"/>
      <c r="J52" s="4"/>
      <c r="K52" s="19"/>
      <c r="L52" s="4"/>
      <c r="M52" s="20"/>
      <c r="N52" s="4"/>
      <c r="O52" s="6">
        <f>D52-B52</f>
        <v>0.4506944444</v>
      </c>
      <c r="P52" s="21">
        <v>0.3541666666666667</v>
      </c>
      <c r="Q52" s="8">
        <f>O52-P52</f>
        <v>0.09652777778</v>
      </c>
      <c r="R52" s="48">
        <v>226.53</v>
      </c>
      <c r="S52" s="50">
        <f>R52</f>
        <v>226.53</v>
      </c>
    </row>
    <row r="53">
      <c r="A53" s="18" t="s">
        <v>66</v>
      </c>
      <c r="B53" s="19"/>
      <c r="C53" s="4"/>
      <c r="D53" s="20"/>
      <c r="E53" s="3"/>
      <c r="F53" s="4"/>
      <c r="G53" s="19"/>
      <c r="H53" s="4"/>
      <c r="I53" s="19"/>
      <c r="J53" s="4"/>
      <c r="K53" s="19"/>
      <c r="L53" s="4"/>
      <c r="M53" s="20"/>
      <c r="N53" s="4"/>
      <c r="O53" s="6"/>
      <c r="P53" s="21"/>
      <c r="Q53" s="8"/>
    </row>
    <row r="54">
      <c r="A54" s="18" t="s">
        <v>67</v>
      </c>
      <c r="B54" s="19"/>
      <c r="C54" s="4"/>
      <c r="D54" s="20"/>
      <c r="E54" s="3"/>
      <c r="F54" s="4"/>
      <c r="G54" s="19"/>
      <c r="H54" s="4"/>
      <c r="I54" s="19"/>
      <c r="J54" s="4"/>
      <c r="K54" s="20"/>
      <c r="L54" s="4"/>
      <c r="M54" s="19"/>
      <c r="N54" s="4"/>
      <c r="O54" s="6"/>
      <c r="P54" s="21"/>
      <c r="Q54" s="8"/>
    </row>
    <row r="55">
      <c r="A55" s="18" t="s">
        <v>68</v>
      </c>
      <c r="B55" s="20">
        <v>0.20833333333333334</v>
      </c>
      <c r="C55" s="4"/>
      <c r="D55" s="20">
        <v>0.6111111111111112</v>
      </c>
      <c r="E55" s="3"/>
      <c r="F55" s="4"/>
      <c r="G55" s="19"/>
      <c r="H55" s="4"/>
      <c r="I55" s="19"/>
      <c r="J55" s="4"/>
      <c r="K55" s="19"/>
      <c r="L55" s="4"/>
      <c r="M55" s="19"/>
      <c r="N55" s="4"/>
      <c r="O55" s="6">
        <f t="shared" ref="O55:O56" si="9">D55-B55</f>
        <v>0.4027777778</v>
      </c>
      <c r="P55" s="21">
        <v>0.3541666666666667</v>
      </c>
      <c r="Q55" s="8">
        <f t="shared" ref="Q55:Q56" si="10">O55-P55</f>
        <v>0.04861111111</v>
      </c>
      <c r="R55" s="48">
        <v>113.78</v>
      </c>
    </row>
    <row r="56">
      <c r="A56" s="22" t="s">
        <v>69</v>
      </c>
      <c r="B56" s="20">
        <v>0.19305555555555556</v>
      </c>
      <c r="C56" s="4"/>
      <c r="D56" s="20">
        <v>0.6</v>
      </c>
      <c r="E56" s="3"/>
      <c r="F56" s="4"/>
      <c r="G56" s="19"/>
      <c r="H56" s="4"/>
      <c r="I56" s="19"/>
      <c r="J56" s="4"/>
      <c r="K56" s="19"/>
      <c r="L56" s="4"/>
      <c r="M56" s="19"/>
      <c r="N56" s="4"/>
      <c r="O56" s="6">
        <f t="shared" si="9"/>
        <v>0.4069444444</v>
      </c>
      <c r="P56" s="21">
        <v>0.3541666666666667</v>
      </c>
      <c r="Q56" s="8">
        <f t="shared" si="10"/>
        <v>0.05277777778</v>
      </c>
      <c r="R56" s="48">
        <v>119.99</v>
      </c>
    </row>
    <row r="57">
      <c r="A57" s="22" t="s">
        <v>70</v>
      </c>
      <c r="B57" s="23"/>
      <c r="C57" s="4"/>
      <c r="D57" s="24"/>
      <c r="E57" s="3"/>
      <c r="F57" s="3"/>
      <c r="G57" s="25"/>
      <c r="H57" s="3"/>
      <c r="I57" s="26"/>
      <c r="J57" s="3"/>
      <c r="K57" s="24"/>
      <c r="L57" s="3"/>
      <c r="M57" s="24"/>
      <c r="N57" s="4"/>
      <c r="O57" s="6"/>
      <c r="P57" s="7"/>
      <c r="Q57" s="8"/>
    </row>
    <row r="58">
      <c r="A58" s="18" t="s">
        <v>71</v>
      </c>
      <c r="B58" s="20"/>
      <c r="C58" s="4"/>
      <c r="D58" s="19"/>
      <c r="E58" s="3"/>
      <c r="F58" s="4"/>
      <c r="G58" s="19"/>
      <c r="H58" s="4"/>
      <c r="I58" s="19"/>
      <c r="J58" s="4"/>
      <c r="K58" s="20"/>
      <c r="L58" s="4"/>
      <c r="M58" s="19"/>
      <c r="N58" s="4"/>
      <c r="O58" s="6"/>
      <c r="P58" s="21"/>
      <c r="Q58" s="8"/>
    </row>
    <row r="59">
      <c r="A59" s="18" t="s">
        <v>72</v>
      </c>
      <c r="B59" s="19"/>
      <c r="C59" s="4"/>
      <c r="D59" s="19"/>
      <c r="E59" s="3"/>
      <c r="F59" s="4"/>
      <c r="G59" s="20"/>
      <c r="H59" s="4"/>
      <c r="I59" s="19"/>
      <c r="J59" s="4"/>
      <c r="K59" s="20"/>
      <c r="L59" s="4"/>
      <c r="M59" s="19"/>
      <c r="N59" s="4"/>
      <c r="O59" s="6"/>
      <c r="P59" s="21"/>
      <c r="Q59" s="8"/>
    </row>
    <row r="60">
      <c r="A60" s="18" t="s">
        <v>73</v>
      </c>
      <c r="B60" s="20"/>
      <c r="C60" s="4"/>
      <c r="D60" s="19"/>
      <c r="E60" s="3"/>
      <c r="F60" s="4"/>
      <c r="G60" s="19"/>
      <c r="H60" s="4"/>
      <c r="I60" s="20"/>
      <c r="J60" s="4"/>
      <c r="K60" s="19"/>
      <c r="L60" s="4"/>
      <c r="M60" s="19"/>
      <c r="N60" s="4"/>
      <c r="O60" s="6"/>
      <c r="P60" s="21"/>
      <c r="Q60" s="8"/>
    </row>
    <row r="61">
      <c r="A61" s="18" t="s">
        <v>74</v>
      </c>
      <c r="B61" s="19"/>
      <c r="C61" s="4"/>
      <c r="D61" s="20"/>
      <c r="E61" s="3"/>
      <c r="F61" s="4"/>
      <c r="G61" s="19"/>
      <c r="H61" s="4"/>
      <c r="I61" s="19"/>
      <c r="J61" s="4"/>
      <c r="K61" s="19"/>
      <c r="L61" s="4"/>
      <c r="M61" s="20"/>
      <c r="N61" s="4"/>
      <c r="O61" s="6"/>
      <c r="P61" s="21"/>
      <c r="Q61" s="8"/>
    </row>
    <row r="62">
      <c r="A62" s="18" t="s">
        <v>75</v>
      </c>
      <c r="B62" s="19"/>
      <c r="C62" s="4"/>
      <c r="D62" s="19"/>
      <c r="E62" s="3"/>
      <c r="F62" s="4"/>
      <c r="G62" s="19"/>
      <c r="H62" s="4"/>
      <c r="I62" s="19"/>
      <c r="J62" s="4"/>
      <c r="K62" s="19"/>
      <c r="L62" s="4"/>
      <c r="M62" s="19"/>
      <c r="N62" s="4"/>
      <c r="O62" s="6"/>
      <c r="P62" s="7"/>
      <c r="Q62" s="8"/>
    </row>
    <row r="63">
      <c r="A63" s="22" t="s">
        <v>76</v>
      </c>
      <c r="B63" s="19"/>
      <c r="C63" s="4"/>
      <c r="D63" s="19"/>
      <c r="E63" s="3"/>
      <c r="F63" s="4"/>
      <c r="G63" s="19"/>
      <c r="H63" s="4"/>
      <c r="I63" s="19"/>
      <c r="J63" s="4"/>
      <c r="K63" s="19"/>
      <c r="L63" s="4"/>
      <c r="M63" s="19"/>
      <c r="N63" s="4"/>
      <c r="O63" s="6"/>
      <c r="P63" s="7"/>
      <c r="Q63" s="8"/>
    </row>
    <row r="64">
      <c r="A64" s="22" t="s">
        <v>77</v>
      </c>
      <c r="B64" s="20"/>
      <c r="C64" s="4"/>
      <c r="D64" s="19"/>
      <c r="E64" s="3"/>
      <c r="F64" s="4"/>
      <c r="G64" s="19"/>
      <c r="H64" s="4"/>
      <c r="I64" s="20"/>
      <c r="J64" s="4"/>
      <c r="K64" s="19"/>
      <c r="L64" s="4"/>
      <c r="M64" s="19"/>
      <c r="N64" s="4"/>
      <c r="O64" s="6"/>
      <c r="P64" s="21"/>
      <c r="Q64" s="8"/>
    </row>
    <row r="65">
      <c r="A65" s="18" t="s">
        <v>78</v>
      </c>
      <c r="B65" s="19"/>
      <c r="C65" s="4"/>
      <c r="D65" s="20"/>
      <c r="E65" s="3"/>
      <c r="F65" s="4"/>
      <c r="G65" s="19"/>
      <c r="H65" s="4"/>
      <c r="I65" s="19"/>
      <c r="J65" s="4"/>
      <c r="K65" s="19"/>
      <c r="L65" s="4"/>
      <c r="M65" s="20"/>
      <c r="N65" s="4"/>
      <c r="O65" s="6"/>
      <c r="P65" s="21"/>
      <c r="Q65" s="8"/>
    </row>
    <row r="66">
      <c r="A66" s="18" t="s">
        <v>79</v>
      </c>
      <c r="B66" s="19"/>
      <c r="C66" s="4"/>
      <c r="D66" s="20"/>
      <c r="E66" s="3"/>
      <c r="F66" s="4"/>
      <c r="G66" s="19"/>
      <c r="H66" s="4"/>
      <c r="I66" s="19"/>
      <c r="J66" s="4"/>
      <c r="K66" s="19"/>
      <c r="L66" s="4"/>
      <c r="M66" s="20"/>
      <c r="N66" s="4"/>
      <c r="O66" s="6"/>
      <c r="P66" s="21"/>
      <c r="Q66" s="8"/>
    </row>
    <row r="67">
      <c r="A67" s="18" t="s">
        <v>80</v>
      </c>
      <c r="B67" s="33">
        <v>0.19722222222222222</v>
      </c>
      <c r="C67" s="4"/>
      <c r="D67" s="34">
        <v>0.6041666666666666</v>
      </c>
      <c r="E67" s="3"/>
      <c r="F67" s="3"/>
      <c r="G67" s="25"/>
      <c r="H67" s="3"/>
      <c r="I67" s="26"/>
      <c r="J67" s="3"/>
      <c r="K67" s="24"/>
      <c r="L67" s="3"/>
      <c r="M67" s="24"/>
      <c r="N67" s="4"/>
      <c r="O67" s="6">
        <f>D67-B67</f>
        <v>0.4069444444</v>
      </c>
      <c r="P67" s="21">
        <v>0.3541666666666667</v>
      </c>
      <c r="Q67" s="8">
        <f>O67-P67</f>
        <v>0.05277777778</v>
      </c>
      <c r="R67" s="48">
        <v>119.99</v>
      </c>
    </row>
    <row r="68">
      <c r="A68" s="18" t="s">
        <v>43</v>
      </c>
      <c r="O68" s="28" t="s">
        <v>10</v>
      </c>
      <c r="P68" s="7"/>
      <c r="Q68" s="8">
        <f>Q52+Q55+Q56+Q67</f>
        <v>0.2506944444</v>
      </c>
      <c r="R68" s="50">
        <f>R52+R55+R56+R67+S52</f>
        <v>806.82</v>
      </c>
    </row>
    <row r="69">
      <c r="O69" s="6"/>
      <c r="P69" s="7"/>
      <c r="Q69" s="8"/>
    </row>
    <row r="70">
      <c r="A70" s="1" t="s">
        <v>0</v>
      </c>
      <c r="B70" s="2" t="s">
        <v>1</v>
      </c>
      <c r="C70" s="3"/>
      <c r="D70" s="3"/>
      <c r="E70" s="3"/>
      <c r="F70" s="3"/>
      <c r="G70" s="3"/>
      <c r="H70" s="4"/>
      <c r="I70" s="1" t="s">
        <v>2</v>
      </c>
      <c r="J70" s="10" t="s">
        <v>63</v>
      </c>
      <c r="K70" s="3"/>
      <c r="L70" s="3"/>
      <c r="M70" s="3"/>
      <c r="N70" s="4"/>
      <c r="O70" s="6"/>
      <c r="P70" s="7"/>
      <c r="Q70" s="8"/>
    </row>
    <row r="71">
      <c r="A71" s="1" t="s">
        <v>4</v>
      </c>
      <c r="B71" s="37" t="s">
        <v>64</v>
      </c>
      <c r="C71" s="3"/>
      <c r="D71" s="3"/>
      <c r="E71" s="3"/>
      <c r="F71" s="3"/>
      <c r="G71" s="3"/>
      <c r="H71" s="4"/>
      <c r="I71" s="1" t="s">
        <v>6</v>
      </c>
      <c r="J71" s="10">
        <v>8.0</v>
      </c>
      <c r="K71" s="3"/>
      <c r="L71" s="3"/>
      <c r="M71" s="3"/>
      <c r="N71" s="4"/>
      <c r="O71" s="6"/>
      <c r="P71" s="7"/>
      <c r="Q71" s="8"/>
    </row>
    <row r="72">
      <c r="A72" s="11" t="s">
        <v>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4"/>
      <c r="O72" s="12" t="s">
        <v>8</v>
      </c>
      <c r="P72" s="13" t="s">
        <v>9</v>
      </c>
      <c r="Q72" s="14" t="s">
        <v>10</v>
      </c>
    </row>
    <row r="73">
      <c r="A73" s="15" t="s">
        <v>11</v>
      </c>
      <c r="B73" s="2" t="s">
        <v>12</v>
      </c>
      <c r="C73" s="3"/>
      <c r="D73" s="3"/>
      <c r="E73" s="3"/>
      <c r="F73" s="4"/>
      <c r="G73" s="2" t="s">
        <v>13</v>
      </c>
      <c r="H73" s="3"/>
      <c r="I73" s="3"/>
      <c r="J73" s="3"/>
      <c r="K73" s="10" t="s">
        <v>14</v>
      </c>
      <c r="L73" s="3"/>
      <c r="M73" s="3"/>
      <c r="N73" s="4"/>
      <c r="O73" s="6"/>
      <c r="P73" s="7"/>
      <c r="Q73" s="8"/>
    </row>
    <row r="74">
      <c r="A74" s="16"/>
      <c r="B74" s="17" t="s">
        <v>15</v>
      </c>
      <c r="C74" s="4"/>
      <c r="D74" s="17" t="s">
        <v>16</v>
      </c>
      <c r="E74" s="3"/>
      <c r="F74" s="4"/>
      <c r="G74" s="17" t="s">
        <v>15</v>
      </c>
      <c r="H74" s="4"/>
      <c r="I74" s="17" t="s">
        <v>16</v>
      </c>
      <c r="J74" s="4"/>
      <c r="K74" s="17" t="s">
        <v>15</v>
      </c>
      <c r="L74" s="4"/>
      <c r="M74" s="17" t="s">
        <v>16</v>
      </c>
      <c r="N74" s="4"/>
      <c r="O74" s="6"/>
      <c r="P74" s="7"/>
      <c r="Q74" s="8"/>
    </row>
    <row r="75">
      <c r="A75" s="18" t="s">
        <v>65</v>
      </c>
      <c r="B75" s="20">
        <v>0.40902777777777777</v>
      </c>
      <c r="C75" s="4"/>
      <c r="D75" s="20">
        <v>0.8270833333333333</v>
      </c>
      <c r="E75" s="3"/>
      <c r="F75" s="4"/>
      <c r="G75" s="19"/>
      <c r="H75" s="4"/>
      <c r="I75" s="19"/>
      <c r="J75" s="4"/>
      <c r="K75" s="20"/>
      <c r="L75" s="4"/>
      <c r="M75" s="19"/>
      <c r="N75" s="4"/>
      <c r="O75" s="6">
        <f>D75-B75</f>
        <v>0.4180555556</v>
      </c>
      <c r="P75" s="21">
        <v>0.3541666666666667</v>
      </c>
      <c r="Q75" s="8">
        <f>O75-P75</f>
        <v>0.06388888889</v>
      </c>
      <c r="R75" s="48">
        <v>136.54</v>
      </c>
      <c r="S75" s="50">
        <f>R75</f>
        <v>136.54</v>
      </c>
    </row>
    <row r="76">
      <c r="A76" s="18" t="s">
        <v>66</v>
      </c>
      <c r="B76" s="33"/>
      <c r="C76" s="4"/>
      <c r="D76" s="34"/>
      <c r="E76" s="3"/>
      <c r="F76" s="3"/>
      <c r="G76" s="25"/>
      <c r="H76" s="3"/>
      <c r="I76" s="26"/>
      <c r="J76" s="3"/>
      <c r="K76" s="24"/>
      <c r="L76" s="3"/>
      <c r="M76" s="24"/>
      <c r="N76" s="4"/>
      <c r="O76" s="6"/>
      <c r="P76" s="21"/>
      <c r="Q76" s="8"/>
    </row>
    <row r="77">
      <c r="A77" s="18" t="s">
        <v>67</v>
      </c>
      <c r="B77" s="20"/>
      <c r="C77" s="4"/>
      <c r="D77" s="20"/>
      <c r="E77" s="3"/>
      <c r="F77" s="4"/>
      <c r="G77" s="19"/>
      <c r="H77" s="4"/>
      <c r="I77" s="20"/>
      <c r="J77" s="4"/>
      <c r="K77" s="19"/>
      <c r="L77" s="4"/>
      <c r="M77" s="19"/>
      <c r="N77" s="4"/>
      <c r="O77" s="6"/>
      <c r="P77" s="21"/>
      <c r="Q77" s="8"/>
    </row>
    <row r="78">
      <c r="A78" s="18" t="s">
        <v>68</v>
      </c>
      <c r="B78" s="20">
        <v>0.3638888888888889</v>
      </c>
      <c r="C78" s="4"/>
      <c r="D78" s="20">
        <v>0.8513888888888889</v>
      </c>
      <c r="E78" s="3"/>
      <c r="F78" s="4"/>
      <c r="G78" s="19"/>
      <c r="H78" s="4"/>
      <c r="I78" s="19"/>
      <c r="J78" s="4"/>
      <c r="K78" s="19"/>
      <c r="L78" s="4"/>
      <c r="M78" s="19"/>
      <c r="N78" s="4"/>
      <c r="O78" s="6">
        <f>D78-B78</f>
        <v>0.4875</v>
      </c>
      <c r="P78" s="21">
        <v>0.3541666666666667</v>
      </c>
      <c r="Q78" s="8">
        <f>O78-P78</f>
        <v>0.1333333333</v>
      </c>
      <c r="R78" s="48">
        <v>322.73</v>
      </c>
    </row>
    <row r="79">
      <c r="A79" s="22" t="s">
        <v>69</v>
      </c>
      <c r="B79" s="20"/>
      <c r="C79" s="4"/>
      <c r="D79" s="20"/>
      <c r="E79" s="3"/>
      <c r="F79" s="4"/>
      <c r="G79" s="19"/>
      <c r="H79" s="4"/>
      <c r="I79" s="19"/>
      <c r="J79" s="4"/>
      <c r="K79" s="19"/>
      <c r="L79" s="4"/>
      <c r="M79" s="19"/>
      <c r="N79" s="4"/>
      <c r="O79" s="6"/>
      <c r="P79" s="21"/>
      <c r="Q79" s="8"/>
    </row>
    <row r="80">
      <c r="A80" s="22" t="s">
        <v>70</v>
      </c>
      <c r="B80" s="20"/>
      <c r="C80" s="4"/>
      <c r="D80" s="20"/>
      <c r="E80" s="3"/>
      <c r="F80" s="4"/>
      <c r="G80" s="19"/>
      <c r="H80" s="4"/>
      <c r="I80" s="20"/>
      <c r="J80" s="4"/>
      <c r="K80" s="19"/>
      <c r="L80" s="4"/>
      <c r="M80" s="19"/>
      <c r="N80" s="4"/>
      <c r="O80" s="6"/>
      <c r="P80" s="21"/>
      <c r="Q80" s="8"/>
    </row>
    <row r="81">
      <c r="A81" s="18" t="s">
        <v>71</v>
      </c>
      <c r="B81" s="20"/>
      <c r="C81" s="4"/>
      <c r="D81" s="19"/>
      <c r="E81" s="3"/>
      <c r="F81" s="4"/>
      <c r="G81" s="19"/>
      <c r="H81" s="4"/>
      <c r="I81" s="19"/>
      <c r="J81" s="4"/>
      <c r="K81" s="20"/>
      <c r="L81" s="4"/>
      <c r="M81" s="19"/>
      <c r="N81" s="4"/>
      <c r="O81" s="6"/>
      <c r="P81" s="21"/>
      <c r="Q81" s="8"/>
    </row>
    <row r="82">
      <c r="A82" s="18" t="s">
        <v>72</v>
      </c>
      <c r="B82" s="20"/>
      <c r="C82" s="4"/>
      <c r="D82" s="19"/>
      <c r="E82" s="3"/>
      <c r="F82" s="4"/>
      <c r="G82" s="19"/>
      <c r="H82" s="4"/>
      <c r="I82" s="19"/>
      <c r="J82" s="4"/>
      <c r="K82" s="20"/>
      <c r="L82" s="4"/>
      <c r="M82" s="19"/>
      <c r="N82" s="4"/>
      <c r="O82" s="6"/>
      <c r="P82" s="21"/>
      <c r="Q82" s="8"/>
    </row>
    <row r="83">
      <c r="A83" s="18" t="s">
        <v>73</v>
      </c>
      <c r="B83" s="20"/>
      <c r="C83" s="4"/>
      <c r="D83" s="20"/>
      <c r="E83" s="3"/>
      <c r="F83" s="4"/>
      <c r="G83" s="19"/>
      <c r="H83" s="4"/>
      <c r="I83" s="20"/>
      <c r="J83" s="4"/>
      <c r="K83" s="19"/>
      <c r="L83" s="4"/>
      <c r="M83" s="19"/>
      <c r="N83" s="4"/>
      <c r="O83" s="6"/>
      <c r="P83" s="21"/>
      <c r="Q83" s="8"/>
    </row>
    <row r="84">
      <c r="A84" s="18" t="s">
        <v>74</v>
      </c>
      <c r="B84" s="20">
        <v>0.3840277777777778</v>
      </c>
      <c r="C84" s="4"/>
      <c r="D84" s="20">
        <v>0.7916666666666666</v>
      </c>
      <c r="E84" s="3"/>
      <c r="F84" s="4"/>
      <c r="G84" s="19"/>
      <c r="H84" s="4"/>
      <c r="I84" s="20"/>
      <c r="J84" s="4"/>
      <c r="K84" s="19"/>
      <c r="L84" s="4"/>
      <c r="M84" s="19"/>
      <c r="N84" s="4"/>
      <c r="O84" s="6">
        <f>D84-B84</f>
        <v>0.4076388889</v>
      </c>
      <c r="P84" s="21">
        <v>0.3541666666666667</v>
      </c>
      <c r="Q84" s="8">
        <f>O84-P84</f>
        <v>0.05347222222</v>
      </c>
      <c r="R84" s="48">
        <v>121.02</v>
      </c>
    </row>
    <row r="85">
      <c r="A85" s="18" t="s">
        <v>75</v>
      </c>
      <c r="B85" s="20"/>
      <c r="C85" s="4"/>
      <c r="D85" s="20"/>
      <c r="E85" s="3"/>
      <c r="F85" s="4"/>
      <c r="G85" s="19"/>
      <c r="H85" s="4"/>
      <c r="I85" s="19"/>
      <c r="J85" s="4"/>
      <c r="K85" s="19"/>
      <c r="L85" s="4"/>
      <c r="M85" s="19"/>
      <c r="N85" s="4"/>
      <c r="O85" s="6"/>
      <c r="P85" s="21"/>
      <c r="Q85" s="8"/>
    </row>
    <row r="86">
      <c r="A86" s="22" t="s">
        <v>76</v>
      </c>
      <c r="B86" s="20"/>
      <c r="C86" s="4"/>
      <c r="D86" s="20"/>
      <c r="E86" s="3"/>
      <c r="F86" s="4"/>
      <c r="G86" s="19"/>
      <c r="H86" s="4"/>
      <c r="I86" s="19"/>
      <c r="J86" s="4"/>
      <c r="K86" s="19"/>
      <c r="L86" s="4"/>
      <c r="M86" s="19"/>
      <c r="N86" s="4"/>
      <c r="O86" s="6"/>
      <c r="P86" s="21"/>
      <c r="Q86" s="8"/>
    </row>
    <row r="87">
      <c r="A87" s="22" t="s">
        <v>77</v>
      </c>
      <c r="B87" s="20"/>
      <c r="C87" s="4"/>
      <c r="D87" s="20"/>
      <c r="E87" s="3"/>
      <c r="F87" s="4"/>
      <c r="G87" s="19"/>
      <c r="H87" s="4"/>
      <c r="I87" s="20"/>
      <c r="J87" s="4"/>
      <c r="K87" s="19"/>
      <c r="L87" s="4"/>
      <c r="M87" s="19"/>
      <c r="N87" s="4"/>
      <c r="O87" s="6"/>
      <c r="P87" s="21"/>
      <c r="Q87" s="8"/>
    </row>
    <row r="88">
      <c r="A88" s="18" t="s">
        <v>78</v>
      </c>
      <c r="B88" s="19"/>
      <c r="C88" s="4"/>
      <c r="D88" s="20"/>
      <c r="E88" s="3"/>
      <c r="F88" s="4"/>
      <c r="G88" s="19"/>
      <c r="H88" s="4"/>
      <c r="I88" s="19"/>
      <c r="J88" s="4"/>
      <c r="K88" s="19"/>
      <c r="L88" s="4"/>
      <c r="M88" s="20"/>
      <c r="N88" s="4"/>
      <c r="O88" s="6"/>
      <c r="P88" s="21"/>
      <c r="Q88" s="8"/>
    </row>
    <row r="89">
      <c r="A89" s="18" t="s">
        <v>79</v>
      </c>
      <c r="B89" s="20"/>
      <c r="C89" s="4"/>
      <c r="D89" s="19"/>
      <c r="E89" s="3"/>
      <c r="F89" s="4"/>
      <c r="G89" s="19"/>
      <c r="H89" s="4"/>
      <c r="I89" s="19"/>
      <c r="J89" s="4"/>
      <c r="K89" s="20"/>
      <c r="L89" s="4"/>
      <c r="M89" s="19"/>
      <c r="N89" s="4"/>
      <c r="O89" s="6"/>
      <c r="P89" s="21"/>
      <c r="Q89" s="8">
        <f>Q75+Q78+Q84</f>
        <v>0.2506944444</v>
      </c>
      <c r="R89" s="50">
        <f>R75+R78+R84+S75</f>
        <v>716.83</v>
      </c>
    </row>
    <row r="90">
      <c r="A90" s="18" t="s">
        <v>80</v>
      </c>
      <c r="B90" s="23"/>
      <c r="C90" s="4"/>
      <c r="D90" s="24"/>
      <c r="E90" s="3"/>
      <c r="F90" s="3"/>
      <c r="G90" s="25"/>
      <c r="H90" s="3"/>
      <c r="I90" s="26"/>
      <c r="J90" s="3"/>
      <c r="K90" s="24"/>
      <c r="L90" s="3"/>
      <c r="M90" s="24"/>
      <c r="N90" s="4"/>
      <c r="O90" s="6"/>
      <c r="P90" s="7"/>
      <c r="Q90" s="8"/>
    </row>
    <row r="91">
      <c r="A91" s="18" t="s">
        <v>43</v>
      </c>
      <c r="O91" s="6"/>
      <c r="P91" s="7"/>
      <c r="Q91" s="8"/>
    </row>
    <row r="92">
      <c r="A92" s="1" t="s">
        <v>0</v>
      </c>
      <c r="B92" s="2" t="s">
        <v>1</v>
      </c>
      <c r="C92" s="3"/>
      <c r="D92" s="3"/>
      <c r="E92" s="3"/>
      <c r="F92" s="3"/>
      <c r="G92" s="3"/>
      <c r="H92" s="4"/>
      <c r="I92" s="1" t="s">
        <v>2</v>
      </c>
      <c r="J92" s="10" t="s">
        <v>81</v>
      </c>
      <c r="K92" s="3"/>
      <c r="L92" s="3"/>
      <c r="M92" s="3"/>
      <c r="N92" s="4"/>
      <c r="O92" s="6"/>
      <c r="P92" s="7"/>
      <c r="Q92" s="8"/>
    </row>
    <row r="93">
      <c r="A93" s="1" t="s">
        <v>4</v>
      </c>
      <c r="B93" s="37" t="s">
        <v>64</v>
      </c>
      <c r="C93" s="3"/>
      <c r="D93" s="3"/>
      <c r="E93" s="3"/>
      <c r="F93" s="3"/>
      <c r="G93" s="3"/>
      <c r="H93" s="4"/>
      <c r="I93" s="1" t="s">
        <v>6</v>
      </c>
      <c r="J93" s="10">
        <v>9.0</v>
      </c>
      <c r="K93" s="3"/>
      <c r="L93" s="3"/>
      <c r="M93" s="3"/>
      <c r="N93" s="4"/>
      <c r="O93" s="6"/>
      <c r="P93" s="7"/>
      <c r="Q93" s="8"/>
    </row>
    <row r="94">
      <c r="A94" s="11" t="s">
        <v>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4"/>
      <c r="O94" s="12" t="s">
        <v>8</v>
      </c>
      <c r="P94" s="13" t="s">
        <v>9</v>
      </c>
      <c r="Q94" s="14" t="s">
        <v>10</v>
      </c>
    </row>
    <row r="95">
      <c r="A95" s="15" t="s">
        <v>11</v>
      </c>
      <c r="B95" s="2" t="s">
        <v>12</v>
      </c>
      <c r="C95" s="3"/>
      <c r="D95" s="3"/>
      <c r="E95" s="3"/>
      <c r="F95" s="4"/>
      <c r="G95" s="2" t="s">
        <v>13</v>
      </c>
      <c r="H95" s="3"/>
      <c r="I95" s="3"/>
      <c r="J95" s="3"/>
      <c r="K95" s="10" t="s">
        <v>14</v>
      </c>
      <c r="L95" s="3"/>
      <c r="M95" s="3"/>
      <c r="N95" s="4"/>
      <c r="O95" s="6"/>
      <c r="P95" s="7"/>
      <c r="Q95" s="8"/>
    </row>
    <row r="96">
      <c r="A96" s="16"/>
      <c r="B96" s="17" t="s">
        <v>15</v>
      </c>
      <c r="C96" s="4"/>
      <c r="D96" s="17" t="s">
        <v>16</v>
      </c>
      <c r="E96" s="3"/>
      <c r="F96" s="4"/>
      <c r="G96" s="17" t="s">
        <v>15</v>
      </c>
      <c r="H96" s="4"/>
      <c r="I96" s="17" t="s">
        <v>16</v>
      </c>
      <c r="J96" s="4"/>
      <c r="K96" s="17" t="s">
        <v>15</v>
      </c>
      <c r="L96" s="4"/>
      <c r="M96" s="17" t="s">
        <v>16</v>
      </c>
      <c r="N96" s="4"/>
      <c r="O96" s="6"/>
      <c r="P96" s="7"/>
      <c r="Q96" s="8"/>
    </row>
    <row r="97">
      <c r="A97" s="18" t="s">
        <v>65</v>
      </c>
      <c r="B97" s="20"/>
      <c r="C97" s="4"/>
      <c r="D97" s="19"/>
      <c r="E97" s="3"/>
      <c r="F97" s="4"/>
      <c r="G97" s="19"/>
      <c r="H97" s="4"/>
      <c r="I97" s="19"/>
      <c r="J97" s="4"/>
      <c r="K97" s="19"/>
      <c r="L97" s="4"/>
      <c r="M97" s="20"/>
      <c r="N97" s="4"/>
      <c r="O97" s="6"/>
      <c r="P97" s="21"/>
      <c r="Q97" s="8"/>
    </row>
    <row r="98">
      <c r="A98" s="18" t="s">
        <v>66</v>
      </c>
      <c r="B98" s="23"/>
      <c r="C98" s="4"/>
      <c r="D98" s="24"/>
      <c r="E98" s="3"/>
      <c r="F98" s="3"/>
      <c r="G98" s="25"/>
      <c r="H98" s="3"/>
      <c r="I98" s="26"/>
      <c r="J98" s="3"/>
      <c r="K98" s="24"/>
      <c r="L98" s="3"/>
      <c r="M98" s="24"/>
      <c r="N98" s="4"/>
      <c r="O98" s="6"/>
      <c r="P98" s="7"/>
      <c r="Q98" s="8"/>
    </row>
    <row r="99">
      <c r="A99" s="18" t="s">
        <v>67</v>
      </c>
      <c r="B99" s="20"/>
      <c r="C99" s="4"/>
      <c r="D99" s="19"/>
      <c r="E99" s="3"/>
      <c r="F99" s="4"/>
      <c r="G99" s="19"/>
      <c r="H99" s="4"/>
      <c r="I99" s="20"/>
      <c r="J99" s="4"/>
      <c r="K99" s="19"/>
      <c r="L99" s="4"/>
      <c r="M99" s="19"/>
      <c r="N99" s="4"/>
      <c r="O99" s="6"/>
      <c r="P99" s="21"/>
      <c r="Q99" s="8"/>
    </row>
    <row r="100">
      <c r="A100" s="18" t="s">
        <v>68</v>
      </c>
      <c r="B100" s="20"/>
      <c r="C100" s="4"/>
      <c r="D100" s="20"/>
      <c r="E100" s="3"/>
      <c r="F100" s="4"/>
      <c r="G100" s="19"/>
      <c r="H100" s="4"/>
      <c r="I100" s="19"/>
      <c r="J100" s="4"/>
      <c r="K100" s="19"/>
      <c r="L100" s="4"/>
      <c r="M100" s="19"/>
      <c r="N100" s="4"/>
      <c r="O100" s="6"/>
      <c r="P100" s="21"/>
      <c r="Q100" s="8"/>
    </row>
    <row r="101">
      <c r="A101" s="22" t="s">
        <v>69</v>
      </c>
      <c r="B101" s="19"/>
      <c r="C101" s="4"/>
      <c r="D101" s="19"/>
      <c r="E101" s="3"/>
      <c r="F101" s="4"/>
      <c r="G101" s="19"/>
      <c r="H101" s="4"/>
      <c r="I101" s="19"/>
      <c r="J101" s="4"/>
      <c r="K101" s="19"/>
      <c r="L101" s="4"/>
      <c r="M101" s="19"/>
      <c r="N101" s="4"/>
      <c r="O101" s="6"/>
      <c r="P101" s="7"/>
      <c r="Q101" s="8"/>
    </row>
    <row r="102">
      <c r="A102" s="22" t="s">
        <v>70</v>
      </c>
      <c r="B102" s="20"/>
      <c r="C102" s="4"/>
      <c r="D102" s="19"/>
      <c r="E102" s="3"/>
      <c r="F102" s="4"/>
      <c r="G102" s="20"/>
      <c r="H102" s="4"/>
      <c r="I102" s="19"/>
      <c r="J102" s="4"/>
      <c r="K102" s="19"/>
      <c r="L102" s="4"/>
      <c r="M102" s="19"/>
      <c r="N102" s="4"/>
      <c r="O102" s="6"/>
      <c r="P102" s="21"/>
      <c r="Q102" s="8"/>
    </row>
    <row r="103">
      <c r="A103" s="18" t="s">
        <v>71</v>
      </c>
      <c r="B103" s="20">
        <v>0.18333333333333332</v>
      </c>
      <c r="C103" s="4"/>
      <c r="D103" s="20">
        <v>0.8895833333333333</v>
      </c>
      <c r="E103" s="3"/>
      <c r="F103" s="4"/>
      <c r="G103" s="20"/>
      <c r="H103" s="4"/>
      <c r="I103" s="19"/>
      <c r="J103" s="4"/>
      <c r="K103" s="19"/>
      <c r="L103" s="4"/>
      <c r="M103" s="19"/>
      <c r="N103" s="4"/>
      <c r="O103" s="6">
        <f t="shared" ref="O103:O108" si="11">D103-B103</f>
        <v>0.70625</v>
      </c>
      <c r="P103" s="21">
        <v>0.3541666666666667</v>
      </c>
      <c r="Q103" s="8">
        <f t="shared" ref="Q103:Q107" si="12">O103-P103</f>
        <v>0.3520833333</v>
      </c>
      <c r="R103" s="48">
        <v>760.42</v>
      </c>
    </row>
    <row r="104">
      <c r="A104" s="18" t="s">
        <v>72</v>
      </c>
      <c r="B104" s="20">
        <v>0.18472222222222223</v>
      </c>
      <c r="C104" s="4"/>
      <c r="D104" s="20">
        <v>0.8131944444444444</v>
      </c>
      <c r="E104" s="3"/>
      <c r="F104" s="4"/>
      <c r="G104" s="19"/>
      <c r="H104" s="4"/>
      <c r="I104" s="19"/>
      <c r="J104" s="4"/>
      <c r="K104" s="20"/>
      <c r="L104" s="4"/>
      <c r="M104" s="19"/>
      <c r="N104" s="4"/>
      <c r="O104" s="6">
        <f t="shared" si="11"/>
        <v>0.6284722222</v>
      </c>
      <c r="P104" s="21">
        <v>0.3541666666666667</v>
      </c>
      <c r="Q104" s="8">
        <f t="shared" si="12"/>
        <v>0.2743055556</v>
      </c>
      <c r="R104" s="48">
        <v>583.88</v>
      </c>
    </row>
    <row r="105">
      <c r="A105" s="18" t="s">
        <v>73</v>
      </c>
      <c r="B105" s="33">
        <v>0.18541666666666667</v>
      </c>
      <c r="C105" s="4"/>
      <c r="D105" s="34">
        <v>0.8347222222222223</v>
      </c>
      <c r="E105" s="3"/>
      <c r="F105" s="3"/>
      <c r="G105" s="25"/>
      <c r="H105" s="3"/>
      <c r="I105" s="26"/>
      <c r="J105" s="3"/>
      <c r="K105" s="24"/>
      <c r="L105" s="3"/>
      <c r="M105" s="24"/>
      <c r="N105" s="4"/>
      <c r="O105" s="6">
        <f t="shared" si="11"/>
        <v>0.6493055556</v>
      </c>
      <c r="P105" s="21">
        <v>0.3541666666666667</v>
      </c>
      <c r="Q105" s="8">
        <f t="shared" si="12"/>
        <v>0.2951388889</v>
      </c>
      <c r="R105" s="48">
        <v>648.24</v>
      </c>
    </row>
    <row r="106">
      <c r="A106" s="18" t="s">
        <v>74</v>
      </c>
      <c r="B106" s="20">
        <v>0.18333333333333332</v>
      </c>
      <c r="C106" s="4"/>
      <c r="D106" s="20">
        <v>0.7708333333333334</v>
      </c>
      <c r="E106" s="3"/>
      <c r="F106" s="4"/>
      <c r="G106" s="20"/>
      <c r="H106" s="4"/>
      <c r="I106" s="19"/>
      <c r="J106" s="4"/>
      <c r="K106" s="19"/>
      <c r="L106" s="4"/>
      <c r="M106" s="19"/>
      <c r="N106" s="4"/>
      <c r="O106" s="6">
        <f t="shared" si="11"/>
        <v>0.5875</v>
      </c>
      <c r="P106" s="21">
        <v>0.3541666666666667</v>
      </c>
      <c r="Q106" s="8">
        <f t="shared" si="12"/>
        <v>0.2333333333</v>
      </c>
      <c r="R106" s="48">
        <v>492.85</v>
      </c>
    </row>
    <row r="107">
      <c r="A107" s="18" t="s">
        <v>75</v>
      </c>
      <c r="B107" s="20">
        <v>0.18333333333333332</v>
      </c>
      <c r="C107" s="4"/>
      <c r="D107" s="20">
        <v>0.8333333333333334</v>
      </c>
      <c r="E107" s="3"/>
      <c r="F107" s="4"/>
      <c r="G107" s="19"/>
      <c r="H107" s="4"/>
      <c r="I107" s="19"/>
      <c r="J107" s="4"/>
      <c r="K107" s="19"/>
      <c r="L107" s="4"/>
      <c r="M107" s="19"/>
      <c r="N107" s="4"/>
      <c r="O107" s="6">
        <f t="shared" si="11"/>
        <v>0.65</v>
      </c>
      <c r="P107" s="21">
        <v>0.3541666666666667</v>
      </c>
      <c r="Q107" s="8">
        <f t="shared" si="12"/>
        <v>0.2958333333</v>
      </c>
      <c r="R107" s="48">
        <v>649.16</v>
      </c>
    </row>
    <row r="108">
      <c r="A108" s="22" t="s">
        <v>76</v>
      </c>
      <c r="B108" s="20">
        <v>0.1840277777777778</v>
      </c>
      <c r="C108" s="4"/>
      <c r="D108" s="20">
        <v>0.5423611111111111</v>
      </c>
      <c r="E108" s="3"/>
      <c r="F108" s="4"/>
      <c r="G108" s="19"/>
      <c r="H108" s="4"/>
      <c r="I108" s="19"/>
      <c r="J108" s="4"/>
      <c r="K108" s="19"/>
      <c r="L108" s="4"/>
      <c r="M108" s="19"/>
      <c r="N108" s="4"/>
      <c r="O108" s="6">
        <f t="shared" si="11"/>
        <v>0.3583333333</v>
      </c>
      <c r="P108" s="21">
        <v>0.3541666666666667</v>
      </c>
      <c r="Q108" s="8">
        <f>O108</f>
        <v>0.3583333333</v>
      </c>
      <c r="R108" s="48">
        <v>768.7</v>
      </c>
    </row>
    <row r="109">
      <c r="A109" s="22" t="s">
        <v>77</v>
      </c>
      <c r="B109" s="20"/>
      <c r="C109" s="4"/>
      <c r="D109" s="19"/>
      <c r="E109" s="3"/>
      <c r="F109" s="4"/>
      <c r="G109" s="19"/>
      <c r="H109" s="4"/>
      <c r="I109" s="19"/>
      <c r="J109" s="4"/>
      <c r="K109" s="20"/>
      <c r="L109" s="4"/>
      <c r="M109" s="19"/>
      <c r="N109" s="4"/>
      <c r="O109" s="6"/>
      <c r="P109" s="21"/>
      <c r="Q109" s="8"/>
    </row>
    <row r="110">
      <c r="A110" s="18" t="s">
        <v>78</v>
      </c>
      <c r="B110" s="19"/>
      <c r="C110" s="4"/>
      <c r="D110" s="20"/>
      <c r="E110" s="3"/>
      <c r="F110" s="4"/>
      <c r="G110" s="19"/>
      <c r="H110" s="4"/>
      <c r="I110" s="19"/>
      <c r="J110" s="4"/>
      <c r="K110" s="19"/>
      <c r="L110" s="4"/>
      <c r="M110" s="20"/>
      <c r="N110" s="4"/>
      <c r="O110" s="6"/>
      <c r="P110" s="21"/>
      <c r="Q110" s="8"/>
    </row>
    <row r="111">
      <c r="A111" s="18" t="s">
        <v>79</v>
      </c>
      <c r="B111" s="20">
        <v>0.20555555555555555</v>
      </c>
      <c r="C111" s="4"/>
      <c r="D111" s="20">
        <v>0.825</v>
      </c>
      <c r="E111" s="3"/>
      <c r="F111" s="4"/>
      <c r="G111" s="19"/>
      <c r="H111" s="4"/>
      <c r="I111" s="19"/>
      <c r="J111" s="4"/>
      <c r="K111" s="20"/>
      <c r="L111" s="4"/>
      <c r="M111" s="19"/>
      <c r="N111" s="4"/>
      <c r="O111" s="6">
        <f t="shared" ref="O111:O112" si="13">D111-B111</f>
        <v>0.6194444444</v>
      </c>
      <c r="P111" s="21">
        <v>0.3541666666666667</v>
      </c>
      <c r="Q111" s="8">
        <f t="shared" ref="Q111:Q112" si="14">O111-P111</f>
        <v>0.2652777778</v>
      </c>
      <c r="R111" s="48">
        <v>571.92</v>
      </c>
    </row>
    <row r="112">
      <c r="A112" s="18" t="s">
        <v>80</v>
      </c>
      <c r="B112" s="33">
        <v>0.18263888888888888</v>
      </c>
      <c r="C112" s="4"/>
      <c r="D112" s="34">
        <v>0.8125</v>
      </c>
      <c r="E112" s="3"/>
      <c r="F112" s="3"/>
      <c r="G112" s="25"/>
      <c r="H112" s="3"/>
      <c r="I112" s="26"/>
      <c r="J112" s="3"/>
      <c r="K112" s="24"/>
      <c r="L112" s="3"/>
      <c r="M112" s="24"/>
      <c r="N112" s="4"/>
      <c r="O112" s="6">
        <f t="shared" si="13"/>
        <v>0.6298611111</v>
      </c>
      <c r="P112" s="21">
        <v>0.3541666666666667</v>
      </c>
      <c r="Q112" s="8">
        <f t="shared" si="14"/>
        <v>0.2756944444</v>
      </c>
      <c r="R112" s="48">
        <v>585.72</v>
      </c>
    </row>
    <row r="113">
      <c r="A113" s="18" t="s">
        <v>43</v>
      </c>
      <c r="O113" s="28" t="s">
        <v>10</v>
      </c>
      <c r="P113" s="7"/>
      <c r="Q113" s="8">
        <f t="shared" ref="Q113:R113" si="15">Q103+Q104+Q105+Q106+Q107+Q108+Q111+Q112</f>
        <v>2.35</v>
      </c>
      <c r="R113" s="51">
        <f t="shared" si="15"/>
        <v>5060.89</v>
      </c>
    </row>
    <row r="114">
      <c r="O114" s="6"/>
      <c r="P114" s="7"/>
      <c r="Q114" s="8"/>
    </row>
    <row r="115">
      <c r="A115" s="1" t="s">
        <v>0</v>
      </c>
      <c r="B115" s="2" t="s">
        <v>1</v>
      </c>
      <c r="C115" s="3"/>
      <c r="D115" s="3"/>
      <c r="E115" s="3"/>
      <c r="F115" s="3"/>
      <c r="G115" s="3"/>
      <c r="H115" s="4"/>
      <c r="I115" s="1" t="s">
        <v>2</v>
      </c>
      <c r="J115" s="10" t="s">
        <v>37</v>
      </c>
      <c r="K115" s="3"/>
      <c r="L115" s="3"/>
      <c r="M115" s="3"/>
      <c r="N115" s="4"/>
      <c r="O115" s="6"/>
      <c r="P115" s="7"/>
      <c r="Q115" s="8"/>
    </row>
    <row r="116">
      <c r="A116" s="11" t="s">
        <v>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4"/>
      <c r="O116" s="12" t="s">
        <v>8</v>
      </c>
      <c r="P116" s="13" t="s">
        <v>9</v>
      </c>
      <c r="Q116" s="14" t="s">
        <v>10</v>
      </c>
    </row>
    <row r="117">
      <c r="A117" s="15" t="s">
        <v>11</v>
      </c>
      <c r="B117" s="2" t="s">
        <v>12</v>
      </c>
      <c r="C117" s="3"/>
      <c r="D117" s="3"/>
      <c r="E117" s="3"/>
      <c r="F117" s="4"/>
      <c r="G117" s="2" t="s">
        <v>13</v>
      </c>
      <c r="H117" s="3"/>
      <c r="I117" s="3"/>
      <c r="J117" s="3"/>
      <c r="K117" s="10" t="s">
        <v>14</v>
      </c>
      <c r="L117" s="3"/>
      <c r="M117" s="3"/>
      <c r="N117" s="4"/>
      <c r="O117" s="6"/>
      <c r="P117" s="7"/>
      <c r="Q117" s="8"/>
    </row>
    <row r="118">
      <c r="A118" s="16"/>
      <c r="B118" s="17" t="s">
        <v>15</v>
      </c>
      <c r="C118" s="4"/>
      <c r="D118" s="17" t="s">
        <v>16</v>
      </c>
      <c r="E118" s="3"/>
      <c r="F118" s="4"/>
      <c r="G118" s="17" t="s">
        <v>15</v>
      </c>
      <c r="H118" s="4"/>
      <c r="I118" s="17" t="s">
        <v>16</v>
      </c>
      <c r="J118" s="4"/>
      <c r="K118" s="17" t="s">
        <v>15</v>
      </c>
      <c r="L118" s="4"/>
      <c r="M118" s="17" t="s">
        <v>16</v>
      </c>
      <c r="N118" s="4"/>
      <c r="O118" s="6"/>
      <c r="P118" s="7"/>
      <c r="Q118" s="8"/>
    </row>
    <row r="119">
      <c r="A119" s="18" t="s">
        <v>65</v>
      </c>
      <c r="B119" s="33">
        <v>0.3375</v>
      </c>
      <c r="C119" s="4"/>
      <c r="D119" s="34">
        <v>0.8430555555555556</v>
      </c>
      <c r="E119" s="3"/>
      <c r="F119" s="3"/>
      <c r="G119" s="25"/>
      <c r="H119" s="3"/>
      <c r="I119" s="26"/>
      <c r="J119" s="3"/>
      <c r="K119" s="24"/>
      <c r="L119" s="3"/>
      <c r="M119" s="34"/>
      <c r="N119" s="4"/>
      <c r="O119" s="6">
        <f t="shared" ref="O119:O120" si="16">D119-B119</f>
        <v>0.5055555556</v>
      </c>
      <c r="P119" s="21">
        <v>0.3541666666666667</v>
      </c>
      <c r="Q119" s="8">
        <f t="shared" ref="Q119:Q120" si="17">O119-P119</f>
        <v>0.1513888889</v>
      </c>
    </row>
    <row r="120">
      <c r="A120" s="18" t="s">
        <v>66</v>
      </c>
      <c r="B120" s="20">
        <v>0.30833333333333335</v>
      </c>
      <c r="C120" s="4"/>
      <c r="D120" s="20">
        <v>0.7708333333333334</v>
      </c>
      <c r="E120" s="3"/>
      <c r="F120" s="4"/>
      <c r="G120" s="19"/>
      <c r="H120" s="4"/>
      <c r="I120" s="19"/>
      <c r="J120" s="4"/>
      <c r="K120" s="19"/>
      <c r="L120" s="4"/>
      <c r="M120" s="20"/>
      <c r="N120" s="4"/>
      <c r="O120" s="6">
        <f t="shared" si="16"/>
        <v>0.4625</v>
      </c>
      <c r="P120" s="21">
        <v>0.3541666666666667</v>
      </c>
      <c r="Q120" s="8">
        <f t="shared" si="17"/>
        <v>0.1083333333</v>
      </c>
    </row>
    <row r="121">
      <c r="A121" s="18" t="s">
        <v>67</v>
      </c>
      <c r="B121" s="20"/>
      <c r="C121" s="4"/>
      <c r="D121" s="20"/>
      <c r="E121" s="3"/>
      <c r="F121" s="4"/>
      <c r="G121" s="19"/>
      <c r="H121" s="4"/>
      <c r="I121" s="19"/>
      <c r="J121" s="4"/>
      <c r="K121" s="19"/>
      <c r="L121" s="4"/>
      <c r="M121" s="20"/>
      <c r="N121" s="4"/>
      <c r="O121" s="6"/>
      <c r="P121" s="21"/>
      <c r="Q121" s="8"/>
    </row>
    <row r="122">
      <c r="A122" s="18" t="s">
        <v>68</v>
      </c>
      <c r="B122" s="20">
        <v>0.34444444444444444</v>
      </c>
      <c r="C122" s="4"/>
      <c r="D122" s="20">
        <v>0.8722222222222222</v>
      </c>
      <c r="E122" s="3"/>
      <c r="F122" s="4"/>
      <c r="G122" s="19"/>
      <c r="H122" s="4"/>
      <c r="I122" s="19"/>
      <c r="J122" s="4"/>
      <c r="K122" s="19"/>
      <c r="L122" s="4"/>
      <c r="M122" s="20"/>
      <c r="N122" s="4"/>
      <c r="O122" s="35">
        <f t="shared" ref="O122:O130" si="18">D122-B122</f>
        <v>0.5277777778</v>
      </c>
      <c r="P122" s="21">
        <v>0.3541666666666667</v>
      </c>
      <c r="Q122" s="8">
        <f>O122-P122</f>
        <v>0.1736111111</v>
      </c>
    </row>
    <row r="123">
      <c r="A123" s="22" t="s">
        <v>69</v>
      </c>
      <c r="B123" s="20">
        <v>0.3888888888888889</v>
      </c>
      <c r="C123" s="4"/>
      <c r="D123" s="20">
        <v>0.8319444444444445</v>
      </c>
      <c r="E123" s="3"/>
      <c r="F123" s="4"/>
      <c r="G123" s="19"/>
      <c r="H123" s="4"/>
      <c r="I123" s="19"/>
      <c r="J123" s="4"/>
      <c r="K123" s="19"/>
      <c r="L123" s="4"/>
      <c r="M123" s="19"/>
      <c r="N123" s="4"/>
      <c r="O123" s="6">
        <f t="shared" si="18"/>
        <v>0.4430555556</v>
      </c>
      <c r="P123" s="21">
        <v>0.3541666666666667</v>
      </c>
      <c r="Q123" s="8">
        <f t="shared" ref="Q123:Q124" si="19">O123</f>
        <v>0.4430555556</v>
      </c>
    </row>
    <row r="124">
      <c r="A124" s="22" t="s">
        <v>70</v>
      </c>
      <c r="B124" s="20">
        <v>0.4027777777777778</v>
      </c>
      <c r="C124" s="4"/>
      <c r="D124" s="20">
        <v>0.6194444444444445</v>
      </c>
      <c r="E124" s="3"/>
      <c r="F124" s="4"/>
      <c r="G124" s="19"/>
      <c r="H124" s="4"/>
      <c r="I124" s="19"/>
      <c r="J124" s="4"/>
      <c r="K124" s="19"/>
      <c r="L124" s="4"/>
      <c r="M124" s="20"/>
      <c r="N124" s="4"/>
      <c r="O124" s="6">
        <f t="shared" si="18"/>
        <v>0.2166666667</v>
      </c>
      <c r="P124" s="21">
        <v>0.3541666666666667</v>
      </c>
      <c r="Q124" s="8">
        <f t="shared" si="19"/>
        <v>0.2166666667</v>
      </c>
    </row>
    <row r="125">
      <c r="A125" s="18" t="s">
        <v>71</v>
      </c>
      <c r="B125" s="20">
        <v>0.3902777777777778</v>
      </c>
      <c r="C125" s="4"/>
      <c r="D125" s="20">
        <v>0.8902777777777777</v>
      </c>
      <c r="E125" s="3"/>
      <c r="F125" s="4"/>
      <c r="G125" s="19"/>
      <c r="H125" s="4"/>
      <c r="I125" s="19"/>
      <c r="J125" s="4"/>
      <c r="K125" s="19"/>
      <c r="L125" s="4"/>
      <c r="M125" s="20"/>
      <c r="N125" s="4"/>
      <c r="O125" s="6">
        <f t="shared" si="18"/>
        <v>0.5</v>
      </c>
      <c r="P125" s="21">
        <v>0.3541666666666667</v>
      </c>
      <c r="Q125" s="8">
        <f t="shared" ref="Q125:Q129" si="20">O125-P125</f>
        <v>0.1458333333</v>
      </c>
    </row>
    <row r="126">
      <c r="A126" s="18" t="s">
        <v>72</v>
      </c>
      <c r="B126" s="33">
        <v>0.3840277777777778</v>
      </c>
      <c r="C126" s="4"/>
      <c r="D126" s="34">
        <v>0.8236111111111111</v>
      </c>
      <c r="E126" s="3"/>
      <c r="F126" s="3"/>
      <c r="G126" s="25"/>
      <c r="H126" s="3"/>
      <c r="I126" s="26"/>
      <c r="J126" s="3"/>
      <c r="K126" s="24"/>
      <c r="L126" s="3"/>
      <c r="M126" s="34"/>
      <c r="N126" s="4"/>
      <c r="O126" s="6">
        <f t="shared" si="18"/>
        <v>0.4395833333</v>
      </c>
      <c r="P126" s="21">
        <v>0.3541666666666667</v>
      </c>
      <c r="Q126" s="8">
        <f t="shared" si="20"/>
        <v>0.08541666667</v>
      </c>
    </row>
    <row r="127">
      <c r="A127" s="18" t="s">
        <v>73</v>
      </c>
      <c r="B127" s="20">
        <v>0.40694444444444444</v>
      </c>
      <c r="C127" s="4"/>
      <c r="D127" s="20">
        <v>0.8368055555555556</v>
      </c>
      <c r="E127" s="3"/>
      <c r="F127" s="4"/>
      <c r="G127" s="19"/>
      <c r="H127" s="4"/>
      <c r="I127" s="19"/>
      <c r="J127" s="4"/>
      <c r="K127" s="19"/>
      <c r="L127" s="4"/>
      <c r="M127" s="20"/>
      <c r="N127" s="4"/>
      <c r="O127" s="6">
        <f t="shared" si="18"/>
        <v>0.4298611111</v>
      </c>
      <c r="P127" s="21">
        <v>0.3541666666666667</v>
      </c>
      <c r="Q127" s="8">
        <f t="shared" si="20"/>
        <v>0.07569444444</v>
      </c>
    </row>
    <row r="128">
      <c r="A128" s="18" t="s">
        <v>74</v>
      </c>
      <c r="B128" s="20">
        <v>0.3645833333333333</v>
      </c>
      <c r="C128" s="4"/>
      <c r="D128" s="20">
        <v>0.7708333333333334</v>
      </c>
      <c r="E128" s="3"/>
      <c r="F128" s="4"/>
      <c r="G128" s="19"/>
      <c r="H128" s="4"/>
      <c r="I128" s="19"/>
      <c r="J128" s="4"/>
      <c r="K128" s="19"/>
      <c r="L128" s="4"/>
      <c r="M128" s="20"/>
      <c r="N128" s="4"/>
      <c r="O128" s="6">
        <f t="shared" si="18"/>
        <v>0.40625</v>
      </c>
      <c r="P128" s="21">
        <v>0.3541666666666667</v>
      </c>
      <c r="Q128" s="8">
        <f t="shared" si="20"/>
        <v>0.05208333333</v>
      </c>
    </row>
    <row r="129">
      <c r="A129" s="18" t="s">
        <v>75</v>
      </c>
      <c r="B129" s="20">
        <v>0.36527777777777776</v>
      </c>
      <c r="C129" s="4"/>
      <c r="D129" s="20">
        <v>0.8333333333333334</v>
      </c>
      <c r="E129" s="3"/>
      <c r="F129" s="4"/>
      <c r="G129" s="19"/>
      <c r="H129" s="4"/>
      <c r="I129" s="19"/>
      <c r="J129" s="4"/>
      <c r="K129" s="19"/>
      <c r="L129" s="4"/>
      <c r="M129" s="20"/>
      <c r="N129" s="4"/>
      <c r="O129" s="36">
        <f t="shared" si="18"/>
        <v>0.4680555556</v>
      </c>
      <c r="P129" s="21">
        <v>0.3541666666666667</v>
      </c>
      <c r="Q129" s="8">
        <f t="shared" si="20"/>
        <v>0.1138888889</v>
      </c>
    </row>
    <row r="130">
      <c r="A130" s="22" t="s">
        <v>76</v>
      </c>
      <c r="B130" s="20">
        <v>0.32569444444444445</v>
      </c>
      <c r="C130" s="4"/>
      <c r="D130" s="20">
        <v>0.8125</v>
      </c>
      <c r="E130" s="3"/>
      <c r="F130" s="4"/>
      <c r="G130" s="19"/>
      <c r="H130" s="4"/>
      <c r="I130" s="19"/>
      <c r="J130" s="4"/>
      <c r="K130" s="19"/>
      <c r="L130" s="4"/>
      <c r="M130" s="19"/>
      <c r="N130" s="4"/>
      <c r="O130" s="6">
        <f t="shared" si="18"/>
        <v>0.4868055556</v>
      </c>
      <c r="P130" s="21">
        <v>0.3541666666666667</v>
      </c>
      <c r="Q130" s="8">
        <f>O130</f>
        <v>0.4868055556</v>
      </c>
    </row>
    <row r="131">
      <c r="A131" s="22" t="s">
        <v>77</v>
      </c>
      <c r="B131" s="20"/>
      <c r="C131" s="4"/>
      <c r="D131" s="20"/>
      <c r="E131" s="3"/>
      <c r="F131" s="4"/>
      <c r="G131" s="19"/>
      <c r="H131" s="4"/>
      <c r="I131" s="19"/>
      <c r="J131" s="4"/>
      <c r="K131" s="19"/>
      <c r="L131" s="4"/>
      <c r="M131" s="20"/>
      <c r="N131" s="4"/>
      <c r="O131" s="6"/>
      <c r="P131" s="21"/>
      <c r="Q131" s="8"/>
    </row>
    <row r="132">
      <c r="A132" s="18" t="s">
        <v>78</v>
      </c>
      <c r="B132" s="33">
        <v>0.31666666666666665</v>
      </c>
      <c r="C132" s="4"/>
      <c r="D132" s="34">
        <v>0.8458333333333333</v>
      </c>
      <c r="E132" s="3"/>
      <c r="F132" s="3"/>
      <c r="G132" s="25"/>
      <c r="H132" s="3"/>
      <c r="I132" s="26"/>
      <c r="J132" s="3"/>
      <c r="K132" s="24"/>
      <c r="L132" s="3"/>
      <c r="M132" s="34"/>
      <c r="N132" s="4"/>
      <c r="O132" s="6">
        <f t="shared" ref="O132:O134" si="21">D132-B132</f>
        <v>0.5291666667</v>
      </c>
      <c r="P132" s="21">
        <v>0.3541666666666667</v>
      </c>
      <c r="Q132" s="8">
        <f t="shared" ref="Q132:Q134" si="22">O132-P132</f>
        <v>0.175</v>
      </c>
    </row>
    <row r="133">
      <c r="A133" s="18" t="s">
        <v>79</v>
      </c>
      <c r="B133" s="20">
        <v>0.3576388888888889</v>
      </c>
      <c r="C133" s="4"/>
      <c r="D133" s="20">
        <v>0.8444444444444444</v>
      </c>
      <c r="E133" s="3"/>
      <c r="F133" s="4"/>
      <c r="G133" s="19"/>
      <c r="H133" s="4"/>
      <c r="I133" s="19"/>
      <c r="J133" s="4"/>
      <c r="K133" s="19"/>
      <c r="L133" s="4"/>
      <c r="M133" s="20"/>
      <c r="N133" s="4"/>
      <c r="O133" s="6">
        <f t="shared" si="21"/>
        <v>0.4868055556</v>
      </c>
      <c r="P133" s="21">
        <v>0.3541666666666667</v>
      </c>
      <c r="Q133" s="8">
        <f t="shared" si="22"/>
        <v>0.1326388889</v>
      </c>
    </row>
    <row r="134">
      <c r="A134" s="18" t="s">
        <v>80</v>
      </c>
      <c r="B134" s="33">
        <v>0.3923611111111111</v>
      </c>
      <c r="C134" s="4"/>
      <c r="D134" s="34">
        <v>0.8243055555555555</v>
      </c>
      <c r="E134" s="3"/>
      <c r="F134" s="3"/>
      <c r="G134" s="25"/>
      <c r="H134" s="3"/>
      <c r="I134" s="26"/>
      <c r="J134" s="3"/>
      <c r="K134" s="24"/>
      <c r="L134" s="3"/>
      <c r="M134" s="24"/>
      <c r="N134" s="4"/>
      <c r="O134" s="6">
        <f t="shared" si="21"/>
        <v>0.4319444444</v>
      </c>
      <c r="P134" s="21">
        <v>0.3541666666666667</v>
      </c>
      <c r="Q134" s="8">
        <f t="shared" si="22"/>
        <v>0.07777777778</v>
      </c>
    </row>
    <row r="135">
      <c r="A135" s="18" t="s">
        <v>43</v>
      </c>
      <c r="O135" s="28" t="s">
        <v>10</v>
      </c>
      <c r="P135" s="7"/>
      <c r="Q135" s="14">
        <f>Q120+Q121+Q122+Q123+Q124+Q126+Q127+Q128+Q130+Q131+Q132+Q133</f>
        <v>1.949305556</v>
      </c>
    </row>
    <row r="136">
      <c r="O136" s="6"/>
      <c r="P136" s="7"/>
      <c r="Q136" s="8"/>
    </row>
    <row r="137">
      <c r="A137" s="1"/>
      <c r="B137" s="2"/>
      <c r="C137" s="3"/>
      <c r="D137" s="3"/>
      <c r="E137" s="3"/>
      <c r="F137" s="3"/>
      <c r="G137" s="3"/>
      <c r="H137" s="4"/>
      <c r="I137" s="1"/>
      <c r="J137" s="10"/>
      <c r="K137" s="3"/>
      <c r="L137" s="3"/>
      <c r="M137" s="3"/>
      <c r="N137" s="4"/>
      <c r="O137" s="6"/>
      <c r="P137" s="7"/>
      <c r="Q137" s="8"/>
    </row>
    <row r="138">
      <c r="A138" s="1"/>
      <c r="B138" s="37"/>
      <c r="C138" s="3"/>
      <c r="D138" s="3"/>
      <c r="E138" s="3"/>
      <c r="F138" s="3"/>
      <c r="G138" s="3"/>
      <c r="H138" s="4"/>
      <c r="I138" s="1"/>
      <c r="J138" s="10"/>
      <c r="K138" s="3"/>
      <c r="L138" s="3"/>
      <c r="M138" s="3"/>
      <c r="N138" s="4"/>
      <c r="O138" s="6"/>
      <c r="P138" s="7"/>
      <c r="Q138" s="8"/>
    </row>
    <row r="139">
      <c r="A139" s="1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4"/>
      <c r="O139" s="12"/>
      <c r="P139" s="13"/>
      <c r="Q139" s="14"/>
    </row>
    <row r="140">
      <c r="A140" s="15"/>
      <c r="B140" s="2"/>
      <c r="C140" s="3"/>
      <c r="D140" s="3"/>
      <c r="E140" s="3"/>
      <c r="F140" s="4"/>
      <c r="G140" s="2"/>
      <c r="H140" s="3"/>
      <c r="I140" s="3"/>
      <c r="J140" s="3"/>
      <c r="K140" s="10"/>
      <c r="L140" s="3"/>
      <c r="M140" s="3"/>
      <c r="N140" s="4"/>
      <c r="O140" s="6"/>
      <c r="P140" s="7"/>
      <c r="Q140" s="8"/>
    </row>
    <row r="141">
      <c r="A141" s="16"/>
      <c r="B141" s="17"/>
      <c r="C141" s="4"/>
      <c r="D141" s="17"/>
      <c r="E141" s="3"/>
      <c r="F141" s="4"/>
      <c r="G141" s="17"/>
      <c r="H141" s="4"/>
      <c r="I141" s="17"/>
      <c r="J141" s="4"/>
      <c r="K141" s="17"/>
      <c r="L141" s="4"/>
      <c r="M141" s="17"/>
      <c r="N141" s="4"/>
      <c r="O141" s="6"/>
      <c r="P141" s="7"/>
      <c r="Q141" s="8"/>
    </row>
    <row r="142">
      <c r="A142" s="18"/>
      <c r="B142" s="20"/>
      <c r="C142" s="4"/>
      <c r="D142" s="20"/>
      <c r="E142" s="3"/>
      <c r="F142" s="4"/>
      <c r="G142" s="19"/>
      <c r="H142" s="4"/>
      <c r="I142" s="20"/>
      <c r="J142" s="4"/>
      <c r="K142" s="19"/>
      <c r="L142" s="4"/>
      <c r="M142" s="19"/>
      <c r="N142" s="4"/>
      <c r="O142" s="6"/>
      <c r="P142" s="21"/>
      <c r="Q142" s="8"/>
    </row>
    <row r="143">
      <c r="A143" s="37"/>
      <c r="B143" s="20"/>
      <c r="C143" s="4"/>
      <c r="D143" s="19"/>
      <c r="E143" s="3"/>
      <c r="F143" s="4"/>
      <c r="G143" s="19"/>
      <c r="H143" s="4"/>
      <c r="I143" s="19"/>
      <c r="J143" s="4"/>
      <c r="K143" s="19"/>
      <c r="L143" s="4"/>
      <c r="M143" s="20"/>
      <c r="N143" s="4"/>
      <c r="O143" s="6"/>
      <c r="P143" s="21"/>
      <c r="Q143" s="8"/>
    </row>
    <row r="144">
      <c r="A144" s="18"/>
      <c r="B144" s="23"/>
      <c r="C144" s="4"/>
      <c r="D144" s="24"/>
      <c r="E144" s="3"/>
      <c r="F144" s="3"/>
      <c r="G144" s="25"/>
      <c r="H144" s="3"/>
      <c r="I144" s="26"/>
      <c r="J144" s="3"/>
      <c r="K144" s="24"/>
      <c r="L144" s="3"/>
      <c r="M144" s="24"/>
      <c r="N144" s="4"/>
      <c r="O144" s="6"/>
      <c r="P144" s="7"/>
      <c r="Q144" s="8"/>
    </row>
    <row r="145">
      <c r="A145" s="18"/>
      <c r="B145" s="20"/>
      <c r="C145" s="4"/>
      <c r="D145" s="20"/>
      <c r="E145" s="3"/>
      <c r="F145" s="4"/>
      <c r="G145" s="19"/>
      <c r="H145" s="4"/>
      <c r="I145" s="19"/>
      <c r="J145" s="4"/>
      <c r="K145" s="19"/>
      <c r="L145" s="4"/>
      <c r="M145" s="19"/>
      <c r="N145" s="4"/>
      <c r="O145" s="6"/>
      <c r="P145" s="21"/>
      <c r="Q145" s="8"/>
    </row>
    <row r="146">
      <c r="A146" s="18"/>
      <c r="B146" s="19"/>
      <c r="C146" s="4"/>
      <c r="D146" s="19"/>
      <c r="E146" s="3"/>
      <c r="F146" s="4"/>
      <c r="G146" s="19"/>
      <c r="H146" s="4"/>
      <c r="I146" s="19"/>
      <c r="J146" s="4"/>
      <c r="K146" s="19"/>
      <c r="L146" s="4"/>
      <c r="M146" s="19"/>
      <c r="N146" s="4"/>
      <c r="O146" s="6"/>
      <c r="P146" s="7"/>
      <c r="Q146" s="8"/>
    </row>
    <row r="147">
      <c r="A147" s="22"/>
      <c r="B147" s="20"/>
      <c r="C147" s="4"/>
      <c r="D147" s="20"/>
      <c r="E147" s="3"/>
      <c r="F147" s="4"/>
      <c r="G147" s="19"/>
      <c r="H147" s="4"/>
      <c r="I147" s="19"/>
      <c r="J147" s="4"/>
      <c r="K147" s="19"/>
      <c r="L147" s="4"/>
      <c r="M147" s="20"/>
      <c r="N147" s="4"/>
      <c r="O147" s="6"/>
      <c r="P147" s="21"/>
      <c r="Q147" s="8"/>
    </row>
    <row r="148">
      <c r="A148" s="22"/>
      <c r="B148" s="20"/>
      <c r="C148" s="4"/>
      <c r="D148" s="19"/>
      <c r="E148" s="3"/>
      <c r="F148" s="4"/>
      <c r="G148" s="19"/>
      <c r="H148" s="4"/>
      <c r="I148" s="19"/>
      <c r="J148" s="4"/>
      <c r="K148" s="20"/>
      <c r="L148" s="4"/>
      <c r="M148" s="19"/>
      <c r="N148" s="4"/>
      <c r="O148" s="6"/>
      <c r="P148" s="21"/>
      <c r="Q148" s="8"/>
    </row>
    <row r="149">
      <c r="A149" s="18"/>
      <c r="B149" s="20"/>
      <c r="C149" s="4"/>
      <c r="D149" s="20"/>
      <c r="E149" s="3"/>
      <c r="F149" s="4"/>
      <c r="G149" s="20"/>
      <c r="H149" s="4"/>
      <c r="I149" s="19"/>
      <c r="J149" s="4"/>
      <c r="K149" s="19"/>
      <c r="L149" s="4"/>
      <c r="M149" s="19"/>
      <c r="N149" s="4"/>
      <c r="O149" s="6"/>
      <c r="P149" s="21"/>
      <c r="Q149" s="8"/>
    </row>
    <row r="150">
      <c r="A150" s="18"/>
      <c r="B150" s="20"/>
      <c r="C150" s="4"/>
      <c r="D150" s="19"/>
      <c r="E150" s="3"/>
      <c r="F150" s="4"/>
      <c r="G150" s="20"/>
      <c r="H150" s="4"/>
      <c r="I150" s="19"/>
      <c r="J150" s="4"/>
      <c r="K150" s="19"/>
      <c r="L150" s="4"/>
      <c r="M150" s="19"/>
      <c r="N150" s="4"/>
      <c r="O150" s="6"/>
      <c r="P150" s="21"/>
      <c r="Q150" s="8"/>
    </row>
    <row r="151">
      <c r="A151" s="18"/>
      <c r="B151" s="23"/>
      <c r="C151" s="4"/>
      <c r="D151" s="24"/>
      <c r="E151" s="3"/>
      <c r="F151" s="3"/>
      <c r="G151" s="25"/>
      <c r="H151" s="3"/>
      <c r="I151" s="26"/>
      <c r="J151" s="3"/>
      <c r="K151" s="24"/>
      <c r="L151" s="3"/>
      <c r="M151" s="24"/>
      <c r="N151" s="4"/>
      <c r="O151" s="6"/>
      <c r="P151" s="7"/>
      <c r="Q151" s="8"/>
    </row>
    <row r="152">
      <c r="A152" s="18"/>
      <c r="B152" s="20"/>
      <c r="C152" s="4"/>
      <c r="D152" s="20"/>
      <c r="E152" s="3"/>
      <c r="F152" s="4"/>
      <c r="G152" s="19"/>
      <c r="H152" s="4"/>
      <c r="I152" s="19"/>
      <c r="J152" s="4"/>
      <c r="K152" s="19"/>
      <c r="L152" s="4"/>
      <c r="M152" s="19"/>
      <c r="N152" s="4"/>
      <c r="O152" s="6"/>
      <c r="P152" s="21"/>
      <c r="Q152" s="8"/>
    </row>
    <row r="153">
      <c r="A153" s="18"/>
      <c r="B153" s="19"/>
      <c r="C153" s="4"/>
      <c r="D153" s="19"/>
      <c r="E153" s="3"/>
      <c r="F153" s="4"/>
      <c r="G153" s="19"/>
      <c r="H153" s="4"/>
      <c r="I153" s="19"/>
      <c r="J153" s="4"/>
      <c r="K153" s="19"/>
      <c r="L153" s="4"/>
      <c r="M153" s="19"/>
      <c r="N153" s="4"/>
      <c r="O153" s="6"/>
      <c r="P153" s="7"/>
      <c r="Q153" s="8"/>
    </row>
    <row r="154">
      <c r="A154" s="22"/>
      <c r="B154" s="20"/>
      <c r="C154" s="4"/>
      <c r="D154" s="20"/>
      <c r="E154" s="3"/>
      <c r="F154" s="4"/>
      <c r="G154" s="20"/>
      <c r="H154" s="4"/>
      <c r="I154" s="19"/>
      <c r="J154" s="4"/>
      <c r="K154" s="19"/>
      <c r="L154" s="4"/>
      <c r="M154" s="19"/>
      <c r="N154" s="4"/>
      <c r="O154" s="6"/>
      <c r="P154" s="21"/>
      <c r="Q154" s="8"/>
    </row>
    <row r="155">
      <c r="A155" s="22"/>
      <c r="B155" s="33"/>
      <c r="C155" s="4"/>
      <c r="D155" s="34"/>
      <c r="E155" s="3"/>
      <c r="F155" s="3"/>
      <c r="G155" s="25"/>
      <c r="H155" s="3"/>
      <c r="I155" s="26"/>
      <c r="J155" s="3"/>
      <c r="K155" s="24"/>
      <c r="L155" s="3"/>
      <c r="M155" s="24"/>
      <c r="N155" s="4"/>
      <c r="O155" s="6"/>
      <c r="P155" s="21"/>
      <c r="Q155" s="8"/>
    </row>
    <row r="156">
      <c r="A156" s="18"/>
      <c r="B156" s="20"/>
      <c r="C156" s="4"/>
      <c r="D156" s="19"/>
      <c r="E156" s="3"/>
      <c r="F156" s="4"/>
      <c r="G156" s="20"/>
      <c r="H156" s="4"/>
      <c r="I156" s="19"/>
      <c r="J156" s="4"/>
      <c r="K156" s="19"/>
      <c r="L156" s="4"/>
      <c r="M156" s="19"/>
      <c r="N156" s="4"/>
      <c r="O156" s="6"/>
      <c r="P156" s="21"/>
      <c r="Q156" s="8"/>
    </row>
    <row r="157">
      <c r="A157" s="18"/>
      <c r="B157" s="20"/>
      <c r="C157" s="4"/>
      <c r="D157" s="19"/>
      <c r="E157" s="3"/>
      <c r="F157" s="4"/>
      <c r="G157" s="19"/>
      <c r="H157" s="4"/>
      <c r="I157" s="19"/>
      <c r="J157" s="4"/>
      <c r="K157" s="19"/>
      <c r="L157" s="4"/>
      <c r="M157" s="19"/>
      <c r="N157" s="4"/>
      <c r="O157" s="6"/>
      <c r="P157" s="21"/>
      <c r="Q157" s="8"/>
    </row>
    <row r="158">
      <c r="O158" s="28"/>
      <c r="P158" s="7"/>
      <c r="Q158" s="8"/>
    </row>
    <row r="159">
      <c r="O159" s="6"/>
      <c r="P159" s="7"/>
      <c r="Q159" s="8"/>
    </row>
    <row r="160">
      <c r="A160" s="1"/>
      <c r="B160" s="2"/>
      <c r="C160" s="3"/>
      <c r="D160" s="3"/>
      <c r="E160" s="3"/>
      <c r="F160" s="3"/>
      <c r="G160" s="3"/>
      <c r="H160" s="4"/>
      <c r="I160" s="1"/>
      <c r="J160" s="10"/>
      <c r="K160" s="3"/>
      <c r="L160" s="3"/>
      <c r="M160" s="3"/>
      <c r="N160" s="4"/>
      <c r="O160" s="6"/>
      <c r="P160" s="7"/>
      <c r="Q160" s="8"/>
    </row>
    <row r="161">
      <c r="A161" s="1"/>
      <c r="B161" s="37"/>
      <c r="C161" s="3"/>
      <c r="D161" s="3"/>
      <c r="E161" s="3"/>
      <c r="F161" s="3"/>
      <c r="G161" s="3"/>
      <c r="H161" s="4"/>
      <c r="I161" s="1"/>
      <c r="J161" s="10"/>
      <c r="K161" s="3"/>
      <c r="L161" s="3"/>
      <c r="M161" s="3"/>
      <c r="N161" s="4"/>
      <c r="O161" s="6"/>
      <c r="P161" s="7"/>
      <c r="Q161" s="8"/>
    </row>
    <row r="162">
      <c r="A162" s="1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4"/>
      <c r="O162" s="12"/>
      <c r="P162" s="13"/>
      <c r="Q162" s="14"/>
    </row>
    <row r="163">
      <c r="A163" s="15"/>
      <c r="B163" s="2"/>
      <c r="C163" s="3"/>
      <c r="D163" s="3"/>
      <c r="E163" s="3"/>
      <c r="F163" s="4"/>
      <c r="G163" s="2"/>
      <c r="H163" s="3"/>
      <c r="I163" s="3"/>
      <c r="J163" s="3"/>
      <c r="K163" s="10"/>
      <c r="L163" s="3"/>
      <c r="M163" s="3"/>
      <c r="N163" s="4"/>
      <c r="O163" s="6"/>
      <c r="P163" s="7"/>
      <c r="Q163" s="8"/>
    </row>
    <row r="164">
      <c r="A164" s="16"/>
      <c r="B164" s="17"/>
      <c r="C164" s="4"/>
      <c r="D164" s="17"/>
      <c r="E164" s="3"/>
      <c r="F164" s="4"/>
      <c r="G164" s="17"/>
      <c r="H164" s="4"/>
      <c r="I164" s="17"/>
      <c r="J164" s="4"/>
      <c r="K164" s="17"/>
      <c r="L164" s="4"/>
      <c r="M164" s="17"/>
      <c r="N164" s="4"/>
      <c r="O164" s="6"/>
      <c r="P164" s="7"/>
      <c r="Q164" s="8"/>
    </row>
    <row r="165">
      <c r="A165" s="18"/>
      <c r="B165" s="33"/>
      <c r="C165" s="4"/>
      <c r="D165" s="34"/>
      <c r="E165" s="3"/>
      <c r="F165" s="3"/>
      <c r="G165" s="25"/>
      <c r="H165" s="3"/>
      <c r="I165" s="26"/>
      <c r="J165" s="3"/>
      <c r="K165" s="24"/>
      <c r="L165" s="3"/>
      <c r="M165" s="24"/>
      <c r="N165" s="4"/>
      <c r="O165" s="6"/>
      <c r="P165" s="21"/>
      <c r="Q165" s="8"/>
    </row>
    <row r="166">
      <c r="A166" s="37"/>
      <c r="B166" s="20"/>
      <c r="C166" s="4"/>
      <c r="D166" s="19"/>
      <c r="E166" s="3"/>
      <c r="F166" s="4"/>
      <c r="G166" s="20"/>
      <c r="H166" s="4"/>
      <c r="I166" s="19"/>
      <c r="J166" s="4"/>
      <c r="K166" s="19"/>
      <c r="L166" s="4"/>
      <c r="M166" s="19"/>
      <c r="N166" s="4"/>
      <c r="O166" s="6"/>
      <c r="P166" s="21"/>
      <c r="Q166" s="8"/>
    </row>
    <row r="167">
      <c r="A167" s="18"/>
      <c r="B167" s="20"/>
      <c r="C167" s="4"/>
      <c r="D167" s="19"/>
      <c r="E167" s="3"/>
      <c r="F167" s="4"/>
      <c r="G167" s="20"/>
      <c r="H167" s="4"/>
      <c r="I167" s="19"/>
      <c r="J167" s="4"/>
      <c r="K167" s="19"/>
      <c r="L167" s="4"/>
      <c r="M167" s="19"/>
      <c r="N167" s="4"/>
      <c r="O167" s="6"/>
      <c r="P167" s="21"/>
      <c r="Q167" s="8"/>
    </row>
    <row r="168">
      <c r="A168" s="18"/>
      <c r="B168" s="20"/>
      <c r="C168" s="4"/>
      <c r="D168" s="20"/>
      <c r="E168" s="3"/>
      <c r="F168" s="4"/>
      <c r="G168" s="19"/>
      <c r="H168" s="4"/>
      <c r="I168" s="19"/>
      <c r="J168" s="4"/>
      <c r="K168" s="19"/>
      <c r="L168" s="4"/>
      <c r="M168" s="19"/>
      <c r="N168" s="4"/>
      <c r="O168" s="6"/>
      <c r="P168" s="21"/>
      <c r="Q168" s="8"/>
    </row>
    <row r="169">
      <c r="A169" s="18"/>
      <c r="B169" s="19"/>
      <c r="C169" s="4"/>
      <c r="D169" s="19"/>
      <c r="E169" s="3"/>
      <c r="F169" s="4"/>
      <c r="G169" s="19"/>
      <c r="H169" s="4"/>
      <c r="I169" s="19"/>
      <c r="J169" s="4"/>
      <c r="K169" s="19"/>
      <c r="L169" s="4"/>
      <c r="M169" s="19"/>
      <c r="N169" s="4"/>
      <c r="O169" s="6"/>
      <c r="P169" s="7"/>
      <c r="Q169" s="8"/>
    </row>
    <row r="170">
      <c r="A170" s="22"/>
      <c r="B170" s="20"/>
      <c r="C170" s="4"/>
      <c r="D170" s="19"/>
      <c r="E170" s="3"/>
      <c r="F170" s="4"/>
      <c r="G170" s="20"/>
      <c r="H170" s="4"/>
      <c r="I170" s="19"/>
      <c r="J170" s="4"/>
      <c r="K170" s="19"/>
      <c r="L170" s="4"/>
      <c r="M170" s="19"/>
      <c r="N170" s="4"/>
      <c r="O170" s="6"/>
      <c r="P170" s="21"/>
      <c r="Q170" s="8"/>
    </row>
    <row r="171">
      <c r="A171" s="22"/>
      <c r="B171" s="20"/>
      <c r="C171" s="4"/>
      <c r="D171" s="19"/>
      <c r="E171" s="3"/>
      <c r="F171" s="4"/>
      <c r="G171" s="20"/>
      <c r="H171" s="4"/>
      <c r="I171" s="19"/>
      <c r="J171" s="4"/>
      <c r="K171" s="19"/>
      <c r="L171" s="4"/>
      <c r="M171" s="19"/>
      <c r="N171" s="4"/>
      <c r="O171" s="6"/>
      <c r="P171" s="21"/>
      <c r="Q171" s="8"/>
    </row>
    <row r="172">
      <c r="A172" s="18"/>
      <c r="B172" s="20"/>
      <c r="C172" s="4"/>
      <c r="D172" s="19"/>
      <c r="E172" s="3"/>
      <c r="F172" s="4"/>
      <c r="G172" s="19"/>
      <c r="H172" s="4"/>
      <c r="I172" s="20"/>
      <c r="J172" s="4"/>
      <c r="K172" s="19"/>
      <c r="L172" s="4"/>
      <c r="M172" s="19"/>
      <c r="N172" s="4"/>
      <c r="O172" s="6"/>
      <c r="P172" s="21"/>
      <c r="Q172" s="8"/>
    </row>
    <row r="173">
      <c r="A173" s="18"/>
      <c r="B173" s="20"/>
      <c r="C173" s="4"/>
      <c r="D173" s="20"/>
      <c r="E173" s="3"/>
      <c r="F173" s="4"/>
      <c r="G173" s="19"/>
      <c r="H173" s="4"/>
      <c r="I173" s="20"/>
      <c r="J173" s="4"/>
      <c r="K173" s="19"/>
      <c r="L173" s="4"/>
      <c r="M173" s="19"/>
      <c r="N173" s="4"/>
      <c r="O173" s="6"/>
      <c r="P173" s="21"/>
      <c r="Q173" s="8"/>
    </row>
    <row r="174">
      <c r="A174" s="18"/>
      <c r="B174" s="19"/>
      <c r="C174" s="4"/>
      <c r="D174" s="20"/>
      <c r="E174" s="3"/>
      <c r="F174" s="4"/>
      <c r="G174" s="19"/>
      <c r="H174" s="4"/>
      <c r="I174" s="19"/>
      <c r="J174" s="4"/>
      <c r="K174" s="19"/>
      <c r="L174" s="4"/>
      <c r="M174" s="20"/>
      <c r="N174" s="4"/>
      <c r="O174" s="6"/>
      <c r="P174" s="21"/>
      <c r="Q174" s="8"/>
    </row>
    <row r="175">
      <c r="A175" s="18"/>
      <c r="B175" s="19"/>
      <c r="C175" s="4"/>
      <c r="D175" s="19"/>
      <c r="E175" s="3"/>
      <c r="F175" s="4"/>
      <c r="G175" s="19"/>
      <c r="H175" s="4"/>
      <c r="I175" s="19"/>
      <c r="J175" s="4"/>
      <c r="K175" s="19"/>
      <c r="L175" s="4"/>
      <c r="M175" s="19"/>
      <c r="N175" s="4"/>
      <c r="O175" s="6"/>
      <c r="P175" s="21"/>
      <c r="Q175" s="8"/>
    </row>
    <row r="176">
      <c r="A176" s="18"/>
      <c r="B176" s="19"/>
      <c r="C176" s="4"/>
      <c r="D176" s="19"/>
      <c r="E176" s="3"/>
      <c r="F176" s="4"/>
      <c r="G176" s="19"/>
      <c r="H176" s="4"/>
      <c r="I176" s="19"/>
      <c r="J176" s="4"/>
      <c r="K176" s="19"/>
      <c r="L176" s="4"/>
      <c r="M176" s="19"/>
      <c r="N176" s="4"/>
      <c r="O176" s="6"/>
      <c r="P176" s="7"/>
      <c r="Q176" s="8"/>
    </row>
    <row r="177">
      <c r="A177" s="22"/>
      <c r="B177" s="20"/>
      <c r="C177" s="4"/>
      <c r="D177" s="19"/>
      <c r="E177" s="3"/>
      <c r="F177" s="4"/>
      <c r="G177" s="19"/>
      <c r="H177" s="4"/>
      <c r="I177" s="19"/>
      <c r="J177" s="4"/>
      <c r="K177" s="20"/>
      <c r="L177" s="4"/>
      <c r="M177" s="19"/>
      <c r="N177" s="4"/>
      <c r="O177" s="6"/>
      <c r="P177" s="21"/>
      <c r="Q177" s="8"/>
    </row>
    <row r="178">
      <c r="A178" s="22"/>
      <c r="B178" s="20"/>
      <c r="C178" s="4"/>
      <c r="D178" s="19"/>
      <c r="E178" s="3"/>
      <c r="F178" s="4"/>
      <c r="G178" s="19"/>
      <c r="H178" s="4"/>
      <c r="I178" s="20"/>
      <c r="J178" s="4"/>
      <c r="K178" s="19"/>
      <c r="L178" s="4"/>
      <c r="M178" s="19"/>
      <c r="N178" s="4"/>
      <c r="O178" s="6"/>
      <c r="P178" s="21"/>
      <c r="Q178" s="8"/>
    </row>
    <row r="179">
      <c r="A179" s="18"/>
      <c r="B179" s="19"/>
      <c r="C179" s="4"/>
      <c r="D179" s="20"/>
      <c r="E179" s="3"/>
      <c r="F179" s="4"/>
      <c r="G179" s="19"/>
      <c r="H179" s="4"/>
      <c r="I179" s="19"/>
      <c r="J179" s="4"/>
      <c r="K179" s="19"/>
      <c r="L179" s="4"/>
      <c r="M179" s="20"/>
      <c r="N179" s="4"/>
      <c r="O179" s="6"/>
      <c r="P179" s="21"/>
      <c r="Q179" s="8"/>
    </row>
    <row r="180">
      <c r="A180" s="18"/>
      <c r="B180" s="23"/>
      <c r="C180" s="4"/>
      <c r="D180" s="24"/>
      <c r="E180" s="3"/>
      <c r="F180" s="3"/>
      <c r="G180" s="25"/>
      <c r="H180" s="3"/>
      <c r="I180" s="26"/>
      <c r="J180" s="3"/>
      <c r="K180" s="24"/>
      <c r="L180" s="3"/>
      <c r="M180" s="24"/>
      <c r="N180" s="4"/>
      <c r="O180" s="6"/>
      <c r="P180" s="7"/>
      <c r="Q180" s="8"/>
    </row>
    <row r="181">
      <c r="O181" s="28"/>
      <c r="P181" s="7"/>
      <c r="Q181" s="8"/>
    </row>
    <row r="182">
      <c r="O182" s="6"/>
      <c r="P182" s="7"/>
      <c r="Q182" s="8"/>
    </row>
    <row r="183">
      <c r="A183" s="1"/>
      <c r="B183" s="2"/>
      <c r="C183" s="3"/>
      <c r="D183" s="3"/>
      <c r="E183" s="3"/>
      <c r="F183" s="3"/>
      <c r="G183" s="3"/>
      <c r="H183" s="4"/>
      <c r="I183" s="1"/>
      <c r="J183" s="10"/>
      <c r="K183" s="3"/>
      <c r="L183" s="3"/>
      <c r="M183" s="3"/>
      <c r="N183" s="4"/>
      <c r="O183" s="6"/>
      <c r="P183" s="7"/>
      <c r="Q183" s="8"/>
    </row>
    <row r="184">
      <c r="A184" s="1"/>
      <c r="B184" s="37"/>
      <c r="C184" s="3"/>
      <c r="D184" s="3"/>
      <c r="E184" s="3"/>
      <c r="F184" s="3"/>
      <c r="G184" s="3"/>
      <c r="H184" s="4"/>
      <c r="I184" s="1"/>
      <c r="J184" s="10"/>
      <c r="K184" s="3"/>
      <c r="L184" s="3"/>
      <c r="M184" s="3"/>
      <c r="N184" s="4"/>
      <c r="O184" s="6"/>
      <c r="P184" s="7"/>
      <c r="Q184" s="8"/>
    </row>
    <row r="185">
      <c r="A185" s="1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4"/>
      <c r="O185" s="12"/>
      <c r="P185" s="13"/>
      <c r="Q185" s="14"/>
    </row>
    <row r="186">
      <c r="A186" s="15"/>
      <c r="B186" s="2"/>
      <c r="C186" s="3"/>
      <c r="D186" s="3"/>
      <c r="E186" s="3"/>
      <c r="F186" s="4"/>
      <c r="G186" s="2"/>
      <c r="H186" s="3"/>
      <c r="I186" s="3"/>
      <c r="J186" s="3"/>
      <c r="K186" s="10"/>
      <c r="L186" s="3"/>
      <c r="M186" s="3"/>
      <c r="N186" s="4"/>
      <c r="O186" s="6"/>
      <c r="P186" s="7"/>
      <c r="Q186" s="8"/>
    </row>
    <row r="187">
      <c r="A187" s="16"/>
      <c r="B187" s="17"/>
      <c r="C187" s="4"/>
      <c r="D187" s="17"/>
      <c r="E187" s="3"/>
      <c r="F187" s="4"/>
      <c r="G187" s="17"/>
      <c r="H187" s="4"/>
      <c r="I187" s="17"/>
      <c r="J187" s="4"/>
      <c r="K187" s="17"/>
      <c r="L187" s="4"/>
      <c r="M187" s="17"/>
      <c r="N187" s="4"/>
      <c r="O187" s="6"/>
      <c r="P187" s="7"/>
      <c r="Q187" s="8"/>
    </row>
    <row r="188">
      <c r="A188" s="22"/>
      <c r="B188" s="23"/>
      <c r="C188" s="4"/>
      <c r="D188" s="24"/>
      <c r="E188" s="3"/>
      <c r="F188" s="3"/>
      <c r="G188" s="25"/>
      <c r="H188" s="3"/>
      <c r="I188" s="26"/>
      <c r="J188" s="3"/>
      <c r="K188" s="24"/>
      <c r="L188" s="3"/>
      <c r="M188" s="24"/>
      <c r="N188" s="4"/>
      <c r="O188" s="6"/>
      <c r="P188" s="21"/>
      <c r="Q188" s="8"/>
    </row>
    <row r="189">
      <c r="A189" s="18"/>
      <c r="B189" s="20"/>
      <c r="C189" s="4"/>
      <c r="D189" s="20"/>
      <c r="E189" s="3"/>
      <c r="F189" s="4"/>
      <c r="G189" s="20"/>
      <c r="H189" s="4"/>
      <c r="I189" s="19"/>
      <c r="J189" s="4"/>
      <c r="K189" s="19"/>
      <c r="L189" s="4"/>
      <c r="M189" s="20"/>
      <c r="N189" s="4"/>
      <c r="O189" s="6"/>
      <c r="P189" s="21"/>
      <c r="Q189" s="8"/>
    </row>
    <row r="190">
      <c r="A190" s="18"/>
      <c r="B190" s="20"/>
      <c r="C190" s="4"/>
      <c r="D190" s="20"/>
      <c r="E190" s="3"/>
      <c r="F190" s="4"/>
      <c r="G190" s="19"/>
      <c r="H190" s="4"/>
      <c r="I190" s="19"/>
      <c r="J190" s="4"/>
      <c r="K190" s="19"/>
      <c r="L190" s="4"/>
      <c r="M190" s="20"/>
      <c r="N190" s="4"/>
      <c r="O190" s="6"/>
      <c r="P190" s="21"/>
      <c r="Q190" s="8"/>
    </row>
    <row r="191">
      <c r="A191" s="18"/>
      <c r="B191" s="20"/>
      <c r="C191" s="4"/>
      <c r="D191" s="20"/>
      <c r="E191" s="3"/>
      <c r="F191" s="4"/>
      <c r="G191" s="19"/>
      <c r="H191" s="4"/>
      <c r="I191" s="19"/>
      <c r="J191" s="4"/>
      <c r="K191" s="19"/>
      <c r="L191" s="4"/>
      <c r="M191" s="19"/>
      <c r="N191" s="4"/>
      <c r="O191" s="6"/>
      <c r="P191" s="21"/>
      <c r="Q191" s="8"/>
    </row>
    <row r="192">
      <c r="A192" s="18"/>
      <c r="B192" s="20"/>
      <c r="C192" s="4"/>
      <c r="D192" s="20"/>
      <c r="E192" s="3"/>
      <c r="F192" s="4"/>
      <c r="G192" s="19"/>
      <c r="H192" s="4"/>
      <c r="I192" s="19"/>
      <c r="J192" s="4"/>
      <c r="K192" s="19"/>
      <c r="L192" s="4"/>
      <c r="M192" s="19"/>
      <c r="N192" s="4"/>
      <c r="O192" s="6"/>
      <c r="P192" s="21"/>
      <c r="Q192" s="8"/>
    </row>
    <row r="193">
      <c r="A193" s="18"/>
      <c r="B193" s="20"/>
      <c r="C193" s="4"/>
      <c r="D193" s="20"/>
      <c r="E193" s="3"/>
      <c r="F193" s="4"/>
      <c r="G193" s="20"/>
      <c r="H193" s="4"/>
      <c r="I193" s="19"/>
      <c r="J193" s="4"/>
      <c r="K193" s="19"/>
      <c r="L193" s="4"/>
      <c r="M193" s="20"/>
      <c r="N193" s="4"/>
      <c r="O193" s="6"/>
      <c r="P193" s="21"/>
      <c r="Q193" s="8"/>
    </row>
    <row r="194">
      <c r="A194" s="22"/>
      <c r="B194" s="20"/>
      <c r="C194" s="4"/>
      <c r="D194" s="20"/>
      <c r="E194" s="3"/>
      <c r="F194" s="4"/>
      <c r="G194" s="19"/>
      <c r="H194" s="4"/>
      <c r="I194" s="19"/>
      <c r="J194" s="4"/>
      <c r="K194" s="19"/>
      <c r="L194" s="4"/>
      <c r="M194" s="20"/>
      <c r="N194" s="4"/>
      <c r="O194" s="6"/>
      <c r="P194" s="21"/>
      <c r="Q194" s="8"/>
    </row>
    <row r="195">
      <c r="A195" s="22"/>
      <c r="B195" s="19"/>
      <c r="C195" s="4"/>
      <c r="D195" s="19"/>
      <c r="E195" s="3"/>
      <c r="F195" s="4"/>
      <c r="G195" s="20"/>
      <c r="H195" s="4"/>
      <c r="I195" s="19"/>
      <c r="J195" s="4"/>
      <c r="K195" s="19"/>
      <c r="L195" s="4"/>
      <c r="M195" s="20"/>
      <c r="N195" s="4"/>
      <c r="O195" s="6"/>
      <c r="P195" s="21"/>
      <c r="Q195" s="8"/>
    </row>
    <row r="196">
      <c r="A196" s="18"/>
      <c r="B196" s="33"/>
      <c r="C196" s="4"/>
      <c r="D196" s="34"/>
      <c r="E196" s="3"/>
      <c r="F196" s="3"/>
      <c r="G196" s="25"/>
      <c r="H196" s="3"/>
      <c r="I196" s="26"/>
      <c r="J196" s="3"/>
      <c r="K196" s="24"/>
      <c r="L196" s="3"/>
      <c r="M196" s="24"/>
      <c r="N196" s="4"/>
      <c r="O196" s="6"/>
      <c r="P196" s="21"/>
      <c r="Q196" s="8"/>
    </row>
    <row r="197">
      <c r="A197" s="18"/>
      <c r="B197" s="33"/>
      <c r="C197" s="4"/>
      <c r="D197" s="34"/>
      <c r="E197" s="3"/>
      <c r="F197" s="3"/>
      <c r="G197" s="25"/>
      <c r="H197" s="3"/>
      <c r="I197" s="26"/>
      <c r="J197" s="3"/>
      <c r="K197" s="24"/>
      <c r="L197" s="3"/>
      <c r="M197" s="24"/>
      <c r="N197" s="4"/>
      <c r="O197" s="6"/>
      <c r="P197" s="21"/>
      <c r="Q197" s="8"/>
    </row>
    <row r="198">
      <c r="A198" s="18"/>
      <c r="B198" s="20"/>
      <c r="C198" s="4"/>
      <c r="D198" s="20"/>
      <c r="E198" s="3"/>
      <c r="F198" s="4"/>
      <c r="G198" s="19"/>
      <c r="H198" s="4"/>
      <c r="I198" s="19"/>
      <c r="J198" s="4"/>
      <c r="K198" s="19"/>
      <c r="L198" s="4"/>
      <c r="M198" s="19"/>
      <c r="N198" s="4"/>
      <c r="O198" s="6"/>
      <c r="P198" s="21"/>
      <c r="Q198" s="8"/>
    </row>
    <row r="199">
      <c r="A199" s="18"/>
      <c r="B199" s="20"/>
      <c r="C199" s="4"/>
      <c r="D199" s="20"/>
      <c r="E199" s="3"/>
      <c r="F199" s="4"/>
      <c r="G199" s="19"/>
      <c r="H199" s="4"/>
      <c r="I199" s="19"/>
      <c r="J199" s="4"/>
      <c r="K199" s="19"/>
      <c r="L199" s="4"/>
      <c r="M199" s="19"/>
      <c r="N199" s="4"/>
      <c r="O199" s="6"/>
      <c r="P199" s="21"/>
      <c r="Q199" s="8"/>
    </row>
    <row r="200">
      <c r="A200" s="18"/>
      <c r="B200" s="20"/>
      <c r="C200" s="4"/>
      <c r="D200" s="20"/>
      <c r="E200" s="3"/>
      <c r="F200" s="4"/>
      <c r="G200" s="20"/>
      <c r="H200" s="4"/>
      <c r="I200" s="19"/>
      <c r="J200" s="4"/>
      <c r="K200" s="19"/>
      <c r="L200" s="4"/>
      <c r="M200" s="20"/>
      <c r="N200" s="4"/>
      <c r="O200" s="6"/>
      <c r="P200" s="21"/>
      <c r="Q200" s="8"/>
    </row>
    <row r="201">
      <c r="A201" s="22"/>
      <c r="B201" s="19"/>
      <c r="C201" s="4"/>
      <c r="D201" s="20"/>
      <c r="E201" s="3"/>
      <c r="F201" s="4"/>
      <c r="G201" s="19"/>
      <c r="H201" s="4"/>
      <c r="I201" s="19"/>
      <c r="J201" s="4"/>
      <c r="K201" s="19"/>
      <c r="L201" s="4"/>
      <c r="M201" s="20"/>
      <c r="N201" s="4"/>
      <c r="O201" s="6"/>
      <c r="P201" s="21"/>
      <c r="Q201" s="8"/>
      <c r="R201" s="52"/>
    </row>
    <row r="202">
      <c r="A202" s="22"/>
      <c r="B202" s="23"/>
      <c r="C202" s="4"/>
      <c r="D202" s="24"/>
      <c r="E202" s="3"/>
      <c r="F202" s="3"/>
      <c r="G202" s="25"/>
      <c r="H202" s="3"/>
      <c r="I202" s="26"/>
      <c r="J202" s="3"/>
      <c r="K202" s="24"/>
      <c r="L202" s="3"/>
      <c r="M202" s="24"/>
      <c r="N202" s="4"/>
      <c r="O202" s="6"/>
      <c r="P202" s="7"/>
      <c r="Q202" s="8"/>
    </row>
    <row r="203">
      <c r="A203" s="18"/>
      <c r="B203" s="23"/>
      <c r="C203" s="4"/>
      <c r="D203" s="24"/>
      <c r="E203" s="3"/>
      <c r="F203" s="3"/>
      <c r="G203" s="25"/>
      <c r="H203" s="3"/>
      <c r="I203" s="26"/>
      <c r="J203" s="3"/>
      <c r="K203" s="24"/>
      <c r="L203" s="3"/>
      <c r="M203" s="24"/>
      <c r="N203" s="4"/>
      <c r="O203" s="6"/>
      <c r="P203" s="7"/>
      <c r="Q203" s="8"/>
    </row>
    <row r="204">
      <c r="O204" s="28"/>
      <c r="P204" s="7"/>
      <c r="Q204" s="8"/>
    </row>
    <row r="205">
      <c r="A205" s="1"/>
      <c r="B205" s="2"/>
      <c r="C205" s="3"/>
      <c r="D205" s="3"/>
      <c r="E205" s="3"/>
      <c r="F205" s="3"/>
      <c r="G205" s="3"/>
      <c r="H205" s="4"/>
      <c r="I205" s="1"/>
      <c r="J205" s="10"/>
      <c r="K205" s="3"/>
      <c r="L205" s="3"/>
      <c r="M205" s="3"/>
      <c r="N205" s="4"/>
      <c r="O205" s="6"/>
      <c r="P205" s="7"/>
      <c r="Q205" s="8"/>
    </row>
    <row r="206">
      <c r="A206" s="1"/>
      <c r="B206" s="9"/>
      <c r="C206" s="3"/>
      <c r="D206" s="3"/>
      <c r="E206" s="3"/>
      <c r="F206" s="3"/>
      <c r="G206" s="3"/>
      <c r="H206" s="4"/>
      <c r="I206" s="1"/>
      <c r="J206" s="10"/>
      <c r="K206" s="3"/>
      <c r="L206" s="3"/>
      <c r="M206" s="3"/>
      <c r="N206" s="4"/>
      <c r="O206" s="6"/>
      <c r="P206" s="7"/>
      <c r="Q206" s="8"/>
    </row>
    <row r="207">
      <c r="A207" s="1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4"/>
      <c r="O207" s="12"/>
      <c r="P207" s="13"/>
      <c r="Q207" s="14"/>
    </row>
    <row r="208">
      <c r="A208" s="15"/>
      <c r="B208" s="2"/>
      <c r="C208" s="3"/>
      <c r="D208" s="3"/>
      <c r="E208" s="3"/>
      <c r="F208" s="4"/>
      <c r="G208" s="2"/>
      <c r="H208" s="3"/>
      <c r="I208" s="3"/>
      <c r="J208" s="3"/>
      <c r="K208" s="10"/>
      <c r="L208" s="3"/>
      <c r="M208" s="3"/>
      <c r="N208" s="4"/>
      <c r="O208" s="6"/>
      <c r="P208" s="7"/>
      <c r="Q208" s="8"/>
    </row>
    <row r="209">
      <c r="A209" s="16"/>
      <c r="B209" s="17"/>
      <c r="C209" s="4"/>
      <c r="D209" s="17"/>
      <c r="E209" s="3"/>
      <c r="F209" s="4"/>
      <c r="G209" s="17"/>
      <c r="H209" s="4"/>
      <c r="I209" s="17"/>
      <c r="J209" s="4"/>
      <c r="K209" s="17"/>
      <c r="L209" s="4"/>
      <c r="M209" s="17"/>
      <c r="N209" s="4"/>
      <c r="O209" s="6"/>
      <c r="P209" s="7"/>
      <c r="Q209" s="8"/>
    </row>
    <row r="210">
      <c r="A210" s="18"/>
      <c r="B210" s="23"/>
      <c r="C210" s="4"/>
      <c r="D210" s="24"/>
      <c r="E210" s="3"/>
      <c r="F210" s="3"/>
      <c r="G210" s="25"/>
      <c r="H210" s="3"/>
      <c r="I210" s="26"/>
      <c r="J210" s="3"/>
      <c r="K210" s="24"/>
      <c r="L210" s="3"/>
      <c r="M210" s="24"/>
      <c r="N210" s="4"/>
      <c r="O210" s="6"/>
      <c r="P210" s="21"/>
      <c r="Q210" s="8"/>
    </row>
    <row r="211">
      <c r="A211" s="18"/>
      <c r="B211" s="20"/>
      <c r="C211" s="4"/>
      <c r="D211" s="19"/>
      <c r="E211" s="3"/>
      <c r="F211" s="4"/>
      <c r="G211" s="20"/>
      <c r="H211" s="4"/>
      <c r="I211" s="19"/>
      <c r="J211" s="4"/>
      <c r="K211" s="19"/>
      <c r="L211" s="4"/>
      <c r="M211" s="19"/>
      <c r="N211" s="4"/>
      <c r="O211" s="6"/>
      <c r="P211" s="21"/>
      <c r="Q211" s="8"/>
    </row>
    <row r="212">
      <c r="A212" s="18"/>
      <c r="B212" s="20"/>
      <c r="C212" s="4"/>
      <c r="D212" s="19"/>
      <c r="E212" s="3"/>
      <c r="F212" s="4"/>
      <c r="G212" s="20"/>
      <c r="H212" s="4"/>
      <c r="I212" s="19"/>
      <c r="J212" s="4"/>
      <c r="K212" s="19"/>
      <c r="L212" s="4"/>
      <c r="M212" s="19"/>
      <c r="N212" s="4"/>
      <c r="O212" s="6"/>
      <c r="P212" s="21"/>
      <c r="Q212" s="8"/>
    </row>
    <row r="213">
      <c r="A213" s="22"/>
      <c r="B213" s="20"/>
      <c r="C213" s="4"/>
      <c r="D213" s="20"/>
      <c r="E213" s="3"/>
      <c r="F213" s="4"/>
      <c r="G213" s="19"/>
      <c r="H213" s="4"/>
      <c r="I213" s="19"/>
      <c r="J213" s="4"/>
      <c r="K213" s="19"/>
      <c r="L213" s="4"/>
      <c r="M213" s="19"/>
      <c r="N213" s="4"/>
      <c r="O213" s="6"/>
      <c r="P213" s="21"/>
      <c r="Q213" s="8"/>
    </row>
    <row r="214">
      <c r="A214" s="22"/>
      <c r="B214" s="19"/>
      <c r="C214" s="4"/>
      <c r="D214" s="19"/>
      <c r="E214" s="3"/>
      <c r="F214" s="4"/>
      <c r="G214" s="19"/>
      <c r="H214" s="4"/>
      <c r="I214" s="19"/>
      <c r="J214" s="4"/>
      <c r="K214" s="19"/>
      <c r="L214" s="4"/>
      <c r="M214" s="19"/>
      <c r="N214" s="4"/>
      <c r="O214" s="6"/>
      <c r="P214" s="7"/>
      <c r="Q214" s="8"/>
    </row>
    <row r="215">
      <c r="A215" s="18"/>
      <c r="B215" s="20"/>
      <c r="C215" s="4"/>
      <c r="D215" s="19"/>
      <c r="E215" s="3"/>
      <c r="F215" s="4"/>
      <c r="G215" s="19"/>
      <c r="H215" s="4"/>
      <c r="I215" s="20"/>
      <c r="J215" s="4"/>
      <c r="K215" s="19"/>
      <c r="L215" s="4"/>
      <c r="M215" s="19"/>
      <c r="N215" s="4"/>
      <c r="O215" s="6"/>
      <c r="P215" s="21"/>
      <c r="Q215" s="8"/>
    </row>
    <row r="216">
      <c r="A216" s="18"/>
      <c r="B216" s="23"/>
      <c r="C216" s="4"/>
      <c r="D216" s="24"/>
      <c r="E216" s="3"/>
      <c r="F216" s="3"/>
      <c r="G216" s="25"/>
      <c r="H216" s="3"/>
      <c r="I216" s="26"/>
      <c r="J216" s="3"/>
      <c r="K216" s="24"/>
      <c r="L216" s="3"/>
      <c r="M216" s="24"/>
      <c r="N216" s="4"/>
      <c r="O216" s="6"/>
      <c r="P216" s="7"/>
      <c r="Q216" s="8"/>
    </row>
    <row r="217">
      <c r="A217" s="18"/>
      <c r="B217" s="20"/>
      <c r="C217" s="4"/>
      <c r="D217" s="19"/>
      <c r="E217" s="3"/>
      <c r="F217" s="4"/>
      <c r="G217" s="20"/>
      <c r="H217" s="4"/>
      <c r="I217" s="19"/>
      <c r="J217" s="4"/>
      <c r="K217" s="19"/>
      <c r="L217" s="4"/>
      <c r="M217" s="19"/>
      <c r="N217" s="4"/>
      <c r="O217" s="6"/>
      <c r="P217" s="21"/>
      <c r="Q217" s="8"/>
    </row>
    <row r="218">
      <c r="A218" s="18"/>
      <c r="B218" s="20"/>
      <c r="C218" s="4"/>
      <c r="D218" s="19"/>
      <c r="E218" s="3"/>
      <c r="F218" s="4"/>
      <c r="G218" s="20"/>
      <c r="H218" s="4"/>
      <c r="I218" s="19"/>
      <c r="J218" s="4"/>
      <c r="K218" s="19"/>
      <c r="L218" s="4"/>
      <c r="M218" s="19"/>
      <c r="N218" s="4"/>
      <c r="O218" s="6"/>
      <c r="P218" s="21"/>
      <c r="Q218" s="8"/>
    </row>
    <row r="219">
      <c r="A219" s="18"/>
      <c r="B219" s="20"/>
      <c r="C219" s="4"/>
      <c r="D219" s="19"/>
      <c r="E219" s="3"/>
      <c r="F219" s="4"/>
      <c r="G219" s="19"/>
      <c r="H219" s="4"/>
      <c r="I219" s="20"/>
      <c r="J219" s="4"/>
      <c r="K219" s="19"/>
      <c r="L219" s="4"/>
      <c r="M219" s="19"/>
      <c r="N219" s="4"/>
      <c r="O219" s="6"/>
      <c r="P219" s="21"/>
      <c r="Q219" s="8"/>
    </row>
    <row r="220">
      <c r="A220" s="22"/>
      <c r="B220" s="20"/>
      <c r="C220" s="4"/>
      <c r="D220" s="20"/>
      <c r="E220" s="3"/>
      <c r="F220" s="4"/>
      <c r="G220" s="19"/>
      <c r="H220" s="4"/>
      <c r="I220" s="19"/>
      <c r="J220" s="4"/>
      <c r="K220" s="19"/>
      <c r="L220" s="4"/>
      <c r="M220" s="19"/>
      <c r="N220" s="4"/>
      <c r="O220" s="6"/>
      <c r="P220" s="21"/>
      <c r="Q220" s="8"/>
    </row>
    <row r="221">
      <c r="A221" s="22"/>
      <c r="B221" s="19"/>
      <c r="C221" s="4"/>
      <c r="D221" s="19"/>
      <c r="E221" s="3"/>
      <c r="F221" s="4"/>
      <c r="G221" s="19"/>
      <c r="H221" s="4"/>
      <c r="I221" s="19"/>
      <c r="J221" s="4"/>
      <c r="K221" s="19"/>
      <c r="L221" s="4"/>
      <c r="M221" s="19"/>
      <c r="N221" s="4"/>
      <c r="O221" s="6"/>
      <c r="P221" s="7"/>
      <c r="Q221" s="8"/>
    </row>
    <row r="222">
      <c r="A222" s="18"/>
      <c r="B222" s="20"/>
      <c r="C222" s="4"/>
      <c r="D222" s="19"/>
      <c r="E222" s="3"/>
      <c r="F222" s="4"/>
      <c r="G222" s="20"/>
      <c r="H222" s="4"/>
      <c r="I222" s="19"/>
      <c r="J222" s="4"/>
      <c r="K222" s="19"/>
      <c r="L222" s="4"/>
      <c r="M222" s="19"/>
      <c r="N222" s="4"/>
      <c r="O222" s="6"/>
      <c r="P222" s="21"/>
      <c r="Q222" s="8"/>
    </row>
    <row r="223">
      <c r="A223" s="18"/>
      <c r="B223" s="20"/>
      <c r="C223" s="4"/>
      <c r="D223" s="19"/>
      <c r="E223" s="3"/>
      <c r="F223" s="4"/>
      <c r="G223" s="19"/>
      <c r="H223" s="4"/>
      <c r="I223" s="20"/>
      <c r="J223" s="4"/>
      <c r="K223" s="19"/>
      <c r="L223" s="4"/>
      <c r="M223" s="19"/>
      <c r="N223" s="4"/>
      <c r="O223" s="6"/>
      <c r="P223" s="21"/>
      <c r="Q223" s="8"/>
    </row>
    <row r="224">
      <c r="A224" s="18"/>
      <c r="B224" s="20"/>
      <c r="C224" s="4"/>
      <c r="D224" s="19"/>
      <c r="E224" s="3"/>
      <c r="F224" s="4"/>
      <c r="G224" s="20"/>
      <c r="H224" s="4"/>
      <c r="I224" s="19"/>
      <c r="J224" s="4"/>
      <c r="K224" s="19"/>
      <c r="L224" s="4"/>
      <c r="M224" s="19"/>
      <c r="N224" s="4"/>
      <c r="O224" s="6"/>
      <c r="P224" s="21"/>
      <c r="Q224" s="8"/>
    </row>
    <row r="225">
      <c r="A225" s="18"/>
      <c r="B225" s="20"/>
      <c r="C225" s="4"/>
      <c r="D225" s="19"/>
      <c r="E225" s="3"/>
      <c r="F225" s="4"/>
      <c r="G225" s="19"/>
      <c r="H225" s="4"/>
      <c r="I225" s="19"/>
      <c r="J225" s="4"/>
      <c r="K225" s="19"/>
      <c r="L225" s="4"/>
      <c r="M225" s="19"/>
      <c r="N225" s="4"/>
      <c r="O225" s="6"/>
      <c r="P225" s="7"/>
      <c r="Q225" s="8"/>
    </row>
    <row r="226">
      <c r="O226" s="28"/>
      <c r="P226" s="7"/>
      <c r="Q226" s="8"/>
    </row>
    <row r="227">
      <c r="O227" s="6"/>
      <c r="P227" s="7"/>
      <c r="Q227" s="8"/>
    </row>
    <row r="228">
      <c r="A228" s="1"/>
      <c r="B228" s="2"/>
      <c r="C228" s="3"/>
      <c r="D228" s="3"/>
      <c r="E228" s="3"/>
      <c r="F228" s="3"/>
      <c r="G228" s="3"/>
      <c r="H228" s="4"/>
      <c r="I228" s="1"/>
      <c r="J228" s="10"/>
      <c r="K228" s="3"/>
      <c r="L228" s="3"/>
      <c r="M228" s="3"/>
      <c r="N228" s="4"/>
      <c r="O228" s="6"/>
      <c r="P228" s="7"/>
      <c r="Q228" s="8"/>
    </row>
    <row r="229">
      <c r="A229" s="1"/>
      <c r="B229" s="37"/>
      <c r="C229" s="3"/>
      <c r="D229" s="3"/>
      <c r="E229" s="3"/>
      <c r="F229" s="3"/>
      <c r="G229" s="3"/>
      <c r="H229" s="4"/>
      <c r="I229" s="1"/>
      <c r="J229" s="10"/>
      <c r="K229" s="3"/>
      <c r="L229" s="3"/>
      <c r="M229" s="3"/>
      <c r="N229" s="4"/>
      <c r="O229" s="6"/>
      <c r="P229" s="7"/>
      <c r="Q229" s="8"/>
    </row>
    <row r="230">
      <c r="A230" s="1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4"/>
      <c r="O230" s="6"/>
      <c r="P230" s="7"/>
      <c r="Q230" s="8"/>
    </row>
    <row r="231">
      <c r="A231" s="15"/>
      <c r="B231" s="2"/>
      <c r="C231" s="3"/>
      <c r="D231" s="3"/>
      <c r="E231" s="3"/>
      <c r="F231" s="4"/>
      <c r="G231" s="2"/>
      <c r="H231" s="3"/>
      <c r="I231" s="3"/>
      <c r="J231" s="3"/>
      <c r="K231" s="10"/>
      <c r="L231" s="3"/>
      <c r="M231" s="3"/>
      <c r="N231" s="4"/>
      <c r="O231" s="6"/>
      <c r="P231" s="7"/>
      <c r="Q231" s="8"/>
    </row>
    <row r="232">
      <c r="A232" s="16"/>
      <c r="B232" s="17"/>
      <c r="C232" s="4"/>
      <c r="D232" s="17"/>
      <c r="E232" s="3"/>
      <c r="F232" s="4"/>
      <c r="G232" s="17"/>
      <c r="H232" s="4"/>
      <c r="I232" s="17"/>
      <c r="J232" s="4"/>
      <c r="K232" s="17"/>
      <c r="L232" s="4"/>
      <c r="M232" s="17"/>
      <c r="N232" s="4"/>
      <c r="O232" s="6"/>
      <c r="P232" s="7"/>
      <c r="Q232" s="8"/>
    </row>
    <row r="233">
      <c r="A233" s="18"/>
      <c r="B233" s="33"/>
      <c r="C233" s="4"/>
      <c r="D233" s="34"/>
      <c r="E233" s="3"/>
      <c r="F233" s="3"/>
      <c r="G233" s="25"/>
      <c r="H233" s="3"/>
      <c r="I233" s="26"/>
      <c r="J233" s="3"/>
      <c r="K233" s="24"/>
      <c r="L233" s="3"/>
      <c r="M233" s="24"/>
      <c r="N233" s="4"/>
      <c r="O233" s="6"/>
      <c r="P233" s="21"/>
      <c r="Q233" s="8"/>
    </row>
    <row r="234">
      <c r="A234" s="37"/>
      <c r="B234" s="20"/>
      <c r="C234" s="4"/>
      <c r="D234" s="20"/>
      <c r="E234" s="3"/>
      <c r="F234" s="4"/>
      <c r="G234" s="20"/>
      <c r="H234" s="4"/>
      <c r="I234" s="19"/>
      <c r="J234" s="4"/>
      <c r="K234" s="19"/>
      <c r="L234" s="4"/>
      <c r="M234" s="20"/>
      <c r="N234" s="4"/>
      <c r="O234" s="6"/>
      <c r="P234" s="21"/>
      <c r="Q234" s="8"/>
    </row>
    <row r="235">
      <c r="A235" s="18"/>
      <c r="B235" s="20"/>
      <c r="C235" s="4"/>
      <c r="D235" s="20"/>
      <c r="E235" s="3"/>
      <c r="F235" s="4"/>
      <c r="G235" s="19"/>
      <c r="H235" s="4"/>
      <c r="I235" s="19"/>
      <c r="J235" s="4"/>
      <c r="K235" s="19"/>
      <c r="L235" s="4"/>
      <c r="M235" s="20"/>
      <c r="N235" s="4"/>
      <c r="O235" s="6"/>
      <c r="P235" s="21"/>
      <c r="Q235" s="8"/>
    </row>
    <row r="236">
      <c r="A236" s="18"/>
      <c r="B236" s="20"/>
      <c r="C236" s="4"/>
      <c r="D236" s="20"/>
      <c r="E236" s="3"/>
      <c r="F236" s="4"/>
      <c r="G236" s="19"/>
      <c r="H236" s="4"/>
      <c r="I236" s="19"/>
      <c r="J236" s="4"/>
      <c r="K236" s="19"/>
      <c r="L236" s="4"/>
      <c r="M236" s="19"/>
      <c r="N236" s="4"/>
      <c r="O236" s="6"/>
      <c r="P236" s="21"/>
      <c r="Q236" s="8"/>
    </row>
    <row r="237">
      <c r="A237" s="18"/>
      <c r="B237" s="20"/>
      <c r="C237" s="4"/>
      <c r="D237" s="20"/>
      <c r="E237" s="3"/>
      <c r="F237" s="4"/>
      <c r="G237" s="19"/>
      <c r="H237" s="4"/>
      <c r="I237" s="19"/>
      <c r="J237" s="4"/>
      <c r="K237" s="19"/>
      <c r="L237" s="4"/>
      <c r="M237" s="19"/>
      <c r="N237" s="4"/>
      <c r="O237" s="6"/>
      <c r="P237" s="21"/>
      <c r="Q237" s="8"/>
    </row>
    <row r="238">
      <c r="A238" s="22"/>
      <c r="B238" s="20"/>
      <c r="C238" s="4"/>
      <c r="D238" s="20"/>
      <c r="E238" s="3"/>
      <c r="F238" s="4"/>
      <c r="G238" s="20"/>
      <c r="H238" s="4"/>
      <c r="I238" s="19"/>
      <c r="J238" s="4"/>
      <c r="K238" s="19"/>
      <c r="L238" s="4"/>
      <c r="M238" s="20"/>
      <c r="N238" s="4"/>
      <c r="O238" s="6"/>
      <c r="P238" s="21"/>
      <c r="Q238" s="8"/>
    </row>
    <row r="239">
      <c r="A239" s="22"/>
      <c r="B239" s="20"/>
      <c r="C239" s="4"/>
      <c r="D239" s="20"/>
      <c r="E239" s="3"/>
      <c r="F239" s="4"/>
      <c r="G239" s="19"/>
      <c r="H239" s="4"/>
      <c r="I239" s="19"/>
      <c r="J239" s="4"/>
      <c r="K239" s="19"/>
      <c r="L239" s="4"/>
      <c r="M239" s="20"/>
      <c r="N239" s="4"/>
      <c r="O239" s="6"/>
      <c r="P239" s="21"/>
      <c r="Q239" s="8"/>
    </row>
    <row r="240">
      <c r="A240" s="18"/>
      <c r="B240" s="20"/>
      <c r="C240" s="4"/>
      <c r="D240" s="20"/>
      <c r="E240" s="3"/>
      <c r="F240" s="4"/>
      <c r="G240" s="20"/>
      <c r="H240" s="4"/>
      <c r="I240" s="19"/>
      <c r="J240" s="4"/>
      <c r="K240" s="19"/>
      <c r="L240" s="4"/>
      <c r="M240" s="20"/>
      <c r="N240" s="4"/>
      <c r="O240" s="6"/>
      <c r="P240" s="21"/>
      <c r="Q240" s="8"/>
    </row>
    <row r="241">
      <c r="A241" s="18"/>
      <c r="B241" s="33"/>
      <c r="C241" s="4"/>
      <c r="D241" s="34"/>
      <c r="E241" s="3"/>
      <c r="F241" s="3"/>
      <c r="G241" s="25"/>
      <c r="H241" s="3"/>
      <c r="I241" s="26"/>
      <c r="J241" s="3"/>
      <c r="K241" s="24"/>
      <c r="L241" s="3"/>
      <c r="M241" s="24"/>
      <c r="N241" s="4"/>
      <c r="O241" s="6"/>
      <c r="P241" s="21"/>
      <c r="Q241" s="8"/>
    </row>
    <row r="242">
      <c r="A242" s="18"/>
      <c r="B242" s="33"/>
      <c r="C242" s="4"/>
      <c r="D242" s="34"/>
      <c r="E242" s="3"/>
      <c r="F242" s="3"/>
      <c r="G242" s="25"/>
      <c r="H242" s="3"/>
      <c r="I242" s="26"/>
      <c r="J242" s="3"/>
      <c r="K242" s="24"/>
      <c r="L242" s="3"/>
      <c r="M242" s="24"/>
      <c r="N242" s="4"/>
      <c r="O242" s="6"/>
      <c r="P242" s="21"/>
      <c r="Q242" s="8"/>
    </row>
    <row r="243">
      <c r="A243" s="18"/>
      <c r="B243" s="20"/>
      <c r="C243" s="4"/>
      <c r="D243" s="20"/>
      <c r="E243" s="3"/>
      <c r="F243" s="4"/>
      <c r="G243" s="19"/>
      <c r="H243" s="4"/>
      <c r="I243" s="19"/>
      <c r="J243" s="4"/>
      <c r="K243" s="19"/>
      <c r="L243" s="4"/>
      <c r="M243" s="19"/>
      <c r="N243" s="4"/>
      <c r="O243" s="6"/>
      <c r="P243" s="21"/>
      <c r="Q243" s="8"/>
    </row>
    <row r="244">
      <c r="A244" s="18"/>
      <c r="B244" s="20"/>
      <c r="C244" s="4"/>
      <c r="D244" s="20"/>
      <c r="E244" s="3"/>
      <c r="F244" s="4"/>
      <c r="G244" s="19"/>
      <c r="H244" s="4"/>
      <c r="I244" s="19"/>
      <c r="J244" s="4"/>
      <c r="K244" s="19"/>
      <c r="L244" s="4"/>
      <c r="M244" s="19"/>
      <c r="N244" s="4"/>
      <c r="O244" s="6"/>
      <c r="P244" s="21"/>
      <c r="Q244" s="8"/>
    </row>
    <row r="245">
      <c r="A245" s="22"/>
      <c r="B245" s="20"/>
      <c r="C245" s="4"/>
      <c r="D245" s="20"/>
      <c r="E245" s="3"/>
      <c r="F245" s="4"/>
      <c r="G245" s="20"/>
      <c r="H245" s="4"/>
      <c r="I245" s="19"/>
      <c r="J245" s="4"/>
      <c r="K245" s="19"/>
      <c r="L245" s="4"/>
      <c r="M245" s="20"/>
      <c r="N245" s="4"/>
      <c r="O245" s="6"/>
      <c r="P245" s="21"/>
      <c r="Q245" s="8"/>
    </row>
    <row r="246">
      <c r="A246" s="22"/>
      <c r="B246" s="20"/>
      <c r="C246" s="4"/>
      <c r="D246" s="20"/>
      <c r="E246" s="3"/>
      <c r="F246" s="4"/>
      <c r="G246" s="19"/>
      <c r="H246" s="4"/>
      <c r="I246" s="19"/>
      <c r="J246" s="4"/>
      <c r="K246" s="19"/>
      <c r="L246" s="4"/>
      <c r="M246" s="20"/>
      <c r="N246" s="4"/>
      <c r="O246" s="6"/>
      <c r="P246" s="7"/>
      <c r="Q246" s="8"/>
    </row>
    <row r="247">
      <c r="A247" s="18"/>
      <c r="B247" s="33"/>
      <c r="C247" s="4"/>
      <c r="D247" s="34"/>
      <c r="E247" s="3"/>
      <c r="F247" s="3"/>
      <c r="G247" s="25"/>
      <c r="H247" s="3"/>
      <c r="I247" s="26"/>
      <c r="J247" s="3"/>
      <c r="K247" s="24"/>
      <c r="L247" s="3"/>
      <c r="M247" s="24"/>
      <c r="N247" s="4"/>
      <c r="O247" s="6"/>
      <c r="P247" s="21"/>
      <c r="Q247" s="8"/>
    </row>
    <row r="248">
      <c r="A248" s="18"/>
      <c r="B248" s="23"/>
      <c r="C248" s="4"/>
      <c r="D248" s="24"/>
      <c r="E248" s="3"/>
      <c r="F248" s="3"/>
      <c r="G248" s="25"/>
      <c r="H248" s="3"/>
      <c r="I248" s="26"/>
      <c r="J248" s="3"/>
      <c r="K248" s="24"/>
      <c r="L248" s="3"/>
      <c r="M248" s="24"/>
      <c r="N248" s="4"/>
      <c r="O248" s="6"/>
      <c r="P248" s="7"/>
      <c r="Q248" s="8"/>
    </row>
    <row r="249">
      <c r="O249" s="6"/>
      <c r="P249" s="7"/>
      <c r="Q249" s="8"/>
    </row>
    <row r="250">
      <c r="O250" s="6"/>
      <c r="P250" s="7"/>
      <c r="Q250" s="8"/>
    </row>
    <row r="251">
      <c r="O251" s="6"/>
      <c r="P251" s="7"/>
      <c r="Q251" s="8"/>
    </row>
    <row r="252">
      <c r="O252" s="6"/>
      <c r="P252" s="7"/>
      <c r="Q252" s="8"/>
    </row>
    <row r="253">
      <c r="O253" s="6"/>
      <c r="P253" s="7"/>
      <c r="Q253" s="8"/>
    </row>
    <row r="254">
      <c r="O254" s="6"/>
      <c r="P254" s="7"/>
      <c r="Q254" s="8"/>
    </row>
    <row r="255">
      <c r="O255" s="6"/>
      <c r="P255" s="7"/>
      <c r="Q255" s="8"/>
    </row>
    <row r="256">
      <c r="O256" s="6"/>
      <c r="P256" s="7"/>
      <c r="Q256" s="8"/>
    </row>
    <row r="257">
      <c r="O257" s="6"/>
      <c r="P257" s="7"/>
      <c r="Q257" s="8"/>
    </row>
    <row r="258">
      <c r="O258" s="6"/>
      <c r="P258" s="7"/>
      <c r="Q258" s="8"/>
    </row>
    <row r="259">
      <c r="O259" s="6"/>
      <c r="P259" s="7"/>
      <c r="Q259" s="8"/>
    </row>
    <row r="260">
      <c r="O260" s="6"/>
      <c r="P260" s="7"/>
      <c r="Q260" s="8"/>
    </row>
    <row r="261">
      <c r="O261" s="6"/>
      <c r="P261" s="7"/>
      <c r="Q261" s="8"/>
    </row>
    <row r="262">
      <c r="O262" s="6"/>
      <c r="P262" s="7"/>
      <c r="Q262" s="8"/>
    </row>
    <row r="263">
      <c r="O263" s="6"/>
      <c r="P263" s="7"/>
      <c r="Q263" s="8"/>
    </row>
    <row r="264">
      <c r="O264" s="6"/>
      <c r="P264" s="7"/>
      <c r="Q264" s="8"/>
    </row>
    <row r="265">
      <c r="O265" s="6"/>
      <c r="P265" s="7"/>
      <c r="Q265" s="8"/>
    </row>
    <row r="266">
      <c r="O266" s="6"/>
      <c r="P266" s="7"/>
      <c r="Q266" s="8"/>
    </row>
    <row r="267">
      <c r="O267" s="6"/>
      <c r="P267" s="7"/>
      <c r="Q267" s="8"/>
    </row>
    <row r="268">
      <c r="O268" s="6"/>
      <c r="P268" s="7"/>
      <c r="Q268" s="8"/>
    </row>
    <row r="269">
      <c r="O269" s="6"/>
      <c r="P269" s="7"/>
      <c r="Q269" s="8"/>
    </row>
    <row r="270">
      <c r="O270" s="6"/>
      <c r="P270" s="7"/>
      <c r="Q270" s="8"/>
    </row>
    <row r="271">
      <c r="O271" s="6"/>
      <c r="P271" s="7"/>
      <c r="Q271" s="8"/>
    </row>
    <row r="272">
      <c r="O272" s="6"/>
      <c r="P272" s="7"/>
      <c r="Q272" s="8"/>
    </row>
    <row r="273">
      <c r="O273" s="6"/>
      <c r="P273" s="7"/>
      <c r="Q273" s="8"/>
    </row>
    <row r="274">
      <c r="O274" s="6"/>
      <c r="P274" s="7"/>
      <c r="Q274" s="8"/>
    </row>
    <row r="275">
      <c r="O275" s="6"/>
      <c r="P275" s="7"/>
      <c r="Q275" s="8"/>
    </row>
    <row r="276">
      <c r="O276" s="6"/>
      <c r="P276" s="7"/>
      <c r="Q276" s="8"/>
    </row>
    <row r="277">
      <c r="O277" s="6"/>
      <c r="P277" s="7"/>
      <c r="Q277" s="8"/>
    </row>
    <row r="278">
      <c r="O278" s="6"/>
      <c r="P278" s="7"/>
      <c r="Q278" s="8"/>
    </row>
    <row r="279">
      <c r="O279" s="6"/>
      <c r="P279" s="7"/>
      <c r="Q279" s="8"/>
    </row>
    <row r="280">
      <c r="O280" s="6"/>
      <c r="P280" s="7"/>
      <c r="Q280" s="8"/>
    </row>
    <row r="281">
      <c r="O281" s="6"/>
      <c r="P281" s="7"/>
      <c r="Q281" s="8"/>
    </row>
    <row r="282">
      <c r="O282" s="6"/>
      <c r="P282" s="7"/>
      <c r="Q282" s="8"/>
    </row>
    <row r="283">
      <c r="O283" s="6"/>
      <c r="P283" s="7"/>
      <c r="Q283" s="8"/>
    </row>
    <row r="284">
      <c r="O284" s="6"/>
      <c r="P284" s="7"/>
      <c r="Q284" s="8"/>
    </row>
    <row r="285">
      <c r="O285" s="6"/>
      <c r="P285" s="7"/>
      <c r="Q285" s="8"/>
    </row>
    <row r="286">
      <c r="O286" s="6"/>
      <c r="P286" s="7"/>
      <c r="Q286" s="8"/>
    </row>
    <row r="287">
      <c r="O287" s="6"/>
      <c r="P287" s="7"/>
      <c r="Q287" s="8"/>
    </row>
    <row r="288">
      <c r="O288" s="6"/>
      <c r="P288" s="7"/>
      <c r="Q288" s="8"/>
    </row>
    <row r="289">
      <c r="O289" s="6"/>
      <c r="P289" s="7"/>
      <c r="Q289" s="8"/>
    </row>
    <row r="290">
      <c r="O290" s="6"/>
      <c r="P290" s="7"/>
      <c r="Q290" s="8"/>
    </row>
    <row r="291">
      <c r="O291" s="6"/>
      <c r="P291" s="7"/>
      <c r="Q291" s="8"/>
    </row>
    <row r="292">
      <c r="O292" s="6"/>
      <c r="P292" s="7"/>
      <c r="Q292" s="8"/>
    </row>
    <row r="293">
      <c r="O293" s="6"/>
      <c r="P293" s="7"/>
      <c r="Q293" s="8"/>
    </row>
    <row r="294">
      <c r="O294" s="6"/>
      <c r="P294" s="7"/>
      <c r="Q294" s="8"/>
    </row>
    <row r="295">
      <c r="O295" s="6"/>
      <c r="P295" s="7"/>
      <c r="Q295" s="8"/>
    </row>
    <row r="296">
      <c r="O296" s="6"/>
      <c r="P296" s="7"/>
      <c r="Q296" s="8"/>
    </row>
    <row r="297">
      <c r="O297" s="6"/>
      <c r="P297" s="7"/>
      <c r="Q297" s="8"/>
    </row>
    <row r="298">
      <c r="O298" s="6"/>
      <c r="P298" s="7"/>
      <c r="Q298" s="8"/>
    </row>
    <row r="299">
      <c r="O299" s="6"/>
      <c r="P299" s="7"/>
      <c r="Q299" s="8"/>
    </row>
    <row r="300">
      <c r="O300" s="6"/>
      <c r="P300" s="7"/>
      <c r="Q300" s="8"/>
    </row>
    <row r="301">
      <c r="O301" s="6"/>
      <c r="P301" s="7"/>
      <c r="Q301" s="8"/>
    </row>
    <row r="302">
      <c r="O302" s="6"/>
      <c r="P302" s="7"/>
      <c r="Q302" s="8"/>
    </row>
    <row r="303">
      <c r="O303" s="6"/>
      <c r="P303" s="7"/>
      <c r="Q303" s="8"/>
    </row>
    <row r="304">
      <c r="O304" s="6"/>
      <c r="P304" s="7"/>
      <c r="Q304" s="8"/>
    </row>
    <row r="305">
      <c r="O305" s="6"/>
      <c r="P305" s="7"/>
      <c r="Q305" s="8"/>
    </row>
    <row r="306">
      <c r="O306" s="6"/>
      <c r="P306" s="7"/>
      <c r="Q306" s="8"/>
    </row>
    <row r="307">
      <c r="O307" s="6"/>
      <c r="P307" s="7"/>
      <c r="Q307" s="8"/>
    </row>
    <row r="308">
      <c r="O308" s="6"/>
      <c r="P308" s="7"/>
      <c r="Q308" s="8"/>
    </row>
    <row r="309">
      <c r="O309" s="6"/>
      <c r="P309" s="7"/>
      <c r="Q309" s="8"/>
    </row>
    <row r="310">
      <c r="O310" s="6"/>
      <c r="P310" s="7"/>
      <c r="Q310" s="8"/>
    </row>
    <row r="311">
      <c r="O311" s="6"/>
      <c r="P311" s="7"/>
      <c r="Q311" s="8"/>
    </row>
    <row r="312">
      <c r="O312" s="6"/>
      <c r="P312" s="7"/>
      <c r="Q312" s="8"/>
    </row>
    <row r="313">
      <c r="O313" s="6"/>
      <c r="P313" s="7"/>
      <c r="Q313" s="8"/>
    </row>
    <row r="314">
      <c r="O314" s="6"/>
      <c r="P314" s="7"/>
      <c r="Q314" s="8"/>
    </row>
    <row r="315">
      <c r="O315" s="6"/>
      <c r="P315" s="7"/>
      <c r="Q315" s="8"/>
    </row>
    <row r="316">
      <c r="O316" s="6"/>
      <c r="P316" s="7"/>
      <c r="Q316" s="8"/>
    </row>
    <row r="317">
      <c r="O317" s="6"/>
      <c r="P317" s="7"/>
      <c r="Q317" s="8"/>
    </row>
    <row r="318">
      <c r="O318" s="6"/>
      <c r="P318" s="7"/>
      <c r="Q318" s="8"/>
    </row>
    <row r="319">
      <c r="O319" s="6"/>
      <c r="P319" s="7"/>
      <c r="Q319" s="8"/>
    </row>
    <row r="320">
      <c r="O320" s="6"/>
      <c r="P320" s="7"/>
      <c r="Q320" s="8"/>
    </row>
    <row r="321">
      <c r="O321" s="6"/>
      <c r="P321" s="7"/>
      <c r="Q321" s="8"/>
    </row>
    <row r="322">
      <c r="O322" s="6"/>
      <c r="P322" s="7"/>
      <c r="Q322" s="8"/>
    </row>
    <row r="323">
      <c r="O323" s="6"/>
      <c r="P323" s="7"/>
      <c r="Q323" s="8"/>
    </row>
    <row r="324">
      <c r="O324" s="6"/>
      <c r="P324" s="7"/>
      <c r="Q324" s="8"/>
    </row>
    <row r="325">
      <c r="O325" s="6"/>
      <c r="P325" s="7"/>
      <c r="Q325" s="8"/>
    </row>
    <row r="326">
      <c r="O326" s="6"/>
      <c r="P326" s="7"/>
      <c r="Q326" s="8"/>
    </row>
    <row r="327">
      <c r="O327" s="6"/>
      <c r="P327" s="7"/>
      <c r="Q327" s="8"/>
    </row>
    <row r="328">
      <c r="O328" s="6"/>
      <c r="P328" s="7"/>
      <c r="Q328" s="8"/>
    </row>
    <row r="329">
      <c r="O329" s="6"/>
      <c r="P329" s="7"/>
      <c r="Q329" s="8"/>
    </row>
    <row r="330">
      <c r="O330" s="6"/>
      <c r="P330" s="7"/>
      <c r="Q330" s="8"/>
    </row>
    <row r="331">
      <c r="O331" s="6"/>
      <c r="P331" s="7"/>
      <c r="Q331" s="8"/>
    </row>
    <row r="332">
      <c r="O332" s="6"/>
      <c r="P332" s="7"/>
      <c r="Q332" s="8"/>
    </row>
    <row r="333">
      <c r="O333" s="6"/>
      <c r="P333" s="7"/>
      <c r="Q333" s="8"/>
    </row>
    <row r="334">
      <c r="O334" s="6"/>
      <c r="P334" s="7"/>
      <c r="Q334" s="8"/>
    </row>
    <row r="335">
      <c r="O335" s="6"/>
      <c r="P335" s="7"/>
      <c r="Q335" s="8"/>
    </row>
    <row r="336">
      <c r="O336" s="6"/>
      <c r="P336" s="7"/>
      <c r="Q336" s="8"/>
    </row>
    <row r="337">
      <c r="O337" s="6"/>
      <c r="P337" s="7"/>
      <c r="Q337" s="8"/>
    </row>
    <row r="338">
      <c r="O338" s="6"/>
      <c r="P338" s="7"/>
      <c r="Q338" s="8"/>
    </row>
    <row r="339">
      <c r="O339" s="6"/>
      <c r="P339" s="7"/>
      <c r="Q339" s="8"/>
    </row>
    <row r="340">
      <c r="O340" s="6"/>
      <c r="P340" s="7"/>
      <c r="Q340" s="8"/>
    </row>
    <row r="341">
      <c r="O341" s="6"/>
      <c r="P341" s="7"/>
      <c r="Q341" s="8"/>
    </row>
    <row r="342">
      <c r="O342" s="6"/>
      <c r="P342" s="7"/>
      <c r="Q342" s="8"/>
    </row>
    <row r="343">
      <c r="O343" s="6"/>
      <c r="P343" s="7"/>
      <c r="Q343" s="8"/>
    </row>
    <row r="344">
      <c r="O344" s="6"/>
      <c r="P344" s="7"/>
      <c r="Q344" s="8"/>
    </row>
    <row r="345">
      <c r="O345" s="6"/>
      <c r="P345" s="7"/>
      <c r="Q345" s="8"/>
    </row>
    <row r="346">
      <c r="O346" s="6"/>
      <c r="P346" s="7"/>
      <c r="Q346" s="8"/>
    </row>
    <row r="347">
      <c r="O347" s="6"/>
      <c r="P347" s="7"/>
      <c r="Q347" s="8"/>
    </row>
    <row r="348">
      <c r="O348" s="6"/>
      <c r="P348" s="7"/>
      <c r="Q348" s="8"/>
    </row>
    <row r="349">
      <c r="O349" s="6"/>
      <c r="P349" s="7"/>
      <c r="Q349" s="8"/>
    </row>
    <row r="350">
      <c r="O350" s="6"/>
      <c r="P350" s="7"/>
      <c r="Q350" s="8"/>
    </row>
    <row r="351">
      <c r="O351" s="6"/>
      <c r="P351" s="7"/>
      <c r="Q351" s="8"/>
    </row>
    <row r="352">
      <c r="O352" s="6"/>
      <c r="P352" s="7"/>
      <c r="Q352" s="8"/>
    </row>
    <row r="353">
      <c r="O353" s="6"/>
      <c r="P353" s="7"/>
      <c r="Q353" s="8"/>
    </row>
    <row r="354">
      <c r="O354" s="6"/>
      <c r="P354" s="7"/>
      <c r="Q354" s="8"/>
    </row>
    <row r="355">
      <c r="O355" s="6"/>
      <c r="P355" s="7"/>
      <c r="Q355" s="8"/>
    </row>
    <row r="356">
      <c r="O356" s="6"/>
      <c r="P356" s="7"/>
      <c r="Q356" s="8"/>
    </row>
    <row r="357">
      <c r="O357" s="6"/>
      <c r="P357" s="7"/>
      <c r="Q357" s="8"/>
    </row>
    <row r="358">
      <c r="O358" s="6"/>
      <c r="P358" s="7"/>
      <c r="Q358" s="8"/>
    </row>
    <row r="359">
      <c r="O359" s="6"/>
      <c r="P359" s="7"/>
      <c r="Q359" s="8"/>
    </row>
    <row r="360">
      <c r="O360" s="6"/>
      <c r="P360" s="7"/>
      <c r="Q360" s="8"/>
    </row>
    <row r="361">
      <c r="O361" s="6"/>
      <c r="P361" s="7"/>
      <c r="Q361" s="8"/>
    </row>
    <row r="362">
      <c r="O362" s="6"/>
      <c r="P362" s="7"/>
      <c r="Q362" s="8"/>
    </row>
    <row r="363">
      <c r="O363" s="6"/>
      <c r="P363" s="7"/>
      <c r="Q363" s="8"/>
    </row>
    <row r="364">
      <c r="O364" s="6"/>
      <c r="P364" s="7"/>
      <c r="Q364" s="8"/>
    </row>
    <row r="365">
      <c r="O365" s="6"/>
      <c r="P365" s="7"/>
      <c r="Q365" s="8"/>
    </row>
    <row r="366">
      <c r="O366" s="6"/>
      <c r="P366" s="7"/>
      <c r="Q366" s="8"/>
    </row>
    <row r="367">
      <c r="O367" s="6"/>
      <c r="P367" s="7"/>
      <c r="Q367" s="8"/>
    </row>
    <row r="368">
      <c r="O368" s="6"/>
      <c r="P368" s="7"/>
      <c r="Q368" s="8"/>
    </row>
    <row r="369">
      <c r="O369" s="6"/>
      <c r="P369" s="7"/>
      <c r="Q369" s="8"/>
    </row>
    <row r="370">
      <c r="O370" s="6"/>
      <c r="P370" s="7"/>
      <c r="Q370" s="8"/>
    </row>
    <row r="371">
      <c r="O371" s="6"/>
      <c r="P371" s="7"/>
      <c r="Q371" s="8"/>
    </row>
    <row r="372">
      <c r="O372" s="6"/>
      <c r="P372" s="7"/>
      <c r="Q372" s="8"/>
    </row>
    <row r="373">
      <c r="O373" s="6"/>
      <c r="P373" s="7"/>
      <c r="Q373" s="8"/>
    </row>
    <row r="374">
      <c r="O374" s="6"/>
      <c r="P374" s="7"/>
      <c r="Q374" s="8"/>
    </row>
    <row r="375">
      <c r="O375" s="6"/>
      <c r="P375" s="7"/>
      <c r="Q375" s="8"/>
    </row>
    <row r="376">
      <c r="O376" s="6"/>
      <c r="P376" s="7"/>
      <c r="Q376" s="8"/>
    </row>
    <row r="377">
      <c r="O377" s="6"/>
      <c r="P377" s="7"/>
      <c r="Q377" s="8"/>
    </row>
    <row r="378">
      <c r="O378" s="6"/>
      <c r="P378" s="7"/>
      <c r="Q378" s="8"/>
    </row>
    <row r="379">
      <c r="O379" s="6"/>
      <c r="P379" s="7"/>
      <c r="Q379" s="8"/>
    </row>
    <row r="380">
      <c r="O380" s="6"/>
      <c r="P380" s="7"/>
      <c r="Q380" s="8"/>
    </row>
    <row r="381">
      <c r="O381" s="6"/>
      <c r="P381" s="7"/>
      <c r="Q381" s="8"/>
    </row>
    <row r="382">
      <c r="O382" s="6"/>
      <c r="P382" s="7"/>
      <c r="Q382" s="8"/>
    </row>
    <row r="383">
      <c r="O383" s="6"/>
      <c r="P383" s="7"/>
      <c r="Q383" s="8"/>
    </row>
    <row r="384">
      <c r="O384" s="6"/>
      <c r="P384" s="7"/>
      <c r="Q384" s="8"/>
    </row>
    <row r="385">
      <c r="O385" s="6"/>
      <c r="P385" s="7"/>
      <c r="Q385" s="8"/>
    </row>
    <row r="386">
      <c r="O386" s="6"/>
      <c r="P386" s="7"/>
      <c r="Q386" s="8"/>
    </row>
    <row r="387">
      <c r="O387" s="6"/>
      <c r="P387" s="7"/>
      <c r="Q387" s="8"/>
    </row>
    <row r="388">
      <c r="O388" s="6"/>
      <c r="P388" s="7"/>
      <c r="Q388" s="8"/>
    </row>
    <row r="389">
      <c r="O389" s="6"/>
      <c r="P389" s="7"/>
      <c r="Q389" s="8"/>
    </row>
    <row r="390">
      <c r="O390" s="6"/>
      <c r="P390" s="7"/>
      <c r="Q390" s="8"/>
    </row>
    <row r="391">
      <c r="O391" s="6"/>
      <c r="P391" s="7"/>
      <c r="Q391" s="8"/>
    </row>
    <row r="392">
      <c r="O392" s="6"/>
      <c r="P392" s="7"/>
      <c r="Q392" s="8"/>
    </row>
    <row r="393">
      <c r="O393" s="6"/>
      <c r="P393" s="7"/>
      <c r="Q393" s="8"/>
    </row>
    <row r="394">
      <c r="O394" s="6"/>
      <c r="P394" s="7"/>
      <c r="Q394" s="8"/>
    </row>
    <row r="395">
      <c r="O395" s="6"/>
      <c r="P395" s="7"/>
      <c r="Q395" s="8"/>
    </row>
    <row r="396">
      <c r="O396" s="6"/>
      <c r="P396" s="7"/>
      <c r="Q396" s="8"/>
    </row>
    <row r="397">
      <c r="O397" s="6"/>
      <c r="P397" s="7"/>
      <c r="Q397" s="8"/>
    </row>
    <row r="398">
      <c r="O398" s="6"/>
      <c r="P398" s="7"/>
      <c r="Q398" s="8"/>
    </row>
    <row r="399">
      <c r="O399" s="6"/>
      <c r="P399" s="7"/>
      <c r="Q399" s="8"/>
    </row>
    <row r="400">
      <c r="O400" s="6"/>
      <c r="P400" s="7"/>
      <c r="Q400" s="8"/>
    </row>
    <row r="401">
      <c r="O401" s="6"/>
      <c r="P401" s="7"/>
      <c r="Q401" s="8"/>
    </row>
    <row r="402">
      <c r="O402" s="6"/>
      <c r="P402" s="7"/>
      <c r="Q402" s="8"/>
    </row>
    <row r="403">
      <c r="O403" s="6"/>
      <c r="P403" s="7"/>
      <c r="Q403" s="8"/>
    </row>
    <row r="404">
      <c r="O404" s="6"/>
      <c r="P404" s="7"/>
      <c r="Q404" s="8"/>
    </row>
    <row r="405">
      <c r="O405" s="6"/>
      <c r="P405" s="7"/>
      <c r="Q405" s="8"/>
    </row>
    <row r="406">
      <c r="O406" s="6"/>
      <c r="P406" s="7"/>
      <c r="Q406" s="8"/>
    </row>
    <row r="407">
      <c r="O407" s="6"/>
      <c r="P407" s="7"/>
      <c r="Q407" s="8"/>
    </row>
    <row r="408">
      <c r="O408" s="6"/>
      <c r="P408" s="7"/>
      <c r="Q408" s="8"/>
    </row>
    <row r="409">
      <c r="O409" s="6"/>
      <c r="P409" s="7"/>
      <c r="Q409" s="8"/>
    </row>
    <row r="410">
      <c r="O410" s="6"/>
      <c r="P410" s="7"/>
      <c r="Q410" s="8"/>
    </row>
    <row r="411">
      <c r="O411" s="6"/>
      <c r="P411" s="7"/>
      <c r="Q411" s="8"/>
    </row>
    <row r="412">
      <c r="O412" s="6"/>
      <c r="P412" s="7"/>
      <c r="Q412" s="8"/>
    </row>
    <row r="413">
      <c r="O413" s="6"/>
      <c r="P413" s="7"/>
      <c r="Q413" s="8"/>
    </row>
    <row r="414">
      <c r="O414" s="6"/>
      <c r="P414" s="7"/>
      <c r="Q414" s="8"/>
    </row>
    <row r="415">
      <c r="O415" s="6"/>
      <c r="P415" s="7"/>
      <c r="Q415" s="8"/>
    </row>
    <row r="416">
      <c r="O416" s="6"/>
      <c r="P416" s="7"/>
      <c r="Q416" s="8"/>
    </row>
    <row r="417">
      <c r="O417" s="6"/>
      <c r="P417" s="7"/>
      <c r="Q417" s="8"/>
    </row>
    <row r="418">
      <c r="O418" s="6"/>
      <c r="P418" s="7"/>
      <c r="Q418" s="8"/>
    </row>
    <row r="419">
      <c r="O419" s="6"/>
      <c r="P419" s="7"/>
      <c r="Q419" s="8"/>
    </row>
    <row r="420">
      <c r="O420" s="6"/>
      <c r="P420" s="7"/>
      <c r="Q420" s="8"/>
    </row>
    <row r="421">
      <c r="O421" s="6"/>
      <c r="P421" s="7"/>
      <c r="Q421" s="8"/>
    </row>
    <row r="422">
      <c r="O422" s="6"/>
      <c r="P422" s="7"/>
      <c r="Q422" s="8"/>
    </row>
    <row r="423">
      <c r="O423" s="6"/>
      <c r="P423" s="7"/>
      <c r="Q423" s="8"/>
    </row>
    <row r="424">
      <c r="O424" s="6"/>
      <c r="P424" s="7"/>
      <c r="Q424" s="8"/>
    </row>
    <row r="425">
      <c r="O425" s="6"/>
      <c r="P425" s="7"/>
      <c r="Q425" s="8"/>
    </row>
    <row r="426">
      <c r="O426" s="6"/>
      <c r="P426" s="7"/>
      <c r="Q426" s="8"/>
    </row>
    <row r="427">
      <c r="O427" s="6"/>
      <c r="P427" s="7"/>
      <c r="Q427" s="8"/>
    </row>
    <row r="428">
      <c r="O428" s="6"/>
      <c r="P428" s="7"/>
      <c r="Q428" s="8"/>
    </row>
    <row r="429">
      <c r="O429" s="6"/>
      <c r="P429" s="7"/>
      <c r="Q429" s="8"/>
    </row>
    <row r="430">
      <c r="O430" s="6"/>
      <c r="P430" s="7"/>
      <c r="Q430" s="8"/>
    </row>
    <row r="431">
      <c r="O431" s="6"/>
      <c r="P431" s="7"/>
      <c r="Q431" s="8"/>
    </row>
    <row r="432">
      <c r="O432" s="6"/>
      <c r="P432" s="7"/>
      <c r="Q432" s="8"/>
    </row>
    <row r="433">
      <c r="O433" s="6"/>
      <c r="P433" s="7"/>
      <c r="Q433" s="8"/>
    </row>
    <row r="434">
      <c r="O434" s="6"/>
      <c r="P434" s="7"/>
      <c r="Q434" s="8"/>
    </row>
    <row r="435">
      <c r="O435" s="6"/>
      <c r="P435" s="7"/>
      <c r="Q435" s="8"/>
    </row>
    <row r="436">
      <c r="O436" s="6"/>
      <c r="P436" s="7"/>
      <c r="Q436" s="8"/>
    </row>
    <row r="437">
      <c r="O437" s="6"/>
      <c r="P437" s="7"/>
      <c r="Q437" s="8"/>
    </row>
    <row r="438">
      <c r="O438" s="6"/>
      <c r="P438" s="7"/>
      <c r="Q438" s="8"/>
    </row>
    <row r="439">
      <c r="O439" s="6"/>
      <c r="P439" s="7"/>
      <c r="Q439" s="8"/>
    </row>
    <row r="440">
      <c r="O440" s="6"/>
      <c r="P440" s="7"/>
      <c r="Q440" s="8"/>
    </row>
    <row r="441">
      <c r="O441" s="6"/>
      <c r="P441" s="7"/>
      <c r="Q441" s="8"/>
    </row>
    <row r="442">
      <c r="O442" s="6"/>
      <c r="P442" s="7"/>
      <c r="Q442" s="8"/>
    </row>
    <row r="443">
      <c r="O443" s="6"/>
      <c r="P443" s="7"/>
      <c r="Q443" s="8"/>
    </row>
    <row r="444">
      <c r="O444" s="6"/>
      <c r="P444" s="7"/>
      <c r="Q444" s="8"/>
    </row>
    <row r="445">
      <c r="O445" s="6"/>
      <c r="P445" s="7"/>
      <c r="Q445" s="8"/>
    </row>
    <row r="446">
      <c r="O446" s="6"/>
      <c r="P446" s="7"/>
      <c r="Q446" s="8"/>
    </row>
    <row r="447">
      <c r="O447" s="6"/>
      <c r="P447" s="7"/>
      <c r="Q447" s="8"/>
    </row>
    <row r="448">
      <c r="O448" s="6"/>
      <c r="P448" s="7"/>
      <c r="Q448" s="8"/>
    </row>
    <row r="449">
      <c r="O449" s="6"/>
      <c r="P449" s="7"/>
      <c r="Q449" s="8"/>
    </row>
    <row r="450">
      <c r="O450" s="6"/>
      <c r="P450" s="7"/>
      <c r="Q450" s="8"/>
    </row>
    <row r="451">
      <c r="O451" s="6"/>
      <c r="P451" s="7"/>
      <c r="Q451" s="8"/>
    </row>
    <row r="452">
      <c r="O452" s="6"/>
      <c r="P452" s="7"/>
      <c r="Q452" s="8"/>
    </row>
    <row r="453">
      <c r="O453" s="6"/>
      <c r="P453" s="7"/>
      <c r="Q453" s="8"/>
    </row>
    <row r="454">
      <c r="O454" s="6"/>
      <c r="P454" s="7"/>
      <c r="Q454" s="8"/>
    </row>
    <row r="455">
      <c r="O455" s="6"/>
      <c r="P455" s="7"/>
      <c r="Q455" s="8"/>
    </row>
    <row r="456">
      <c r="O456" s="6"/>
      <c r="P456" s="7"/>
      <c r="Q456" s="8"/>
    </row>
    <row r="457">
      <c r="O457" s="6"/>
      <c r="P457" s="7"/>
      <c r="Q457" s="8"/>
    </row>
    <row r="458">
      <c r="O458" s="6"/>
      <c r="P458" s="7"/>
      <c r="Q458" s="8"/>
    </row>
    <row r="459">
      <c r="O459" s="6"/>
      <c r="P459" s="7"/>
      <c r="Q459" s="8"/>
    </row>
    <row r="460">
      <c r="O460" s="6"/>
      <c r="P460" s="7"/>
      <c r="Q460" s="8"/>
    </row>
    <row r="461">
      <c r="O461" s="6"/>
      <c r="P461" s="7"/>
      <c r="Q461" s="8"/>
    </row>
    <row r="462">
      <c r="O462" s="6"/>
      <c r="P462" s="7"/>
      <c r="Q462" s="8"/>
    </row>
    <row r="463">
      <c r="O463" s="6"/>
      <c r="P463" s="7"/>
      <c r="Q463" s="8"/>
    </row>
    <row r="464">
      <c r="O464" s="6"/>
      <c r="P464" s="7"/>
      <c r="Q464" s="8"/>
    </row>
    <row r="465">
      <c r="O465" s="6"/>
      <c r="P465" s="7"/>
      <c r="Q465" s="8"/>
    </row>
    <row r="466">
      <c r="O466" s="6"/>
      <c r="P466" s="7"/>
      <c r="Q466" s="8"/>
    </row>
    <row r="467">
      <c r="O467" s="6"/>
      <c r="P467" s="7"/>
      <c r="Q467" s="8"/>
    </row>
    <row r="468">
      <c r="O468" s="6"/>
      <c r="P468" s="7"/>
      <c r="Q468" s="8"/>
    </row>
    <row r="469">
      <c r="O469" s="6"/>
      <c r="P469" s="7"/>
      <c r="Q469" s="8"/>
    </row>
    <row r="470">
      <c r="O470" s="6"/>
      <c r="P470" s="7"/>
      <c r="Q470" s="8"/>
    </row>
    <row r="471">
      <c r="O471" s="6"/>
      <c r="P471" s="7"/>
      <c r="Q471" s="8"/>
    </row>
    <row r="472">
      <c r="O472" s="6"/>
      <c r="P472" s="7"/>
      <c r="Q472" s="8"/>
    </row>
    <row r="473">
      <c r="O473" s="6"/>
      <c r="P473" s="7"/>
      <c r="Q473" s="8"/>
    </row>
    <row r="474">
      <c r="O474" s="6"/>
      <c r="P474" s="7"/>
      <c r="Q474" s="8"/>
    </row>
    <row r="475">
      <c r="O475" s="6"/>
      <c r="P475" s="7"/>
      <c r="Q475" s="8"/>
    </row>
    <row r="476">
      <c r="O476" s="6"/>
      <c r="P476" s="7"/>
      <c r="Q476" s="8"/>
    </row>
    <row r="477">
      <c r="O477" s="6"/>
      <c r="P477" s="7"/>
      <c r="Q477" s="8"/>
    </row>
    <row r="478">
      <c r="O478" s="6"/>
      <c r="P478" s="7"/>
      <c r="Q478" s="8"/>
    </row>
    <row r="479">
      <c r="O479" s="6"/>
      <c r="P479" s="7"/>
      <c r="Q479" s="8"/>
    </row>
    <row r="480">
      <c r="O480" s="6"/>
      <c r="P480" s="7"/>
      <c r="Q480" s="8"/>
    </row>
    <row r="481">
      <c r="O481" s="6"/>
      <c r="P481" s="7"/>
      <c r="Q481" s="8"/>
    </row>
    <row r="482">
      <c r="O482" s="6"/>
      <c r="P482" s="7"/>
      <c r="Q482" s="8"/>
    </row>
    <row r="483">
      <c r="O483" s="6"/>
      <c r="P483" s="7"/>
      <c r="Q483" s="8"/>
    </row>
    <row r="484">
      <c r="O484" s="6"/>
      <c r="P484" s="7"/>
      <c r="Q484" s="8"/>
    </row>
    <row r="485">
      <c r="O485" s="6"/>
      <c r="P485" s="7"/>
      <c r="Q485" s="8"/>
    </row>
    <row r="486">
      <c r="O486" s="6"/>
      <c r="P486" s="7"/>
      <c r="Q486" s="8"/>
    </row>
    <row r="487">
      <c r="O487" s="6"/>
      <c r="P487" s="7"/>
      <c r="Q487" s="8"/>
    </row>
    <row r="488">
      <c r="O488" s="6"/>
      <c r="P488" s="7"/>
      <c r="Q488" s="8"/>
    </row>
    <row r="489">
      <c r="O489" s="6"/>
      <c r="P489" s="7"/>
      <c r="Q489" s="8"/>
    </row>
    <row r="490">
      <c r="O490" s="6"/>
      <c r="P490" s="7"/>
      <c r="Q490" s="8"/>
    </row>
    <row r="491">
      <c r="O491" s="6"/>
      <c r="P491" s="7"/>
      <c r="Q491" s="8"/>
    </row>
    <row r="492">
      <c r="O492" s="6"/>
      <c r="P492" s="7"/>
      <c r="Q492" s="8"/>
    </row>
    <row r="493">
      <c r="O493" s="6"/>
      <c r="P493" s="7"/>
      <c r="Q493" s="8"/>
    </row>
    <row r="494">
      <c r="O494" s="6"/>
      <c r="P494" s="7"/>
      <c r="Q494" s="8"/>
    </row>
    <row r="495">
      <c r="O495" s="6"/>
      <c r="P495" s="7"/>
      <c r="Q495" s="8"/>
    </row>
    <row r="496">
      <c r="O496" s="6"/>
      <c r="P496" s="7"/>
      <c r="Q496" s="8"/>
    </row>
    <row r="497">
      <c r="O497" s="6"/>
      <c r="P497" s="7"/>
      <c r="Q497" s="8"/>
    </row>
    <row r="498">
      <c r="O498" s="6"/>
      <c r="P498" s="7"/>
      <c r="Q498" s="8"/>
    </row>
    <row r="499">
      <c r="O499" s="6"/>
      <c r="P499" s="7"/>
      <c r="Q499" s="8"/>
    </row>
    <row r="500">
      <c r="O500" s="6"/>
      <c r="P500" s="7"/>
      <c r="Q500" s="8"/>
    </row>
    <row r="501">
      <c r="O501" s="6"/>
      <c r="P501" s="7"/>
      <c r="Q501" s="8"/>
    </row>
    <row r="502">
      <c r="O502" s="6"/>
      <c r="P502" s="7"/>
      <c r="Q502" s="8"/>
    </row>
    <row r="503">
      <c r="O503" s="6"/>
      <c r="P503" s="7"/>
      <c r="Q503" s="8"/>
    </row>
    <row r="504">
      <c r="O504" s="6"/>
      <c r="P504" s="7"/>
      <c r="Q504" s="8"/>
    </row>
    <row r="505">
      <c r="O505" s="6"/>
      <c r="P505" s="7"/>
      <c r="Q505" s="8"/>
    </row>
    <row r="506">
      <c r="O506" s="6"/>
      <c r="P506" s="7"/>
      <c r="Q506" s="8"/>
    </row>
    <row r="507">
      <c r="O507" s="6"/>
      <c r="P507" s="7"/>
      <c r="Q507" s="8"/>
    </row>
    <row r="508">
      <c r="O508" s="6"/>
      <c r="P508" s="7"/>
      <c r="Q508" s="8"/>
    </row>
    <row r="509">
      <c r="O509" s="6"/>
      <c r="P509" s="7"/>
      <c r="Q509" s="8"/>
    </row>
    <row r="510">
      <c r="O510" s="6"/>
      <c r="P510" s="7"/>
      <c r="Q510" s="8"/>
    </row>
    <row r="511">
      <c r="O511" s="6"/>
      <c r="P511" s="7"/>
      <c r="Q511" s="8"/>
    </row>
    <row r="512">
      <c r="O512" s="6"/>
      <c r="P512" s="7"/>
      <c r="Q512" s="8"/>
    </row>
    <row r="513">
      <c r="O513" s="6"/>
      <c r="P513" s="7"/>
      <c r="Q513" s="8"/>
    </row>
    <row r="514">
      <c r="O514" s="6"/>
      <c r="P514" s="7"/>
      <c r="Q514" s="8"/>
    </row>
    <row r="515">
      <c r="O515" s="6"/>
      <c r="P515" s="7"/>
      <c r="Q515" s="8"/>
    </row>
    <row r="516">
      <c r="O516" s="6"/>
      <c r="P516" s="7"/>
      <c r="Q516" s="8"/>
    </row>
    <row r="517">
      <c r="O517" s="6"/>
      <c r="P517" s="7"/>
      <c r="Q517" s="8"/>
    </row>
    <row r="518">
      <c r="O518" s="6"/>
      <c r="P518" s="7"/>
      <c r="Q518" s="8"/>
    </row>
    <row r="519">
      <c r="O519" s="6"/>
      <c r="P519" s="7"/>
      <c r="Q519" s="8"/>
    </row>
    <row r="520">
      <c r="O520" s="6"/>
      <c r="P520" s="7"/>
      <c r="Q520" s="8"/>
    </row>
    <row r="521">
      <c r="O521" s="6"/>
      <c r="P521" s="7"/>
      <c r="Q521" s="8"/>
    </row>
    <row r="522">
      <c r="O522" s="6"/>
      <c r="P522" s="7"/>
      <c r="Q522" s="8"/>
    </row>
    <row r="523">
      <c r="O523" s="6"/>
      <c r="P523" s="7"/>
      <c r="Q523" s="8"/>
    </row>
    <row r="524">
      <c r="O524" s="6"/>
      <c r="P524" s="7"/>
      <c r="Q524" s="8"/>
    </row>
    <row r="525">
      <c r="O525" s="6"/>
      <c r="P525" s="7"/>
      <c r="Q525" s="8"/>
    </row>
    <row r="526">
      <c r="O526" s="6"/>
      <c r="P526" s="7"/>
      <c r="Q526" s="8"/>
    </row>
    <row r="527">
      <c r="O527" s="6"/>
      <c r="P527" s="7"/>
      <c r="Q527" s="8"/>
    </row>
    <row r="528">
      <c r="O528" s="6"/>
      <c r="P528" s="7"/>
      <c r="Q528" s="8"/>
    </row>
    <row r="529">
      <c r="O529" s="6"/>
      <c r="P529" s="7"/>
      <c r="Q529" s="8"/>
    </row>
    <row r="530">
      <c r="O530" s="6"/>
      <c r="P530" s="7"/>
      <c r="Q530" s="8"/>
    </row>
    <row r="531">
      <c r="O531" s="6"/>
      <c r="P531" s="7"/>
      <c r="Q531" s="8"/>
    </row>
    <row r="532">
      <c r="O532" s="6"/>
      <c r="P532" s="7"/>
      <c r="Q532" s="8"/>
    </row>
    <row r="533">
      <c r="O533" s="6"/>
      <c r="P533" s="7"/>
      <c r="Q533" s="8"/>
    </row>
    <row r="534">
      <c r="O534" s="6"/>
      <c r="P534" s="7"/>
      <c r="Q534" s="8"/>
    </row>
    <row r="535">
      <c r="O535" s="6"/>
      <c r="P535" s="7"/>
      <c r="Q535" s="8"/>
    </row>
    <row r="536">
      <c r="O536" s="6"/>
      <c r="P536" s="7"/>
      <c r="Q536" s="8"/>
    </row>
    <row r="537">
      <c r="O537" s="6"/>
      <c r="P537" s="7"/>
      <c r="Q537" s="8"/>
    </row>
    <row r="538">
      <c r="O538" s="6"/>
      <c r="P538" s="7"/>
      <c r="Q538" s="8"/>
    </row>
    <row r="539">
      <c r="O539" s="6"/>
      <c r="P539" s="7"/>
      <c r="Q539" s="8"/>
    </row>
    <row r="540">
      <c r="O540" s="6"/>
      <c r="P540" s="7"/>
      <c r="Q540" s="8"/>
    </row>
    <row r="541">
      <c r="O541" s="6"/>
      <c r="P541" s="7"/>
      <c r="Q541" s="8"/>
    </row>
    <row r="542">
      <c r="O542" s="6"/>
      <c r="P542" s="7"/>
      <c r="Q542" s="8"/>
    </row>
    <row r="543">
      <c r="O543" s="6"/>
      <c r="P543" s="7"/>
      <c r="Q543" s="8"/>
    </row>
    <row r="544">
      <c r="O544" s="6"/>
      <c r="P544" s="7"/>
      <c r="Q544" s="8"/>
    </row>
    <row r="545">
      <c r="O545" s="6"/>
      <c r="P545" s="7"/>
      <c r="Q545" s="8"/>
    </row>
    <row r="546">
      <c r="O546" s="6"/>
      <c r="P546" s="7"/>
      <c r="Q546" s="8"/>
    </row>
    <row r="547">
      <c r="O547" s="6"/>
      <c r="P547" s="7"/>
      <c r="Q547" s="8"/>
    </row>
    <row r="548">
      <c r="O548" s="6"/>
      <c r="P548" s="7"/>
      <c r="Q548" s="8"/>
    </row>
    <row r="549">
      <c r="O549" s="6"/>
      <c r="P549" s="7"/>
      <c r="Q549" s="8"/>
    </row>
    <row r="550">
      <c r="O550" s="6"/>
      <c r="P550" s="7"/>
      <c r="Q550" s="8"/>
    </row>
    <row r="551">
      <c r="O551" s="6"/>
      <c r="P551" s="7"/>
      <c r="Q551" s="8"/>
    </row>
    <row r="552">
      <c r="O552" s="6"/>
      <c r="P552" s="7"/>
      <c r="Q552" s="8"/>
    </row>
    <row r="553">
      <c r="O553" s="6"/>
      <c r="P553" s="7"/>
      <c r="Q553" s="8"/>
    </row>
    <row r="554">
      <c r="O554" s="6"/>
      <c r="P554" s="7"/>
      <c r="Q554" s="8"/>
    </row>
    <row r="555">
      <c r="O555" s="6"/>
      <c r="P555" s="7"/>
      <c r="Q555" s="8"/>
    </row>
    <row r="556">
      <c r="O556" s="6"/>
      <c r="P556" s="7"/>
      <c r="Q556" s="8"/>
    </row>
    <row r="557">
      <c r="O557" s="6"/>
      <c r="P557" s="7"/>
      <c r="Q557" s="8"/>
    </row>
    <row r="558">
      <c r="O558" s="6"/>
      <c r="P558" s="7"/>
      <c r="Q558" s="8"/>
    </row>
    <row r="559">
      <c r="O559" s="6"/>
      <c r="P559" s="7"/>
      <c r="Q559" s="8"/>
    </row>
    <row r="560">
      <c r="O560" s="6"/>
      <c r="P560" s="7"/>
      <c r="Q560" s="8"/>
    </row>
    <row r="561">
      <c r="O561" s="6"/>
      <c r="P561" s="7"/>
      <c r="Q561" s="8"/>
    </row>
    <row r="562">
      <c r="O562" s="6"/>
      <c r="P562" s="7"/>
      <c r="Q562" s="8"/>
    </row>
    <row r="563">
      <c r="O563" s="6"/>
      <c r="P563" s="7"/>
      <c r="Q563" s="8"/>
    </row>
    <row r="564">
      <c r="O564" s="6"/>
      <c r="P564" s="7"/>
      <c r="Q564" s="8"/>
    </row>
    <row r="565">
      <c r="O565" s="6"/>
      <c r="P565" s="7"/>
      <c r="Q565" s="8"/>
    </row>
    <row r="566">
      <c r="O566" s="6"/>
      <c r="P566" s="7"/>
      <c r="Q566" s="8"/>
    </row>
    <row r="567">
      <c r="O567" s="6"/>
      <c r="P567" s="7"/>
      <c r="Q567" s="8"/>
    </row>
    <row r="568">
      <c r="O568" s="6"/>
      <c r="P568" s="7"/>
      <c r="Q568" s="8"/>
    </row>
    <row r="569">
      <c r="O569" s="6"/>
      <c r="P569" s="7"/>
      <c r="Q569" s="8"/>
    </row>
    <row r="570">
      <c r="O570" s="6"/>
      <c r="P570" s="7"/>
      <c r="Q570" s="8"/>
    </row>
    <row r="571">
      <c r="O571" s="6"/>
      <c r="P571" s="7"/>
      <c r="Q571" s="8"/>
    </row>
    <row r="572">
      <c r="O572" s="6"/>
      <c r="P572" s="7"/>
      <c r="Q572" s="8"/>
    </row>
    <row r="573">
      <c r="O573" s="6"/>
      <c r="P573" s="7"/>
      <c r="Q573" s="8"/>
    </row>
    <row r="574">
      <c r="O574" s="6"/>
      <c r="P574" s="7"/>
      <c r="Q574" s="8"/>
    </row>
    <row r="575">
      <c r="O575" s="6"/>
      <c r="P575" s="7"/>
      <c r="Q575" s="8"/>
    </row>
    <row r="576">
      <c r="O576" s="6"/>
      <c r="P576" s="7"/>
      <c r="Q576" s="8"/>
    </row>
    <row r="577">
      <c r="O577" s="6"/>
      <c r="P577" s="7"/>
      <c r="Q577" s="8"/>
    </row>
    <row r="578">
      <c r="O578" s="6"/>
      <c r="P578" s="7"/>
      <c r="Q578" s="8"/>
    </row>
    <row r="579">
      <c r="O579" s="6"/>
      <c r="P579" s="7"/>
      <c r="Q579" s="8"/>
    </row>
    <row r="580">
      <c r="O580" s="6"/>
      <c r="P580" s="7"/>
      <c r="Q580" s="8"/>
    </row>
    <row r="581">
      <c r="O581" s="6"/>
      <c r="P581" s="7"/>
      <c r="Q581" s="8"/>
    </row>
    <row r="582">
      <c r="O582" s="6"/>
      <c r="P582" s="7"/>
      <c r="Q582" s="8"/>
    </row>
    <row r="583">
      <c r="O583" s="6"/>
      <c r="P583" s="7"/>
      <c r="Q583" s="8"/>
    </row>
    <row r="584">
      <c r="O584" s="6"/>
      <c r="P584" s="7"/>
      <c r="Q584" s="8"/>
    </row>
    <row r="585">
      <c r="O585" s="6"/>
      <c r="P585" s="7"/>
      <c r="Q585" s="8"/>
    </row>
    <row r="586">
      <c r="O586" s="6"/>
      <c r="P586" s="7"/>
      <c r="Q586" s="8"/>
    </row>
    <row r="587">
      <c r="O587" s="6"/>
      <c r="P587" s="7"/>
      <c r="Q587" s="8"/>
    </row>
    <row r="588">
      <c r="O588" s="6"/>
      <c r="P588" s="7"/>
      <c r="Q588" s="8"/>
    </row>
    <row r="589">
      <c r="O589" s="6"/>
      <c r="P589" s="7"/>
      <c r="Q589" s="8"/>
    </row>
    <row r="590">
      <c r="O590" s="6"/>
      <c r="P590" s="7"/>
      <c r="Q590" s="8"/>
    </row>
    <row r="591">
      <c r="O591" s="6"/>
      <c r="P591" s="7"/>
      <c r="Q591" s="8"/>
    </row>
    <row r="592">
      <c r="O592" s="6"/>
      <c r="P592" s="7"/>
      <c r="Q592" s="8"/>
    </row>
    <row r="593">
      <c r="O593" s="6"/>
      <c r="P593" s="7"/>
      <c r="Q593" s="8"/>
    </row>
    <row r="594">
      <c r="O594" s="6"/>
      <c r="P594" s="7"/>
      <c r="Q594" s="8"/>
    </row>
    <row r="595">
      <c r="O595" s="6"/>
      <c r="P595" s="7"/>
      <c r="Q595" s="8"/>
    </row>
    <row r="596">
      <c r="O596" s="6"/>
      <c r="P596" s="7"/>
      <c r="Q596" s="8"/>
    </row>
    <row r="597">
      <c r="O597" s="6"/>
      <c r="P597" s="7"/>
      <c r="Q597" s="8"/>
    </row>
    <row r="598">
      <c r="O598" s="6"/>
      <c r="P598" s="7"/>
      <c r="Q598" s="8"/>
    </row>
    <row r="599">
      <c r="O599" s="6"/>
      <c r="P599" s="7"/>
      <c r="Q599" s="8"/>
    </row>
    <row r="600">
      <c r="O600" s="6"/>
      <c r="P600" s="7"/>
      <c r="Q600" s="8"/>
    </row>
    <row r="601">
      <c r="O601" s="6"/>
      <c r="P601" s="7"/>
      <c r="Q601" s="8"/>
    </row>
    <row r="602">
      <c r="O602" s="6"/>
      <c r="P602" s="7"/>
      <c r="Q602" s="8"/>
    </row>
    <row r="603">
      <c r="O603" s="6"/>
      <c r="P603" s="7"/>
      <c r="Q603" s="8"/>
    </row>
    <row r="604">
      <c r="O604" s="6"/>
      <c r="P604" s="7"/>
      <c r="Q604" s="8"/>
    </row>
    <row r="605">
      <c r="O605" s="6"/>
      <c r="P605" s="7"/>
      <c r="Q605" s="8"/>
    </row>
    <row r="606">
      <c r="O606" s="6"/>
      <c r="P606" s="7"/>
      <c r="Q606" s="8"/>
    </row>
    <row r="607">
      <c r="O607" s="6"/>
      <c r="P607" s="7"/>
      <c r="Q607" s="8"/>
    </row>
    <row r="608">
      <c r="O608" s="6"/>
      <c r="P608" s="7"/>
      <c r="Q608" s="8"/>
    </row>
    <row r="609">
      <c r="O609" s="6"/>
      <c r="P609" s="7"/>
      <c r="Q609" s="8"/>
    </row>
    <row r="610">
      <c r="O610" s="6"/>
      <c r="P610" s="7"/>
      <c r="Q610" s="8"/>
    </row>
    <row r="611">
      <c r="O611" s="6"/>
      <c r="P611" s="7"/>
      <c r="Q611" s="8"/>
    </row>
    <row r="612">
      <c r="O612" s="6"/>
      <c r="P612" s="7"/>
      <c r="Q612" s="8"/>
    </row>
    <row r="613">
      <c r="O613" s="6"/>
      <c r="P613" s="7"/>
      <c r="Q613" s="8"/>
    </row>
    <row r="614">
      <c r="O614" s="6"/>
      <c r="P614" s="7"/>
      <c r="Q614" s="8"/>
    </row>
    <row r="615">
      <c r="O615" s="6"/>
      <c r="P615" s="7"/>
      <c r="Q615" s="8"/>
    </row>
    <row r="616">
      <c r="O616" s="6"/>
      <c r="P616" s="7"/>
      <c r="Q616" s="8"/>
    </row>
    <row r="617">
      <c r="O617" s="6"/>
      <c r="P617" s="7"/>
      <c r="Q617" s="8"/>
    </row>
    <row r="618">
      <c r="O618" s="6"/>
      <c r="P618" s="7"/>
      <c r="Q618" s="8"/>
    </row>
    <row r="619">
      <c r="O619" s="6"/>
      <c r="P619" s="7"/>
      <c r="Q619" s="8"/>
    </row>
    <row r="620">
      <c r="O620" s="6"/>
      <c r="P620" s="7"/>
      <c r="Q620" s="8"/>
    </row>
    <row r="621">
      <c r="O621" s="6"/>
      <c r="P621" s="7"/>
      <c r="Q621" s="8"/>
    </row>
    <row r="622">
      <c r="O622" s="6"/>
      <c r="P622" s="7"/>
      <c r="Q622" s="8"/>
    </row>
    <row r="623">
      <c r="O623" s="6"/>
      <c r="P623" s="7"/>
      <c r="Q623" s="8"/>
    </row>
    <row r="624">
      <c r="O624" s="6"/>
      <c r="P624" s="7"/>
      <c r="Q624" s="8"/>
    </row>
    <row r="625">
      <c r="O625" s="6"/>
      <c r="P625" s="7"/>
      <c r="Q625" s="8"/>
    </row>
    <row r="626">
      <c r="O626" s="6"/>
      <c r="P626" s="7"/>
      <c r="Q626" s="8"/>
    </row>
    <row r="627">
      <c r="O627" s="6"/>
      <c r="P627" s="7"/>
      <c r="Q627" s="8"/>
    </row>
    <row r="628">
      <c r="O628" s="6"/>
      <c r="P628" s="7"/>
      <c r="Q628" s="8"/>
    </row>
    <row r="629">
      <c r="O629" s="6"/>
      <c r="P629" s="7"/>
      <c r="Q629" s="8"/>
    </row>
    <row r="630">
      <c r="O630" s="6"/>
      <c r="P630" s="7"/>
      <c r="Q630" s="8"/>
    </row>
    <row r="631">
      <c r="O631" s="6"/>
      <c r="P631" s="7"/>
      <c r="Q631" s="8"/>
    </row>
    <row r="632">
      <c r="O632" s="6"/>
      <c r="P632" s="7"/>
      <c r="Q632" s="8"/>
    </row>
    <row r="633">
      <c r="O633" s="6"/>
      <c r="P633" s="7"/>
      <c r="Q633" s="8"/>
    </row>
    <row r="634">
      <c r="O634" s="6"/>
      <c r="P634" s="7"/>
      <c r="Q634" s="8"/>
    </row>
    <row r="635">
      <c r="O635" s="6"/>
      <c r="P635" s="7"/>
      <c r="Q635" s="8"/>
    </row>
    <row r="636">
      <c r="O636" s="6"/>
      <c r="P636" s="7"/>
      <c r="Q636" s="8"/>
    </row>
    <row r="637">
      <c r="O637" s="6"/>
      <c r="P637" s="7"/>
      <c r="Q637" s="8"/>
    </row>
    <row r="638">
      <c r="O638" s="6"/>
      <c r="P638" s="7"/>
      <c r="Q638" s="8"/>
    </row>
    <row r="639">
      <c r="O639" s="6"/>
      <c r="P639" s="7"/>
      <c r="Q639" s="8"/>
    </row>
    <row r="640">
      <c r="O640" s="6"/>
      <c r="P640" s="7"/>
      <c r="Q640" s="8"/>
    </row>
    <row r="641">
      <c r="O641" s="6"/>
      <c r="P641" s="7"/>
      <c r="Q641" s="8"/>
    </row>
    <row r="642">
      <c r="O642" s="6"/>
      <c r="P642" s="7"/>
      <c r="Q642" s="8"/>
    </row>
    <row r="643">
      <c r="O643" s="6"/>
      <c r="P643" s="7"/>
      <c r="Q643" s="8"/>
    </row>
    <row r="644">
      <c r="O644" s="6"/>
      <c r="P644" s="7"/>
      <c r="Q644" s="8"/>
    </row>
    <row r="645">
      <c r="O645" s="6"/>
      <c r="P645" s="7"/>
      <c r="Q645" s="8"/>
    </row>
    <row r="646">
      <c r="O646" s="6"/>
      <c r="P646" s="7"/>
      <c r="Q646" s="8"/>
    </row>
    <row r="647">
      <c r="O647" s="6"/>
      <c r="P647" s="7"/>
      <c r="Q647" s="8"/>
    </row>
    <row r="648">
      <c r="O648" s="6"/>
      <c r="P648" s="7"/>
      <c r="Q648" s="8"/>
    </row>
    <row r="649">
      <c r="O649" s="6"/>
      <c r="P649" s="7"/>
      <c r="Q649" s="8"/>
    </row>
    <row r="650">
      <c r="O650" s="6"/>
      <c r="P650" s="7"/>
      <c r="Q650" s="8"/>
    </row>
    <row r="651">
      <c r="O651" s="6"/>
      <c r="P651" s="7"/>
      <c r="Q651" s="8"/>
    </row>
    <row r="652">
      <c r="O652" s="6"/>
      <c r="P652" s="7"/>
      <c r="Q652" s="8"/>
    </row>
    <row r="653">
      <c r="O653" s="6"/>
      <c r="P653" s="7"/>
      <c r="Q653" s="8"/>
    </row>
    <row r="654">
      <c r="O654" s="6"/>
      <c r="P654" s="7"/>
      <c r="Q654" s="8"/>
    </row>
    <row r="655">
      <c r="O655" s="6"/>
      <c r="P655" s="7"/>
      <c r="Q655" s="8"/>
    </row>
    <row r="656">
      <c r="O656" s="6"/>
      <c r="P656" s="7"/>
      <c r="Q656" s="8"/>
    </row>
    <row r="657">
      <c r="O657" s="6"/>
      <c r="P657" s="7"/>
      <c r="Q657" s="8"/>
    </row>
    <row r="658">
      <c r="O658" s="6"/>
      <c r="P658" s="7"/>
      <c r="Q658" s="8"/>
    </row>
    <row r="659">
      <c r="O659" s="6"/>
      <c r="P659" s="7"/>
      <c r="Q659" s="8"/>
    </row>
    <row r="660">
      <c r="O660" s="6"/>
      <c r="P660" s="7"/>
      <c r="Q660" s="8"/>
    </row>
    <row r="661">
      <c r="O661" s="6"/>
      <c r="P661" s="7"/>
      <c r="Q661" s="8"/>
    </row>
    <row r="662">
      <c r="O662" s="6"/>
      <c r="P662" s="7"/>
      <c r="Q662" s="8"/>
    </row>
    <row r="663">
      <c r="O663" s="6"/>
      <c r="P663" s="7"/>
      <c r="Q663" s="8"/>
    </row>
    <row r="664">
      <c r="O664" s="6"/>
      <c r="P664" s="7"/>
      <c r="Q664" s="8"/>
    </row>
    <row r="665">
      <c r="O665" s="6"/>
      <c r="P665" s="7"/>
      <c r="Q665" s="8"/>
    </row>
    <row r="666">
      <c r="O666" s="6"/>
      <c r="P666" s="7"/>
      <c r="Q666" s="8"/>
    </row>
    <row r="667">
      <c r="O667" s="6"/>
      <c r="P667" s="7"/>
      <c r="Q667" s="8"/>
    </row>
    <row r="668">
      <c r="O668" s="6"/>
      <c r="P668" s="7"/>
      <c r="Q668" s="8"/>
    </row>
    <row r="669">
      <c r="O669" s="6"/>
      <c r="P669" s="7"/>
      <c r="Q669" s="8"/>
    </row>
    <row r="670">
      <c r="O670" s="6"/>
      <c r="P670" s="7"/>
      <c r="Q670" s="8"/>
    </row>
    <row r="671">
      <c r="O671" s="6"/>
      <c r="P671" s="7"/>
      <c r="Q671" s="8"/>
    </row>
    <row r="672">
      <c r="O672" s="6"/>
      <c r="P672" s="7"/>
      <c r="Q672" s="8"/>
    </row>
    <row r="673">
      <c r="O673" s="6"/>
      <c r="P673" s="7"/>
      <c r="Q673" s="8"/>
    </row>
    <row r="674">
      <c r="O674" s="6"/>
      <c r="P674" s="7"/>
      <c r="Q674" s="8"/>
    </row>
    <row r="675">
      <c r="O675" s="6"/>
      <c r="P675" s="7"/>
      <c r="Q675" s="8"/>
    </row>
    <row r="676">
      <c r="O676" s="6"/>
      <c r="P676" s="7"/>
      <c r="Q676" s="8"/>
    </row>
    <row r="677">
      <c r="O677" s="6"/>
      <c r="P677" s="7"/>
      <c r="Q677" s="8"/>
    </row>
    <row r="678">
      <c r="O678" s="6"/>
      <c r="P678" s="7"/>
      <c r="Q678" s="8"/>
    </row>
    <row r="679">
      <c r="O679" s="6"/>
      <c r="P679" s="7"/>
      <c r="Q679" s="8"/>
    </row>
    <row r="680">
      <c r="O680" s="6"/>
      <c r="P680" s="7"/>
      <c r="Q680" s="8"/>
    </row>
    <row r="681">
      <c r="O681" s="6"/>
      <c r="P681" s="7"/>
      <c r="Q681" s="8"/>
    </row>
    <row r="682">
      <c r="O682" s="6"/>
      <c r="P682" s="7"/>
      <c r="Q682" s="8"/>
    </row>
    <row r="683">
      <c r="O683" s="6"/>
      <c r="P683" s="7"/>
      <c r="Q683" s="8"/>
    </row>
    <row r="684">
      <c r="O684" s="6"/>
      <c r="P684" s="7"/>
      <c r="Q684" s="8"/>
    </row>
    <row r="685">
      <c r="O685" s="6"/>
      <c r="P685" s="7"/>
      <c r="Q685" s="8"/>
    </row>
    <row r="686">
      <c r="O686" s="6"/>
      <c r="P686" s="7"/>
      <c r="Q686" s="8"/>
    </row>
    <row r="687">
      <c r="O687" s="6"/>
      <c r="P687" s="7"/>
      <c r="Q687" s="8"/>
    </row>
    <row r="688">
      <c r="O688" s="6"/>
      <c r="P688" s="7"/>
      <c r="Q688" s="8"/>
    </row>
    <row r="689">
      <c r="O689" s="6"/>
      <c r="P689" s="7"/>
      <c r="Q689" s="8"/>
    </row>
    <row r="690">
      <c r="O690" s="6"/>
      <c r="P690" s="7"/>
      <c r="Q690" s="8"/>
    </row>
    <row r="691">
      <c r="O691" s="6"/>
      <c r="P691" s="7"/>
      <c r="Q691" s="8"/>
    </row>
    <row r="692">
      <c r="O692" s="6"/>
      <c r="P692" s="7"/>
      <c r="Q692" s="8"/>
    </row>
    <row r="693">
      <c r="O693" s="6"/>
      <c r="P693" s="7"/>
      <c r="Q693" s="8"/>
    </row>
    <row r="694">
      <c r="O694" s="6"/>
      <c r="P694" s="7"/>
      <c r="Q694" s="8"/>
    </row>
    <row r="695">
      <c r="O695" s="6"/>
      <c r="P695" s="7"/>
      <c r="Q695" s="8"/>
    </row>
    <row r="696">
      <c r="O696" s="6"/>
      <c r="P696" s="7"/>
      <c r="Q696" s="8"/>
    </row>
    <row r="697">
      <c r="O697" s="6"/>
      <c r="P697" s="7"/>
      <c r="Q697" s="8"/>
    </row>
    <row r="698">
      <c r="O698" s="6"/>
      <c r="P698" s="7"/>
      <c r="Q698" s="8"/>
    </row>
    <row r="699">
      <c r="O699" s="6"/>
      <c r="P699" s="7"/>
      <c r="Q699" s="8"/>
    </row>
    <row r="700">
      <c r="O700" s="6"/>
      <c r="P700" s="7"/>
      <c r="Q700" s="8"/>
    </row>
    <row r="701">
      <c r="O701" s="6"/>
      <c r="P701" s="7"/>
      <c r="Q701" s="8"/>
    </row>
    <row r="702">
      <c r="O702" s="6"/>
      <c r="P702" s="7"/>
      <c r="Q702" s="8"/>
    </row>
    <row r="703">
      <c r="O703" s="6"/>
      <c r="P703" s="7"/>
      <c r="Q703" s="8"/>
    </row>
    <row r="704">
      <c r="O704" s="6"/>
      <c r="P704" s="7"/>
      <c r="Q704" s="8"/>
    </row>
    <row r="705">
      <c r="O705" s="6"/>
      <c r="P705" s="7"/>
      <c r="Q705" s="8"/>
    </row>
    <row r="706">
      <c r="O706" s="6"/>
      <c r="P706" s="7"/>
      <c r="Q706" s="8"/>
    </row>
    <row r="707">
      <c r="O707" s="6"/>
      <c r="P707" s="7"/>
      <c r="Q707" s="8"/>
    </row>
    <row r="708">
      <c r="O708" s="6"/>
      <c r="P708" s="7"/>
      <c r="Q708" s="8"/>
    </row>
    <row r="709">
      <c r="O709" s="6"/>
      <c r="P709" s="7"/>
      <c r="Q709" s="8"/>
    </row>
    <row r="710">
      <c r="O710" s="6"/>
      <c r="P710" s="7"/>
      <c r="Q710" s="8"/>
    </row>
    <row r="711">
      <c r="O711" s="6"/>
      <c r="P711" s="7"/>
      <c r="Q711" s="8"/>
    </row>
    <row r="712">
      <c r="O712" s="6"/>
      <c r="P712" s="7"/>
      <c r="Q712" s="8"/>
    </row>
    <row r="713">
      <c r="O713" s="6"/>
      <c r="P713" s="7"/>
      <c r="Q713" s="8"/>
    </row>
    <row r="714">
      <c r="O714" s="6"/>
      <c r="P714" s="7"/>
      <c r="Q714" s="8"/>
    </row>
    <row r="715">
      <c r="O715" s="6"/>
      <c r="P715" s="7"/>
      <c r="Q715" s="8"/>
    </row>
    <row r="716">
      <c r="O716" s="6"/>
      <c r="P716" s="7"/>
      <c r="Q716" s="8"/>
    </row>
    <row r="717">
      <c r="O717" s="6"/>
      <c r="P717" s="7"/>
      <c r="Q717" s="8"/>
    </row>
    <row r="718">
      <c r="O718" s="6"/>
      <c r="P718" s="7"/>
      <c r="Q718" s="8"/>
    </row>
    <row r="719">
      <c r="O719" s="6"/>
      <c r="P719" s="7"/>
      <c r="Q719" s="8"/>
    </row>
    <row r="720">
      <c r="O720" s="6"/>
      <c r="P720" s="7"/>
      <c r="Q720" s="8"/>
    </row>
    <row r="721">
      <c r="O721" s="6"/>
      <c r="P721" s="7"/>
      <c r="Q721" s="8"/>
    </row>
    <row r="722">
      <c r="O722" s="6"/>
      <c r="P722" s="7"/>
      <c r="Q722" s="8"/>
    </row>
    <row r="723">
      <c r="O723" s="6"/>
      <c r="P723" s="7"/>
      <c r="Q723" s="8"/>
    </row>
    <row r="724">
      <c r="O724" s="6"/>
      <c r="P724" s="7"/>
      <c r="Q724" s="8"/>
    </row>
    <row r="725">
      <c r="O725" s="6"/>
      <c r="P725" s="7"/>
      <c r="Q725" s="8"/>
    </row>
    <row r="726">
      <c r="O726" s="6"/>
      <c r="P726" s="7"/>
      <c r="Q726" s="8"/>
    </row>
    <row r="727">
      <c r="O727" s="6"/>
      <c r="P727" s="7"/>
      <c r="Q727" s="8"/>
    </row>
    <row r="728">
      <c r="O728" s="6"/>
      <c r="P728" s="7"/>
      <c r="Q728" s="8"/>
    </row>
    <row r="729">
      <c r="O729" s="6"/>
      <c r="P729" s="7"/>
      <c r="Q729" s="8"/>
    </row>
    <row r="730">
      <c r="O730" s="6"/>
      <c r="P730" s="7"/>
      <c r="Q730" s="8"/>
    </row>
    <row r="731">
      <c r="O731" s="6"/>
      <c r="P731" s="7"/>
      <c r="Q731" s="8"/>
    </row>
    <row r="732">
      <c r="O732" s="6"/>
      <c r="P732" s="7"/>
      <c r="Q732" s="8"/>
    </row>
    <row r="733">
      <c r="O733" s="6"/>
      <c r="P733" s="7"/>
      <c r="Q733" s="8"/>
    </row>
    <row r="734">
      <c r="O734" s="6"/>
      <c r="P734" s="7"/>
      <c r="Q734" s="8"/>
    </row>
    <row r="735">
      <c r="O735" s="6"/>
      <c r="P735" s="7"/>
      <c r="Q735" s="8"/>
    </row>
    <row r="736">
      <c r="O736" s="6"/>
      <c r="P736" s="7"/>
      <c r="Q736" s="8"/>
    </row>
    <row r="737">
      <c r="O737" s="6"/>
      <c r="P737" s="7"/>
      <c r="Q737" s="8"/>
    </row>
    <row r="738">
      <c r="O738" s="6"/>
      <c r="P738" s="7"/>
      <c r="Q738" s="8"/>
    </row>
    <row r="739">
      <c r="O739" s="6"/>
      <c r="P739" s="7"/>
      <c r="Q739" s="8"/>
    </row>
    <row r="740">
      <c r="O740" s="6"/>
      <c r="P740" s="7"/>
      <c r="Q740" s="8"/>
    </row>
    <row r="741">
      <c r="O741" s="6"/>
      <c r="P741" s="7"/>
      <c r="Q741" s="8"/>
    </row>
    <row r="742">
      <c r="O742" s="6"/>
      <c r="P742" s="7"/>
      <c r="Q742" s="8"/>
    </row>
    <row r="743">
      <c r="O743" s="6"/>
      <c r="P743" s="7"/>
      <c r="Q743" s="8"/>
    </row>
    <row r="744">
      <c r="O744" s="6"/>
      <c r="P744" s="7"/>
      <c r="Q744" s="8"/>
    </row>
    <row r="745">
      <c r="O745" s="6"/>
      <c r="P745" s="7"/>
      <c r="Q745" s="8"/>
    </row>
    <row r="746">
      <c r="O746" s="6"/>
      <c r="P746" s="7"/>
      <c r="Q746" s="8"/>
    </row>
    <row r="747">
      <c r="O747" s="6"/>
      <c r="P747" s="7"/>
      <c r="Q747" s="8"/>
    </row>
    <row r="748">
      <c r="O748" s="6"/>
      <c r="P748" s="7"/>
      <c r="Q748" s="8"/>
    </row>
    <row r="749">
      <c r="O749" s="6"/>
      <c r="P749" s="7"/>
      <c r="Q749" s="8"/>
    </row>
    <row r="750">
      <c r="O750" s="6"/>
      <c r="P750" s="7"/>
      <c r="Q750" s="8"/>
    </row>
    <row r="751">
      <c r="O751" s="6"/>
      <c r="P751" s="7"/>
      <c r="Q751" s="8"/>
    </row>
    <row r="752">
      <c r="O752" s="6"/>
      <c r="P752" s="7"/>
      <c r="Q752" s="8"/>
    </row>
    <row r="753">
      <c r="O753" s="6"/>
      <c r="P753" s="7"/>
      <c r="Q753" s="8"/>
    </row>
    <row r="754">
      <c r="O754" s="6"/>
      <c r="P754" s="7"/>
      <c r="Q754" s="8"/>
    </row>
    <row r="755">
      <c r="O755" s="6"/>
      <c r="P755" s="7"/>
      <c r="Q755" s="8"/>
    </row>
    <row r="756">
      <c r="O756" s="6"/>
      <c r="P756" s="7"/>
      <c r="Q756" s="8"/>
    </row>
    <row r="757">
      <c r="O757" s="6"/>
      <c r="P757" s="7"/>
      <c r="Q757" s="8"/>
    </row>
    <row r="758">
      <c r="O758" s="6"/>
      <c r="P758" s="7"/>
      <c r="Q758" s="8"/>
    </row>
    <row r="759">
      <c r="O759" s="6"/>
      <c r="P759" s="7"/>
      <c r="Q759" s="8"/>
    </row>
    <row r="760">
      <c r="O760" s="6"/>
      <c r="P760" s="7"/>
      <c r="Q760" s="8"/>
    </row>
    <row r="761">
      <c r="O761" s="6"/>
      <c r="P761" s="7"/>
      <c r="Q761" s="8"/>
    </row>
    <row r="762">
      <c r="O762" s="6"/>
      <c r="P762" s="7"/>
      <c r="Q762" s="8"/>
    </row>
    <row r="763">
      <c r="O763" s="6"/>
      <c r="P763" s="7"/>
      <c r="Q763" s="8"/>
    </row>
    <row r="764">
      <c r="O764" s="6"/>
      <c r="P764" s="7"/>
      <c r="Q764" s="8"/>
    </row>
    <row r="765">
      <c r="O765" s="6"/>
      <c r="P765" s="7"/>
      <c r="Q765" s="8"/>
    </row>
    <row r="766">
      <c r="O766" s="6"/>
      <c r="P766" s="7"/>
      <c r="Q766" s="8"/>
    </row>
    <row r="767">
      <c r="O767" s="6"/>
      <c r="P767" s="7"/>
      <c r="Q767" s="8"/>
    </row>
    <row r="768">
      <c r="O768" s="6"/>
      <c r="P768" s="7"/>
      <c r="Q768" s="8"/>
    </row>
    <row r="769">
      <c r="O769" s="6"/>
      <c r="P769" s="7"/>
      <c r="Q769" s="8"/>
    </row>
    <row r="770">
      <c r="O770" s="6"/>
      <c r="P770" s="7"/>
      <c r="Q770" s="8"/>
    </row>
    <row r="771">
      <c r="O771" s="6"/>
      <c r="P771" s="7"/>
      <c r="Q771" s="8"/>
    </row>
    <row r="772">
      <c r="O772" s="6"/>
      <c r="P772" s="7"/>
      <c r="Q772" s="8"/>
    </row>
    <row r="773">
      <c r="O773" s="6"/>
      <c r="P773" s="7"/>
      <c r="Q773" s="8"/>
    </row>
    <row r="774">
      <c r="O774" s="6"/>
      <c r="P774" s="7"/>
      <c r="Q774" s="8"/>
    </row>
    <row r="775">
      <c r="O775" s="6"/>
      <c r="P775" s="7"/>
      <c r="Q775" s="8"/>
    </row>
    <row r="776">
      <c r="O776" s="6"/>
      <c r="P776" s="7"/>
      <c r="Q776" s="8"/>
    </row>
    <row r="777">
      <c r="O777" s="6"/>
      <c r="P777" s="7"/>
      <c r="Q777" s="8"/>
    </row>
    <row r="778">
      <c r="O778" s="6"/>
      <c r="P778" s="7"/>
      <c r="Q778" s="8"/>
    </row>
    <row r="779">
      <c r="O779" s="6"/>
      <c r="P779" s="7"/>
      <c r="Q779" s="8"/>
    </row>
    <row r="780">
      <c r="O780" s="6"/>
      <c r="P780" s="7"/>
      <c r="Q780" s="8"/>
    </row>
    <row r="781">
      <c r="O781" s="6"/>
      <c r="P781" s="7"/>
      <c r="Q781" s="8"/>
    </row>
    <row r="782">
      <c r="O782" s="6"/>
      <c r="P782" s="7"/>
      <c r="Q782" s="8"/>
    </row>
    <row r="783">
      <c r="O783" s="6"/>
      <c r="P783" s="7"/>
      <c r="Q783" s="8"/>
    </row>
    <row r="784">
      <c r="O784" s="6"/>
      <c r="P784" s="7"/>
      <c r="Q784" s="8"/>
    </row>
    <row r="785">
      <c r="O785" s="6"/>
      <c r="P785" s="7"/>
      <c r="Q785" s="8"/>
    </row>
    <row r="786">
      <c r="O786" s="6"/>
      <c r="P786" s="7"/>
      <c r="Q786" s="8"/>
    </row>
    <row r="787">
      <c r="O787" s="6"/>
      <c r="P787" s="7"/>
      <c r="Q787" s="8"/>
    </row>
    <row r="788">
      <c r="O788" s="6"/>
      <c r="P788" s="7"/>
      <c r="Q788" s="8"/>
    </row>
    <row r="789">
      <c r="O789" s="6"/>
      <c r="P789" s="7"/>
      <c r="Q789" s="8"/>
    </row>
    <row r="790">
      <c r="O790" s="6"/>
      <c r="P790" s="7"/>
      <c r="Q790" s="8"/>
    </row>
    <row r="791">
      <c r="O791" s="6"/>
      <c r="P791" s="7"/>
      <c r="Q791" s="8"/>
    </row>
    <row r="792">
      <c r="O792" s="6"/>
      <c r="P792" s="7"/>
      <c r="Q792" s="8"/>
    </row>
    <row r="793">
      <c r="O793" s="6"/>
      <c r="P793" s="7"/>
      <c r="Q793" s="8"/>
    </row>
    <row r="794">
      <c r="O794" s="6"/>
      <c r="P794" s="7"/>
      <c r="Q794" s="8"/>
    </row>
    <row r="795">
      <c r="O795" s="6"/>
      <c r="P795" s="7"/>
      <c r="Q795" s="8"/>
    </row>
    <row r="796">
      <c r="O796" s="6"/>
      <c r="P796" s="7"/>
      <c r="Q796" s="8"/>
    </row>
    <row r="797">
      <c r="O797" s="6"/>
      <c r="P797" s="7"/>
      <c r="Q797" s="8"/>
    </row>
    <row r="798">
      <c r="O798" s="6"/>
      <c r="P798" s="7"/>
      <c r="Q798" s="8"/>
    </row>
    <row r="799">
      <c r="O799" s="6"/>
      <c r="P799" s="7"/>
      <c r="Q799" s="8"/>
    </row>
    <row r="800">
      <c r="O800" s="6"/>
      <c r="P800" s="7"/>
      <c r="Q800" s="8"/>
    </row>
    <row r="801">
      <c r="O801" s="6"/>
      <c r="P801" s="7"/>
      <c r="Q801" s="8"/>
    </row>
    <row r="802">
      <c r="O802" s="6"/>
      <c r="P802" s="7"/>
      <c r="Q802" s="8"/>
    </row>
    <row r="803">
      <c r="O803" s="6"/>
      <c r="P803" s="7"/>
      <c r="Q803" s="8"/>
    </row>
    <row r="804">
      <c r="O804" s="6"/>
      <c r="P804" s="7"/>
      <c r="Q804" s="8"/>
    </row>
    <row r="805">
      <c r="O805" s="6"/>
      <c r="P805" s="7"/>
      <c r="Q805" s="8"/>
    </row>
    <row r="806">
      <c r="O806" s="6"/>
      <c r="P806" s="7"/>
      <c r="Q806" s="8"/>
    </row>
    <row r="807">
      <c r="O807" s="6"/>
      <c r="P807" s="7"/>
      <c r="Q807" s="8"/>
    </row>
    <row r="808">
      <c r="O808" s="6"/>
      <c r="P808" s="7"/>
      <c r="Q808" s="8"/>
    </row>
    <row r="809">
      <c r="O809" s="6"/>
      <c r="P809" s="7"/>
      <c r="Q809" s="8"/>
    </row>
    <row r="810">
      <c r="O810" s="6"/>
      <c r="P810" s="7"/>
      <c r="Q810" s="8"/>
    </row>
    <row r="811">
      <c r="O811" s="6"/>
      <c r="P811" s="7"/>
      <c r="Q811" s="8"/>
    </row>
    <row r="812">
      <c r="O812" s="6"/>
      <c r="P812" s="7"/>
      <c r="Q812" s="8"/>
    </row>
    <row r="813">
      <c r="O813" s="6"/>
      <c r="P813" s="7"/>
      <c r="Q813" s="8"/>
    </row>
    <row r="814">
      <c r="O814" s="6"/>
      <c r="P814" s="7"/>
      <c r="Q814" s="8"/>
    </row>
    <row r="815">
      <c r="O815" s="6"/>
      <c r="P815" s="7"/>
      <c r="Q815" s="8"/>
    </row>
    <row r="816">
      <c r="O816" s="6"/>
      <c r="P816" s="7"/>
      <c r="Q816" s="8"/>
    </row>
    <row r="817">
      <c r="O817" s="6"/>
      <c r="P817" s="7"/>
      <c r="Q817" s="8"/>
    </row>
    <row r="818">
      <c r="O818" s="6"/>
      <c r="P818" s="7"/>
      <c r="Q818" s="8"/>
    </row>
    <row r="819">
      <c r="O819" s="6"/>
      <c r="P819" s="7"/>
      <c r="Q819" s="8"/>
    </row>
    <row r="820">
      <c r="O820" s="6"/>
      <c r="P820" s="7"/>
      <c r="Q820" s="8"/>
    </row>
    <row r="821">
      <c r="O821" s="6"/>
      <c r="P821" s="7"/>
      <c r="Q821" s="8"/>
    </row>
    <row r="822">
      <c r="O822" s="6"/>
      <c r="P822" s="7"/>
      <c r="Q822" s="8"/>
    </row>
    <row r="823">
      <c r="O823" s="6"/>
      <c r="P823" s="7"/>
      <c r="Q823" s="8"/>
    </row>
    <row r="824">
      <c r="O824" s="6"/>
      <c r="P824" s="7"/>
      <c r="Q824" s="8"/>
    </row>
    <row r="825">
      <c r="O825" s="6"/>
      <c r="P825" s="7"/>
      <c r="Q825" s="8"/>
    </row>
    <row r="826">
      <c r="O826" s="6"/>
      <c r="P826" s="7"/>
      <c r="Q826" s="8"/>
    </row>
    <row r="827">
      <c r="O827" s="6"/>
      <c r="P827" s="7"/>
      <c r="Q827" s="8"/>
    </row>
    <row r="828">
      <c r="O828" s="6"/>
      <c r="P828" s="7"/>
      <c r="Q828" s="8"/>
    </row>
    <row r="829">
      <c r="O829" s="6"/>
      <c r="P829" s="7"/>
      <c r="Q829" s="8"/>
    </row>
    <row r="830">
      <c r="O830" s="6"/>
      <c r="P830" s="7"/>
      <c r="Q830" s="8"/>
    </row>
    <row r="831">
      <c r="O831" s="6"/>
      <c r="P831" s="7"/>
      <c r="Q831" s="8"/>
    </row>
    <row r="832">
      <c r="O832" s="6"/>
      <c r="P832" s="7"/>
      <c r="Q832" s="8"/>
    </row>
    <row r="833">
      <c r="O833" s="6"/>
      <c r="P833" s="7"/>
      <c r="Q833" s="8"/>
    </row>
    <row r="834">
      <c r="O834" s="6"/>
      <c r="P834" s="7"/>
      <c r="Q834" s="8"/>
    </row>
    <row r="835">
      <c r="O835" s="6"/>
      <c r="P835" s="7"/>
      <c r="Q835" s="8"/>
    </row>
    <row r="836">
      <c r="O836" s="6"/>
      <c r="P836" s="7"/>
      <c r="Q836" s="8"/>
    </row>
    <row r="837">
      <c r="O837" s="6"/>
      <c r="P837" s="7"/>
      <c r="Q837" s="8"/>
    </row>
    <row r="838">
      <c r="O838" s="6"/>
      <c r="P838" s="7"/>
      <c r="Q838" s="8"/>
    </row>
    <row r="839">
      <c r="O839" s="6"/>
      <c r="P839" s="7"/>
      <c r="Q839" s="8"/>
    </row>
    <row r="840">
      <c r="O840" s="6"/>
      <c r="P840" s="7"/>
      <c r="Q840" s="8"/>
    </row>
    <row r="841">
      <c r="O841" s="6"/>
      <c r="P841" s="7"/>
      <c r="Q841" s="8"/>
    </row>
    <row r="842">
      <c r="O842" s="6"/>
      <c r="P842" s="7"/>
      <c r="Q842" s="8"/>
    </row>
    <row r="843">
      <c r="O843" s="6"/>
      <c r="P843" s="7"/>
      <c r="Q843" s="8"/>
    </row>
    <row r="844">
      <c r="O844" s="6"/>
      <c r="P844" s="7"/>
      <c r="Q844" s="8"/>
    </row>
    <row r="845">
      <c r="O845" s="6"/>
      <c r="P845" s="7"/>
      <c r="Q845" s="8"/>
    </row>
    <row r="846">
      <c r="O846" s="6"/>
      <c r="P846" s="7"/>
      <c r="Q846" s="8"/>
    </row>
    <row r="847">
      <c r="O847" s="6"/>
      <c r="P847" s="7"/>
      <c r="Q847" s="8"/>
    </row>
    <row r="848">
      <c r="O848" s="6"/>
      <c r="P848" s="7"/>
      <c r="Q848" s="8"/>
    </row>
    <row r="849">
      <c r="O849" s="6"/>
      <c r="P849" s="7"/>
      <c r="Q849" s="8"/>
    </row>
    <row r="850">
      <c r="O850" s="6"/>
      <c r="P850" s="7"/>
      <c r="Q850" s="8"/>
    </row>
    <row r="851">
      <c r="O851" s="6"/>
      <c r="P851" s="7"/>
      <c r="Q851" s="8"/>
    </row>
    <row r="852">
      <c r="O852" s="6"/>
      <c r="P852" s="7"/>
      <c r="Q852" s="8"/>
    </row>
    <row r="853">
      <c r="O853" s="6"/>
      <c r="P853" s="7"/>
      <c r="Q853" s="8"/>
    </row>
    <row r="854">
      <c r="O854" s="6"/>
      <c r="P854" s="7"/>
      <c r="Q854" s="8"/>
    </row>
    <row r="855">
      <c r="O855" s="6"/>
      <c r="P855" s="7"/>
      <c r="Q855" s="8"/>
    </row>
    <row r="856">
      <c r="O856" s="6"/>
      <c r="P856" s="7"/>
      <c r="Q856" s="8"/>
    </row>
    <row r="857">
      <c r="O857" s="6"/>
      <c r="P857" s="7"/>
      <c r="Q857" s="8"/>
    </row>
    <row r="858">
      <c r="O858" s="6"/>
      <c r="P858" s="7"/>
      <c r="Q858" s="8"/>
    </row>
    <row r="859">
      <c r="O859" s="6"/>
      <c r="P859" s="7"/>
      <c r="Q859" s="8"/>
    </row>
    <row r="860">
      <c r="O860" s="6"/>
      <c r="P860" s="7"/>
      <c r="Q860" s="8"/>
    </row>
    <row r="861">
      <c r="O861" s="6"/>
      <c r="P861" s="7"/>
      <c r="Q861" s="8"/>
    </row>
    <row r="862">
      <c r="O862" s="6"/>
      <c r="P862" s="7"/>
      <c r="Q862" s="8"/>
    </row>
    <row r="863">
      <c r="O863" s="6"/>
      <c r="P863" s="7"/>
      <c r="Q863" s="8"/>
    </row>
    <row r="864">
      <c r="O864" s="6"/>
      <c r="P864" s="7"/>
      <c r="Q864" s="8"/>
    </row>
    <row r="865">
      <c r="O865" s="6"/>
      <c r="P865" s="7"/>
      <c r="Q865" s="8"/>
    </row>
    <row r="866">
      <c r="O866" s="6"/>
      <c r="P866" s="7"/>
      <c r="Q866" s="8"/>
    </row>
    <row r="867">
      <c r="O867" s="6"/>
      <c r="P867" s="7"/>
      <c r="Q867" s="8"/>
    </row>
    <row r="868">
      <c r="O868" s="6"/>
      <c r="P868" s="7"/>
      <c r="Q868" s="8"/>
    </row>
    <row r="869">
      <c r="O869" s="6"/>
      <c r="P869" s="7"/>
      <c r="Q869" s="8"/>
    </row>
    <row r="870">
      <c r="O870" s="6"/>
      <c r="P870" s="7"/>
      <c r="Q870" s="8"/>
    </row>
    <row r="871">
      <c r="O871" s="6"/>
      <c r="P871" s="7"/>
      <c r="Q871" s="8"/>
    </row>
    <row r="872">
      <c r="O872" s="6"/>
      <c r="P872" s="7"/>
      <c r="Q872" s="8"/>
    </row>
    <row r="873">
      <c r="O873" s="6"/>
      <c r="P873" s="7"/>
      <c r="Q873" s="8"/>
    </row>
    <row r="874">
      <c r="O874" s="6"/>
      <c r="P874" s="7"/>
      <c r="Q874" s="8"/>
    </row>
    <row r="875">
      <c r="O875" s="6"/>
      <c r="P875" s="7"/>
      <c r="Q875" s="8"/>
    </row>
    <row r="876">
      <c r="O876" s="6"/>
      <c r="P876" s="7"/>
      <c r="Q876" s="8"/>
    </row>
    <row r="877">
      <c r="O877" s="6"/>
      <c r="P877" s="7"/>
      <c r="Q877" s="8"/>
    </row>
    <row r="878">
      <c r="O878" s="6"/>
      <c r="P878" s="7"/>
      <c r="Q878" s="8"/>
    </row>
    <row r="879">
      <c r="O879" s="6"/>
      <c r="P879" s="7"/>
      <c r="Q879" s="8"/>
    </row>
    <row r="880">
      <c r="O880" s="6"/>
      <c r="P880" s="7"/>
      <c r="Q880" s="8"/>
    </row>
    <row r="881">
      <c r="O881" s="6"/>
      <c r="P881" s="7"/>
      <c r="Q881" s="8"/>
    </row>
    <row r="882">
      <c r="O882" s="6"/>
      <c r="P882" s="7"/>
      <c r="Q882" s="8"/>
    </row>
    <row r="883">
      <c r="O883" s="6"/>
      <c r="P883" s="7"/>
      <c r="Q883" s="8"/>
    </row>
    <row r="884">
      <c r="O884" s="6"/>
      <c r="P884" s="7"/>
      <c r="Q884" s="8"/>
    </row>
    <row r="885">
      <c r="O885" s="6"/>
      <c r="P885" s="7"/>
      <c r="Q885" s="8"/>
    </row>
    <row r="886">
      <c r="O886" s="6"/>
      <c r="P886" s="7"/>
      <c r="Q886" s="8"/>
    </row>
    <row r="887">
      <c r="O887" s="6"/>
      <c r="P887" s="7"/>
      <c r="Q887" s="8"/>
    </row>
    <row r="888">
      <c r="O888" s="6"/>
      <c r="P888" s="7"/>
      <c r="Q888" s="8"/>
    </row>
    <row r="889">
      <c r="O889" s="6"/>
      <c r="P889" s="7"/>
      <c r="Q889" s="8"/>
    </row>
    <row r="890">
      <c r="O890" s="6"/>
      <c r="P890" s="7"/>
      <c r="Q890" s="8"/>
    </row>
    <row r="891">
      <c r="O891" s="6"/>
      <c r="P891" s="7"/>
      <c r="Q891" s="8"/>
    </row>
    <row r="892">
      <c r="O892" s="6"/>
      <c r="P892" s="7"/>
      <c r="Q892" s="8"/>
    </row>
    <row r="893">
      <c r="O893" s="6"/>
      <c r="P893" s="7"/>
      <c r="Q893" s="8"/>
    </row>
    <row r="894">
      <c r="O894" s="6"/>
      <c r="P894" s="7"/>
      <c r="Q894" s="8"/>
    </row>
    <row r="895">
      <c r="O895" s="6"/>
      <c r="P895" s="7"/>
      <c r="Q895" s="8"/>
    </row>
    <row r="896">
      <c r="O896" s="6"/>
      <c r="P896" s="7"/>
      <c r="Q896" s="8"/>
    </row>
    <row r="897">
      <c r="O897" s="6"/>
      <c r="P897" s="7"/>
      <c r="Q897" s="8"/>
    </row>
    <row r="898">
      <c r="O898" s="6"/>
      <c r="P898" s="7"/>
      <c r="Q898" s="8"/>
    </row>
    <row r="899">
      <c r="O899" s="6"/>
      <c r="P899" s="7"/>
      <c r="Q899" s="8"/>
    </row>
    <row r="900">
      <c r="O900" s="6"/>
      <c r="P900" s="7"/>
      <c r="Q900" s="8"/>
    </row>
    <row r="901">
      <c r="O901" s="6"/>
      <c r="P901" s="7"/>
      <c r="Q901" s="8"/>
    </row>
    <row r="902">
      <c r="O902" s="6"/>
      <c r="P902" s="7"/>
      <c r="Q902" s="8"/>
    </row>
    <row r="903">
      <c r="O903" s="6"/>
      <c r="P903" s="7"/>
      <c r="Q903" s="8"/>
    </row>
    <row r="904">
      <c r="O904" s="6"/>
      <c r="P904" s="7"/>
      <c r="Q904" s="8"/>
    </row>
    <row r="905">
      <c r="O905" s="6"/>
      <c r="P905" s="7"/>
      <c r="Q905" s="8"/>
    </row>
    <row r="906">
      <c r="O906" s="6"/>
      <c r="P906" s="7"/>
      <c r="Q906" s="8"/>
    </row>
    <row r="907">
      <c r="O907" s="6"/>
      <c r="P907" s="7"/>
      <c r="Q907" s="8"/>
    </row>
    <row r="908">
      <c r="O908" s="6"/>
      <c r="P908" s="7"/>
      <c r="Q908" s="8"/>
    </row>
    <row r="909">
      <c r="O909" s="6"/>
      <c r="P909" s="7"/>
      <c r="Q909" s="8"/>
    </row>
    <row r="910">
      <c r="O910" s="6"/>
      <c r="P910" s="7"/>
      <c r="Q910" s="8"/>
    </row>
    <row r="911">
      <c r="O911" s="6"/>
      <c r="P911" s="7"/>
      <c r="Q911" s="8"/>
    </row>
    <row r="912">
      <c r="O912" s="6"/>
      <c r="P912" s="7"/>
      <c r="Q912" s="8"/>
    </row>
    <row r="913">
      <c r="O913" s="6"/>
      <c r="P913" s="7"/>
      <c r="Q913" s="8"/>
    </row>
    <row r="914">
      <c r="O914" s="6"/>
      <c r="P914" s="7"/>
      <c r="Q914" s="8"/>
    </row>
    <row r="915">
      <c r="O915" s="6"/>
      <c r="P915" s="7"/>
      <c r="Q915" s="8"/>
    </row>
    <row r="916">
      <c r="O916" s="6"/>
      <c r="P916" s="7"/>
      <c r="Q916" s="8"/>
    </row>
    <row r="917">
      <c r="O917" s="6"/>
      <c r="P917" s="7"/>
      <c r="Q917" s="8"/>
    </row>
    <row r="918">
      <c r="O918" s="6"/>
      <c r="P918" s="7"/>
      <c r="Q918" s="8"/>
    </row>
    <row r="919">
      <c r="O919" s="6"/>
      <c r="P919" s="7"/>
      <c r="Q919" s="8"/>
    </row>
    <row r="920">
      <c r="O920" s="6"/>
      <c r="P920" s="7"/>
      <c r="Q920" s="8"/>
    </row>
    <row r="921">
      <c r="O921" s="6"/>
      <c r="P921" s="7"/>
      <c r="Q921" s="8"/>
    </row>
    <row r="922">
      <c r="O922" s="6"/>
      <c r="P922" s="7"/>
      <c r="Q922" s="8"/>
    </row>
    <row r="923">
      <c r="O923" s="6"/>
      <c r="P923" s="7"/>
      <c r="Q923" s="8"/>
    </row>
    <row r="924">
      <c r="O924" s="6"/>
      <c r="P924" s="7"/>
      <c r="Q924" s="8"/>
    </row>
    <row r="925">
      <c r="O925" s="6"/>
      <c r="P925" s="7"/>
      <c r="Q925" s="8"/>
    </row>
    <row r="926">
      <c r="O926" s="6"/>
      <c r="P926" s="7"/>
      <c r="Q926" s="8"/>
    </row>
    <row r="927">
      <c r="O927" s="6"/>
      <c r="P927" s="7"/>
      <c r="Q927" s="8"/>
    </row>
    <row r="928">
      <c r="O928" s="6"/>
      <c r="P928" s="7"/>
      <c r="Q928" s="8"/>
    </row>
    <row r="929">
      <c r="O929" s="6"/>
      <c r="P929" s="7"/>
      <c r="Q929" s="8"/>
    </row>
    <row r="930">
      <c r="O930" s="6"/>
      <c r="P930" s="7"/>
      <c r="Q930" s="8"/>
    </row>
    <row r="931">
      <c r="O931" s="6"/>
      <c r="P931" s="7"/>
      <c r="Q931" s="8"/>
    </row>
    <row r="932">
      <c r="O932" s="6"/>
      <c r="P932" s="7"/>
      <c r="Q932" s="8"/>
    </row>
    <row r="933">
      <c r="O933" s="6"/>
      <c r="P933" s="7"/>
      <c r="Q933" s="8"/>
    </row>
    <row r="934">
      <c r="O934" s="6"/>
      <c r="P934" s="7"/>
      <c r="Q934" s="8"/>
    </row>
    <row r="935">
      <c r="O935" s="6"/>
      <c r="P935" s="7"/>
      <c r="Q935" s="8"/>
    </row>
    <row r="936">
      <c r="O936" s="6"/>
      <c r="P936" s="7"/>
      <c r="Q936" s="8"/>
    </row>
    <row r="937">
      <c r="O937" s="6"/>
      <c r="P937" s="7"/>
      <c r="Q937" s="8"/>
    </row>
    <row r="938">
      <c r="O938" s="6"/>
      <c r="P938" s="7"/>
      <c r="Q938" s="8"/>
    </row>
    <row r="939">
      <c r="O939" s="6"/>
      <c r="P939" s="7"/>
      <c r="Q939" s="8"/>
    </row>
    <row r="940">
      <c r="O940" s="6"/>
      <c r="P940" s="7"/>
      <c r="Q940" s="8"/>
    </row>
    <row r="941">
      <c r="O941" s="6"/>
      <c r="P941" s="7"/>
      <c r="Q941" s="8"/>
    </row>
    <row r="942">
      <c r="O942" s="6"/>
      <c r="P942" s="7"/>
      <c r="Q942" s="8"/>
    </row>
    <row r="943">
      <c r="O943" s="6"/>
      <c r="P943" s="7"/>
      <c r="Q943" s="8"/>
    </row>
    <row r="944">
      <c r="O944" s="6"/>
      <c r="P944" s="7"/>
      <c r="Q944" s="8"/>
    </row>
    <row r="945">
      <c r="O945" s="6"/>
      <c r="P945" s="7"/>
      <c r="Q945" s="8"/>
    </row>
  </sheetData>
  <mergeCells count="1225">
    <mergeCell ref="B205:H205"/>
    <mergeCell ref="B206:H206"/>
    <mergeCell ref="J206:N206"/>
    <mergeCell ref="A207:N207"/>
    <mergeCell ref="B208:F208"/>
    <mergeCell ref="G208:J208"/>
    <mergeCell ref="K208:N208"/>
    <mergeCell ref="A208:A209"/>
    <mergeCell ref="B209:C209"/>
    <mergeCell ref="D209:F209"/>
    <mergeCell ref="G209:H209"/>
    <mergeCell ref="I209:J209"/>
    <mergeCell ref="K209:L209"/>
    <mergeCell ref="M209:N209"/>
    <mergeCell ref="I211:J211"/>
    <mergeCell ref="K211:L211"/>
    <mergeCell ref="I212:J212"/>
    <mergeCell ref="K212:L212"/>
    <mergeCell ref="M212:N212"/>
    <mergeCell ref="I213:J213"/>
    <mergeCell ref="K213:L213"/>
    <mergeCell ref="M213:N213"/>
    <mergeCell ref="B210:C210"/>
    <mergeCell ref="D210:F210"/>
    <mergeCell ref="G210:H210"/>
    <mergeCell ref="I210:J210"/>
    <mergeCell ref="K210:L210"/>
    <mergeCell ref="M210:N210"/>
    <mergeCell ref="B211:C211"/>
    <mergeCell ref="M211:N211"/>
    <mergeCell ref="D211:F211"/>
    <mergeCell ref="G211:H211"/>
    <mergeCell ref="B212:C212"/>
    <mergeCell ref="D212:F212"/>
    <mergeCell ref="G212:H212"/>
    <mergeCell ref="D213:F213"/>
    <mergeCell ref="G213:H213"/>
    <mergeCell ref="B213:C213"/>
    <mergeCell ref="B214:C214"/>
    <mergeCell ref="D214:F214"/>
    <mergeCell ref="G214:H214"/>
    <mergeCell ref="I214:J214"/>
    <mergeCell ref="K214:L214"/>
    <mergeCell ref="M214:N214"/>
    <mergeCell ref="I216:J216"/>
    <mergeCell ref="K216:L216"/>
    <mergeCell ref="B215:C215"/>
    <mergeCell ref="D215:F215"/>
    <mergeCell ref="G215:H215"/>
    <mergeCell ref="I215:J215"/>
    <mergeCell ref="K215:L215"/>
    <mergeCell ref="M215:N215"/>
    <mergeCell ref="B216:C216"/>
    <mergeCell ref="M216:N216"/>
    <mergeCell ref="D216:F216"/>
    <mergeCell ref="G216:H216"/>
    <mergeCell ref="D217:F217"/>
    <mergeCell ref="G217:H217"/>
    <mergeCell ref="I217:J217"/>
    <mergeCell ref="K217:L217"/>
    <mergeCell ref="M217:N217"/>
    <mergeCell ref="B217:C217"/>
    <mergeCell ref="B218:C218"/>
    <mergeCell ref="D218:F218"/>
    <mergeCell ref="G218:H218"/>
    <mergeCell ref="I218:J218"/>
    <mergeCell ref="K218:L218"/>
    <mergeCell ref="M218:N218"/>
    <mergeCell ref="I220:J220"/>
    <mergeCell ref="K220:L220"/>
    <mergeCell ref="I221:J221"/>
    <mergeCell ref="K221:L221"/>
    <mergeCell ref="M221:N221"/>
    <mergeCell ref="I222:J222"/>
    <mergeCell ref="K222:L222"/>
    <mergeCell ref="M222:N222"/>
    <mergeCell ref="B219:C219"/>
    <mergeCell ref="D219:F219"/>
    <mergeCell ref="G219:H219"/>
    <mergeCell ref="I219:J219"/>
    <mergeCell ref="K219:L219"/>
    <mergeCell ref="M219:N219"/>
    <mergeCell ref="B220:C220"/>
    <mergeCell ref="M220:N220"/>
    <mergeCell ref="D220:F220"/>
    <mergeCell ref="G220:H220"/>
    <mergeCell ref="B221:C221"/>
    <mergeCell ref="D221:F221"/>
    <mergeCell ref="G221:H221"/>
    <mergeCell ref="D222:F222"/>
    <mergeCell ref="G222:H222"/>
    <mergeCell ref="B222:C222"/>
    <mergeCell ref="B223:C223"/>
    <mergeCell ref="D223:F223"/>
    <mergeCell ref="G223:H223"/>
    <mergeCell ref="I223:J223"/>
    <mergeCell ref="K223:L223"/>
    <mergeCell ref="M223:N223"/>
    <mergeCell ref="B232:C232"/>
    <mergeCell ref="D232:F232"/>
    <mergeCell ref="B233:C233"/>
    <mergeCell ref="D233:F233"/>
    <mergeCell ref="B234:C234"/>
    <mergeCell ref="D234:F234"/>
    <mergeCell ref="D235:F235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36:F236"/>
    <mergeCell ref="D237:F237"/>
    <mergeCell ref="B238:C238"/>
    <mergeCell ref="D238:F238"/>
    <mergeCell ref="B239:C239"/>
    <mergeCell ref="D239:F239"/>
    <mergeCell ref="D240:F240"/>
    <mergeCell ref="B247:C247"/>
    <mergeCell ref="B248:C248"/>
    <mergeCell ref="B240:C240"/>
    <mergeCell ref="B241:C241"/>
    <mergeCell ref="B242:C242"/>
    <mergeCell ref="B243:C243"/>
    <mergeCell ref="B244:C244"/>
    <mergeCell ref="B245:C245"/>
    <mergeCell ref="B246:C246"/>
    <mergeCell ref="I225:J225"/>
    <mergeCell ref="K225:L225"/>
    <mergeCell ref="J228:N228"/>
    <mergeCell ref="J229:N229"/>
    <mergeCell ref="B224:C224"/>
    <mergeCell ref="D224:F224"/>
    <mergeCell ref="G224:H224"/>
    <mergeCell ref="I224:J224"/>
    <mergeCell ref="K224:L224"/>
    <mergeCell ref="M224:N224"/>
    <mergeCell ref="B225:C225"/>
    <mergeCell ref="M225:N225"/>
    <mergeCell ref="G231:J231"/>
    <mergeCell ref="K231:N231"/>
    <mergeCell ref="D225:F225"/>
    <mergeCell ref="G225:H225"/>
    <mergeCell ref="B228:H228"/>
    <mergeCell ref="B229:H229"/>
    <mergeCell ref="A230:N230"/>
    <mergeCell ref="A231:A232"/>
    <mergeCell ref="B231:F231"/>
    <mergeCell ref="B235:C235"/>
    <mergeCell ref="B236:C236"/>
    <mergeCell ref="B237:C237"/>
    <mergeCell ref="M236:N236"/>
    <mergeCell ref="M237:N237"/>
    <mergeCell ref="M238:N238"/>
    <mergeCell ref="K232:L232"/>
    <mergeCell ref="M232:N232"/>
    <mergeCell ref="K233:L233"/>
    <mergeCell ref="M233:N233"/>
    <mergeCell ref="K234:L234"/>
    <mergeCell ref="M234:N234"/>
    <mergeCell ref="M235:N235"/>
    <mergeCell ref="G245:H245"/>
    <mergeCell ref="I245:J245"/>
    <mergeCell ref="K245:L245"/>
    <mergeCell ref="M245:N245"/>
    <mergeCell ref="I246:J246"/>
    <mergeCell ref="K246:L246"/>
    <mergeCell ref="M246:N246"/>
    <mergeCell ref="G246:H246"/>
    <mergeCell ref="G247:H247"/>
    <mergeCell ref="I247:J247"/>
    <mergeCell ref="K247:L247"/>
    <mergeCell ref="M247:N247"/>
    <mergeCell ref="G248:H248"/>
    <mergeCell ref="I248:J248"/>
    <mergeCell ref="K235:L235"/>
    <mergeCell ref="K236:L236"/>
    <mergeCell ref="G237:H237"/>
    <mergeCell ref="I237:J237"/>
    <mergeCell ref="K237:L237"/>
    <mergeCell ref="I238:J238"/>
    <mergeCell ref="K238:L238"/>
    <mergeCell ref="K240:L240"/>
    <mergeCell ref="M240:N240"/>
    <mergeCell ref="G238:H238"/>
    <mergeCell ref="G239:H239"/>
    <mergeCell ref="I239:J239"/>
    <mergeCell ref="K239:L239"/>
    <mergeCell ref="M239:N239"/>
    <mergeCell ref="G240:H240"/>
    <mergeCell ref="I240:J240"/>
    <mergeCell ref="G241:H241"/>
    <mergeCell ref="I241:J241"/>
    <mergeCell ref="K241:L241"/>
    <mergeCell ref="M241:N241"/>
    <mergeCell ref="I242:J242"/>
    <mergeCell ref="K242:L242"/>
    <mergeCell ref="M242:N242"/>
    <mergeCell ref="K244:L244"/>
    <mergeCell ref="M244:N244"/>
    <mergeCell ref="G242:H242"/>
    <mergeCell ref="G243:H243"/>
    <mergeCell ref="I243:J243"/>
    <mergeCell ref="K243:L243"/>
    <mergeCell ref="M243:N243"/>
    <mergeCell ref="G244:H244"/>
    <mergeCell ref="I244:J244"/>
    <mergeCell ref="K248:L248"/>
    <mergeCell ref="M248:N248"/>
    <mergeCell ref="D151:F151"/>
    <mergeCell ref="G151:H151"/>
    <mergeCell ref="B152:C152"/>
    <mergeCell ref="D152:F152"/>
    <mergeCell ref="G152:H152"/>
    <mergeCell ref="D153:F153"/>
    <mergeCell ref="G153:H153"/>
    <mergeCell ref="B153:C153"/>
    <mergeCell ref="B154:C154"/>
    <mergeCell ref="D154:F154"/>
    <mergeCell ref="G154:H154"/>
    <mergeCell ref="I154:J154"/>
    <mergeCell ref="K154:L154"/>
    <mergeCell ref="M154:N154"/>
    <mergeCell ref="D176:F176"/>
    <mergeCell ref="G176:H176"/>
    <mergeCell ref="B175:C175"/>
    <mergeCell ref="D175:F175"/>
    <mergeCell ref="G175:H175"/>
    <mergeCell ref="I175:J175"/>
    <mergeCell ref="K175:L175"/>
    <mergeCell ref="M175:N175"/>
    <mergeCell ref="B176:C176"/>
    <mergeCell ref="M176:N176"/>
    <mergeCell ref="I176:J176"/>
    <mergeCell ref="K176:L176"/>
    <mergeCell ref="D177:F177"/>
    <mergeCell ref="G177:H177"/>
    <mergeCell ref="I177:J177"/>
    <mergeCell ref="K177:L177"/>
    <mergeCell ref="M177:N177"/>
    <mergeCell ref="B177:C177"/>
    <mergeCell ref="B178:C178"/>
    <mergeCell ref="D178:F178"/>
    <mergeCell ref="G178:H178"/>
    <mergeCell ref="I178:J178"/>
    <mergeCell ref="K178:L178"/>
    <mergeCell ref="M178:N178"/>
    <mergeCell ref="D180:F180"/>
    <mergeCell ref="G180:H180"/>
    <mergeCell ref="B179:C179"/>
    <mergeCell ref="D179:F179"/>
    <mergeCell ref="G179:H179"/>
    <mergeCell ref="I179:J179"/>
    <mergeCell ref="K179:L179"/>
    <mergeCell ref="M179:N179"/>
    <mergeCell ref="B180:C180"/>
    <mergeCell ref="M180:N180"/>
    <mergeCell ref="I146:J146"/>
    <mergeCell ref="K146:L146"/>
    <mergeCell ref="I147:J147"/>
    <mergeCell ref="K147:L147"/>
    <mergeCell ref="M147:N147"/>
    <mergeCell ref="I148:J148"/>
    <mergeCell ref="K148:L148"/>
    <mergeCell ref="M148:N148"/>
    <mergeCell ref="B145:C145"/>
    <mergeCell ref="D145:F145"/>
    <mergeCell ref="G145:H145"/>
    <mergeCell ref="I145:J145"/>
    <mergeCell ref="K145:L145"/>
    <mergeCell ref="M145:N145"/>
    <mergeCell ref="B146:C146"/>
    <mergeCell ref="M146:N146"/>
    <mergeCell ref="D146:F146"/>
    <mergeCell ref="G146:H146"/>
    <mergeCell ref="B147:C147"/>
    <mergeCell ref="D147:F147"/>
    <mergeCell ref="G147:H147"/>
    <mergeCell ref="D148:F148"/>
    <mergeCell ref="G148:H148"/>
    <mergeCell ref="B148:C148"/>
    <mergeCell ref="B149:C149"/>
    <mergeCell ref="D149:F149"/>
    <mergeCell ref="G149:H149"/>
    <mergeCell ref="I149:J149"/>
    <mergeCell ref="K149:L149"/>
    <mergeCell ref="M149:N149"/>
    <mergeCell ref="I151:J151"/>
    <mergeCell ref="K151:L151"/>
    <mergeCell ref="I152:J152"/>
    <mergeCell ref="K152:L152"/>
    <mergeCell ref="M152:N152"/>
    <mergeCell ref="I153:J153"/>
    <mergeCell ref="K153:L153"/>
    <mergeCell ref="M153:N153"/>
    <mergeCell ref="B150:C150"/>
    <mergeCell ref="D150:F150"/>
    <mergeCell ref="G150:H150"/>
    <mergeCell ref="I150:J150"/>
    <mergeCell ref="K150:L150"/>
    <mergeCell ref="M150:N150"/>
    <mergeCell ref="B151:C151"/>
    <mergeCell ref="M151:N151"/>
    <mergeCell ref="I180:J180"/>
    <mergeCell ref="K180:L180"/>
    <mergeCell ref="B183:H183"/>
    <mergeCell ref="J183:N183"/>
    <mergeCell ref="B184:H184"/>
    <mergeCell ref="J184:N184"/>
    <mergeCell ref="A185:N185"/>
    <mergeCell ref="I187:J187"/>
    <mergeCell ref="K187:L187"/>
    <mergeCell ref="A186:A187"/>
    <mergeCell ref="B186:F186"/>
    <mergeCell ref="G186:J186"/>
    <mergeCell ref="K186:N186"/>
    <mergeCell ref="D187:F187"/>
    <mergeCell ref="G187:H187"/>
    <mergeCell ref="M187:N187"/>
    <mergeCell ref="B187:C187"/>
    <mergeCell ref="B188:C188"/>
    <mergeCell ref="D188:F188"/>
    <mergeCell ref="G188:H188"/>
    <mergeCell ref="I188:J188"/>
    <mergeCell ref="K188:L188"/>
    <mergeCell ref="M188:N188"/>
    <mergeCell ref="I190:J190"/>
    <mergeCell ref="K190:L190"/>
    <mergeCell ref="I191:J191"/>
    <mergeCell ref="K191:L191"/>
    <mergeCell ref="M191:N191"/>
    <mergeCell ref="I192:J192"/>
    <mergeCell ref="K192:L192"/>
    <mergeCell ref="M192:N192"/>
    <mergeCell ref="B189:C189"/>
    <mergeCell ref="D189:F189"/>
    <mergeCell ref="G189:H189"/>
    <mergeCell ref="I189:J189"/>
    <mergeCell ref="K189:L189"/>
    <mergeCell ref="M189:N189"/>
    <mergeCell ref="B190:C190"/>
    <mergeCell ref="M190:N190"/>
    <mergeCell ref="D190:F190"/>
    <mergeCell ref="G190:H190"/>
    <mergeCell ref="B191:C191"/>
    <mergeCell ref="D191:F191"/>
    <mergeCell ref="G191:H191"/>
    <mergeCell ref="D192:F192"/>
    <mergeCell ref="G192:H192"/>
    <mergeCell ref="B192:C192"/>
    <mergeCell ref="B193:C193"/>
    <mergeCell ref="D193:F193"/>
    <mergeCell ref="G193:H193"/>
    <mergeCell ref="I193:J193"/>
    <mergeCell ref="K193:L193"/>
    <mergeCell ref="M193:N193"/>
    <mergeCell ref="G235:H235"/>
    <mergeCell ref="G236:H236"/>
    <mergeCell ref="G232:H232"/>
    <mergeCell ref="I232:J232"/>
    <mergeCell ref="G233:H233"/>
    <mergeCell ref="I233:J233"/>
    <mergeCell ref="G234:H234"/>
    <mergeCell ref="I234:J234"/>
    <mergeCell ref="I235:J235"/>
    <mergeCell ref="I236:J236"/>
    <mergeCell ref="I20:J20"/>
    <mergeCell ref="K20:L20"/>
    <mergeCell ref="M20:N20"/>
    <mergeCell ref="I21:J21"/>
    <mergeCell ref="K21:L21"/>
    <mergeCell ref="M21:N21"/>
    <mergeCell ref="I22:J22"/>
    <mergeCell ref="K22:L22"/>
    <mergeCell ref="M22:N22"/>
    <mergeCell ref="B24:H24"/>
    <mergeCell ref="J24:N24"/>
    <mergeCell ref="B25:H25"/>
    <mergeCell ref="J25:N25"/>
    <mergeCell ref="A26:N26"/>
    <mergeCell ref="G4:J4"/>
    <mergeCell ref="K4:N4"/>
    <mergeCell ref="B1:H1"/>
    <mergeCell ref="J1:N1"/>
    <mergeCell ref="B2:H2"/>
    <mergeCell ref="J2:N2"/>
    <mergeCell ref="A3:N3"/>
    <mergeCell ref="A4:A5"/>
    <mergeCell ref="B4:F4"/>
    <mergeCell ref="B8:C8"/>
    <mergeCell ref="B9:C9"/>
    <mergeCell ref="B10:C10"/>
    <mergeCell ref="G15:H15"/>
    <mergeCell ref="G16:H16"/>
    <mergeCell ref="G17:H17"/>
    <mergeCell ref="G18:H18"/>
    <mergeCell ref="G19:H19"/>
    <mergeCell ref="G20:H20"/>
    <mergeCell ref="G21:H21"/>
    <mergeCell ref="G22:H22"/>
    <mergeCell ref="G8:H8"/>
    <mergeCell ref="G9:H9"/>
    <mergeCell ref="G10:H10"/>
    <mergeCell ref="G11:H11"/>
    <mergeCell ref="G12:H12"/>
    <mergeCell ref="G13:H13"/>
    <mergeCell ref="G14:H14"/>
    <mergeCell ref="I9:J9"/>
    <mergeCell ref="I10:J10"/>
    <mergeCell ref="I11:J11"/>
    <mergeCell ref="I12:J12"/>
    <mergeCell ref="I13:J13"/>
    <mergeCell ref="I14:J14"/>
    <mergeCell ref="I15:J15"/>
    <mergeCell ref="B28:C28"/>
    <mergeCell ref="B29:C29"/>
    <mergeCell ref="D29:F29"/>
    <mergeCell ref="G29:H29"/>
    <mergeCell ref="I29:J29"/>
    <mergeCell ref="K29:L29"/>
    <mergeCell ref="M29:N29"/>
    <mergeCell ref="B5:C5"/>
    <mergeCell ref="D5:F5"/>
    <mergeCell ref="B6:C6"/>
    <mergeCell ref="D6:F6"/>
    <mergeCell ref="B7:C7"/>
    <mergeCell ref="D7:F7"/>
    <mergeCell ref="D8:F8"/>
    <mergeCell ref="D9:F9"/>
    <mergeCell ref="D10:F10"/>
    <mergeCell ref="B11:C11"/>
    <mergeCell ref="D11:F11"/>
    <mergeCell ref="B12:C12"/>
    <mergeCell ref="D12:F12"/>
    <mergeCell ref="D13:F13"/>
    <mergeCell ref="B20:C20"/>
    <mergeCell ref="B21:C21"/>
    <mergeCell ref="B22:C22"/>
    <mergeCell ref="B13:C13"/>
    <mergeCell ref="B14:C14"/>
    <mergeCell ref="B15:C15"/>
    <mergeCell ref="B16:C16"/>
    <mergeCell ref="B17:C17"/>
    <mergeCell ref="B18:C18"/>
    <mergeCell ref="B19:C19"/>
    <mergeCell ref="D21:F21"/>
    <mergeCell ref="D22:F22"/>
    <mergeCell ref="D14:F14"/>
    <mergeCell ref="D15:F15"/>
    <mergeCell ref="D16:F16"/>
    <mergeCell ref="D17:F17"/>
    <mergeCell ref="D18:F18"/>
    <mergeCell ref="D19:F19"/>
    <mergeCell ref="D20:F20"/>
    <mergeCell ref="G5:H5"/>
    <mergeCell ref="I5:J5"/>
    <mergeCell ref="G6:H6"/>
    <mergeCell ref="I6:J6"/>
    <mergeCell ref="G7:H7"/>
    <mergeCell ref="I7:J7"/>
    <mergeCell ref="I8:J8"/>
    <mergeCell ref="K5:L5"/>
    <mergeCell ref="M5:N5"/>
    <mergeCell ref="K6:L6"/>
    <mergeCell ref="M6:N6"/>
    <mergeCell ref="K7:L7"/>
    <mergeCell ref="M7:N7"/>
    <mergeCell ref="M8:N8"/>
    <mergeCell ref="K15:L15"/>
    <mergeCell ref="K16:L16"/>
    <mergeCell ref="K8:L8"/>
    <mergeCell ref="K9:L9"/>
    <mergeCell ref="K10:L10"/>
    <mergeCell ref="K11:L11"/>
    <mergeCell ref="K12:L12"/>
    <mergeCell ref="K13:L13"/>
    <mergeCell ref="K14:L14"/>
    <mergeCell ref="M16:N16"/>
    <mergeCell ref="M17:N17"/>
    <mergeCell ref="M9:N9"/>
    <mergeCell ref="M10:N10"/>
    <mergeCell ref="M11:N11"/>
    <mergeCell ref="M12:N12"/>
    <mergeCell ref="M13:N13"/>
    <mergeCell ref="M14:N14"/>
    <mergeCell ref="M15:N15"/>
    <mergeCell ref="K19:L19"/>
    <mergeCell ref="M19:N19"/>
    <mergeCell ref="I16:J16"/>
    <mergeCell ref="I17:J17"/>
    <mergeCell ref="K17:L17"/>
    <mergeCell ref="I18:J18"/>
    <mergeCell ref="K18:L18"/>
    <mergeCell ref="M18:N18"/>
    <mergeCell ref="I19:J19"/>
    <mergeCell ref="I28:J28"/>
    <mergeCell ref="K28:L28"/>
    <mergeCell ref="A27:A28"/>
    <mergeCell ref="B27:F27"/>
    <mergeCell ref="G27:J27"/>
    <mergeCell ref="K27:N27"/>
    <mergeCell ref="D28:F28"/>
    <mergeCell ref="G28:H28"/>
    <mergeCell ref="M28:N28"/>
    <mergeCell ref="D41:F41"/>
    <mergeCell ref="G41:H41"/>
    <mergeCell ref="B40:C40"/>
    <mergeCell ref="D40:F40"/>
    <mergeCell ref="G40:H40"/>
    <mergeCell ref="I40:J40"/>
    <mergeCell ref="K40:L40"/>
    <mergeCell ref="M40:N40"/>
    <mergeCell ref="B41:C41"/>
    <mergeCell ref="D36:F36"/>
    <mergeCell ref="G36:H36"/>
    <mergeCell ref="B37:C37"/>
    <mergeCell ref="D37:F37"/>
    <mergeCell ref="G37:H37"/>
    <mergeCell ref="D38:F38"/>
    <mergeCell ref="G38:H38"/>
    <mergeCell ref="B38:C38"/>
    <mergeCell ref="B39:C39"/>
    <mergeCell ref="D39:F39"/>
    <mergeCell ref="G39:H39"/>
    <mergeCell ref="I39:J39"/>
    <mergeCell ref="K39:L39"/>
    <mergeCell ref="M39:N39"/>
    <mergeCell ref="K42:L42"/>
    <mergeCell ref="M42:N42"/>
    <mergeCell ref="I41:J41"/>
    <mergeCell ref="K41:L41"/>
    <mergeCell ref="M41:N41"/>
    <mergeCell ref="B42:C42"/>
    <mergeCell ref="D42:F42"/>
    <mergeCell ref="G42:H42"/>
    <mergeCell ref="I42:J42"/>
    <mergeCell ref="D44:F44"/>
    <mergeCell ref="G44:H44"/>
    <mergeCell ref="B43:C43"/>
    <mergeCell ref="D43:F43"/>
    <mergeCell ref="G43:H43"/>
    <mergeCell ref="I43:J43"/>
    <mergeCell ref="K43:L43"/>
    <mergeCell ref="M43:N43"/>
    <mergeCell ref="B44:C44"/>
    <mergeCell ref="M44:N44"/>
    <mergeCell ref="I31:J31"/>
    <mergeCell ref="K31:L31"/>
    <mergeCell ref="I32:J32"/>
    <mergeCell ref="K32:L32"/>
    <mergeCell ref="M32:N32"/>
    <mergeCell ref="I33:J33"/>
    <mergeCell ref="K33:L33"/>
    <mergeCell ref="M33:N33"/>
    <mergeCell ref="B30:C30"/>
    <mergeCell ref="D30:F30"/>
    <mergeCell ref="G30:H30"/>
    <mergeCell ref="I30:J30"/>
    <mergeCell ref="K30:L30"/>
    <mergeCell ref="M30:N30"/>
    <mergeCell ref="B31:C31"/>
    <mergeCell ref="M31:N31"/>
    <mergeCell ref="D31:F31"/>
    <mergeCell ref="G31:H31"/>
    <mergeCell ref="B32:C32"/>
    <mergeCell ref="D32:F32"/>
    <mergeCell ref="G32:H32"/>
    <mergeCell ref="D33:F33"/>
    <mergeCell ref="G33:H33"/>
    <mergeCell ref="B33:C33"/>
    <mergeCell ref="B34:C34"/>
    <mergeCell ref="D34:F34"/>
    <mergeCell ref="G34:H34"/>
    <mergeCell ref="I34:J34"/>
    <mergeCell ref="K34:L34"/>
    <mergeCell ref="M34:N34"/>
    <mergeCell ref="I36:J36"/>
    <mergeCell ref="K36:L36"/>
    <mergeCell ref="I37:J37"/>
    <mergeCell ref="K37:L37"/>
    <mergeCell ref="M37:N37"/>
    <mergeCell ref="I38:J38"/>
    <mergeCell ref="K38:L38"/>
    <mergeCell ref="M38:N38"/>
    <mergeCell ref="B35:C35"/>
    <mergeCell ref="D35:F35"/>
    <mergeCell ref="G35:H35"/>
    <mergeCell ref="I35:J35"/>
    <mergeCell ref="K35:L35"/>
    <mergeCell ref="M35:N35"/>
    <mergeCell ref="B36:C36"/>
    <mergeCell ref="M36:N36"/>
    <mergeCell ref="I44:J44"/>
    <mergeCell ref="K44:L44"/>
    <mergeCell ref="B47:H47"/>
    <mergeCell ref="J47:N47"/>
    <mergeCell ref="B48:H48"/>
    <mergeCell ref="J48:N48"/>
    <mergeCell ref="A49:N49"/>
    <mergeCell ref="I51:J51"/>
    <mergeCell ref="K51:L51"/>
    <mergeCell ref="A50:A51"/>
    <mergeCell ref="B50:F50"/>
    <mergeCell ref="G50:J50"/>
    <mergeCell ref="K50:N50"/>
    <mergeCell ref="D51:F51"/>
    <mergeCell ref="G51:H51"/>
    <mergeCell ref="M51:N51"/>
    <mergeCell ref="B51:C51"/>
    <mergeCell ref="B52:C52"/>
    <mergeCell ref="D52:F52"/>
    <mergeCell ref="G52:H52"/>
    <mergeCell ref="I52:J52"/>
    <mergeCell ref="K52:L52"/>
    <mergeCell ref="M52:N52"/>
    <mergeCell ref="I54:J54"/>
    <mergeCell ref="K54:L54"/>
    <mergeCell ref="I55:J55"/>
    <mergeCell ref="K55:L55"/>
    <mergeCell ref="M55:N55"/>
    <mergeCell ref="I56:J56"/>
    <mergeCell ref="K56:L56"/>
    <mergeCell ref="M56:N56"/>
    <mergeCell ref="B53:C53"/>
    <mergeCell ref="D53:F53"/>
    <mergeCell ref="G53:H53"/>
    <mergeCell ref="I53:J53"/>
    <mergeCell ref="K53:L53"/>
    <mergeCell ref="M53:N53"/>
    <mergeCell ref="B54:C54"/>
    <mergeCell ref="M54:N54"/>
    <mergeCell ref="D54:F54"/>
    <mergeCell ref="G54:H54"/>
    <mergeCell ref="B55:C55"/>
    <mergeCell ref="D55:F55"/>
    <mergeCell ref="G55:H55"/>
    <mergeCell ref="D56:F56"/>
    <mergeCell ref="G56:H56"/>
    <mergeCell ref="B56:C56"/>
    <mergeCell ref="B57:C57"/>
    <mergeCell ref="D57:F57"/>
    <mergeCell ref="G57:H57"/>
    <mergeCell ref="I57:J57"/>
    <mergeCell ref="K57:L57"/>
    <mergeCell ref="M57:N57"/>
    <mergeCell ref="M66:N66"/>
    <mergeCell ref="J70:N70"/>
    <mergeCell ref="I64:J64"/>
    <mergeCell ref="K64:L64"/>
    <mergeCell ref="I65:J65"/>
    <mergeCell ref="K65:L65"/>
    <mergeCell ref="M65:N65"/>
    <mergeCell ref="I66:J66"/>
    <mergeCell ref="K66:L66"/>
    <mergeCell ref="I59:J59"/>
    <mergeCell ref="K59:L59"/>
    <mergeCell ref="I60:J60"/>
    <mergeCell ref="K60:L60"/>
    <mergeCell ref="M60:N60"/>
    <mergeCell ref="I61:J61"/>
    <mergeCell ref="K61:L61"/>
    <mergeCell ref="M61:N61"/>
    <mergeCell ref="B58:C58"/>
    <mergeCell ref="D58:F58"/>
    <mergeCell ref="G58:H58"/>
    <mergeCell ref="I58:J58"/>
    <mergeCell ref="K58:L58"/>
    <mergeCell ref="M58:N58"/>
    <mergeCell ref="B59:C59"/>
    <mergeCell ref="M59:N59"/>
    <mergeCell ref="D59:F59"/>
    <mergeCell ref="G59:H59"/>
    <mergeCell ref="B60:C60"/>
    <mergeCell ref="D60:F60"/>
    <mergeCell ref="G60:H60"/>
    <mergeCell ref="D61:F61"/>
    <mergeCell ref="G61:H61"/>
    <mergeCell ref="B61:C61"/>
    <mergeCell ref="B62:C62"/>
    <mergeCell ref="D62:F62"/>
    <mergeCell ref="G62:H62"/>
    <mergeCell ref="I62:J62"/>
    <mergeCell ref="K62:L62"/>
    <mergeCell ref="M62:N62"/>
    <mergeCell ref="B63:C63"/>
    <mergeCell ref="D63:F63"/>
    <mergeCell ref="G63:H63"/>
    <mergeCell ref="I63:J63"/>
    <mergeCell ref="K63:L63"/>
    <mergeCell ref="M63:N63"/>
    <mergeCell ref="B64:C64"/>
    <mergeCell ref="M64:N64"/>
    <mergeCell ref="B66:C66"/>
    <mergeCell ref="B67:C67"/>
    <mergeCell ref="D67:F67"/>
    <mergeCell ref="G67:H67"/>
    <mergeCell ref="I67:J67"/>
    <mergeCell ref="K67:L67"/>
    <mergeCell ref="M67:N67"/>
    <mergeCell ref="D64:F64"/>
    <mergeCell ref="G64:H64"/>
    <mergeCell ref="B65:C65"/>
    <mergeCell ref="D65:F65"/>
    <mergeCell ref="G65:H65"/>
    <mergeCell ref="D66:F66"/>
    <mergeCell ref="G66:H66"/>
    <mergeCell ref="B70:H70"/>
    <mergeCell ref="B71:H71"/>
    <mergeCell ref="J71:N71"/>
    <mergeCell ref="A72:N72"/>
    <mergeCell ref="B73:F73"/>
    <mergeCell ref="G73:J73"/>
    <mergeCell ref="K73:N73"/>
    <mergeCell ref="A73:A74"/>
    <mergeCell ref="B74:C74"/>
    <mergeCell ref="D74:F74"/>
    <mergeCell ref="G74:H74"/>
    <mergeCell ref="I74:J74"/>
    <mergeCell ref="K74:L74"/>
    <mergeCell ref="M74:N74"/>
    <mergeCell ref="I76:J76"/>
    <mergeCell ref="K76:L76"/>
    <mergeCell ref="I77:J77"/>
    <mergeCell ref="K77:L77"/>
    <mergeCell ref="M77:N77"/>
    <mergeCell ref="I78:J78"/>
    <mergeCell ref="K78:L78"/>
    <mergeCell ref="M78:N78"/>
    <mergeCell ref="B75:C75"/>
    <mergeCell ref="D75:F75"/>
    <mergeCell ref="G75:H75"/>
    <mergeCell ref="I75:J75"/>
    <mergeCell ref="K75:L75"/>
    <mergeCell ref="M75:N75"/>
    <mergeCell ref="B76:C76"/>
    <mergeCell ref="M76:N76"/>
    <mergeCell ref="D76:F76"/>
    <mergeCell ref="G76:H76"/>
    <mergeCell ref="B77:C77"/>
    <mergeCell ref="D77:F77"/>
    <mergeCell ref="G77:H77"/>
    <mergeCell ref="D78:F78"/>
    <mergeCell ref="G78:H78"/>
    <mergeCell ref="B78:C78"/>
    <mergeCell ref="B79:C79"/>
    <mergeCell ref="D79:F79"/>
    <mergeCell ref="G79:H79"/>
    <mergeCell ref="I79:J79"/>
    <mergeCell ref="K79:L79"/>
    <mergeCell ref="M79:N79"/>
    <mergeCell ref="I81:J81"/>
    <mergeCell ref="K81:L81"/>
    <mergeCell ref="B80:C80"/>
    <mergeCell ref="D80:F80"/>
    <mergeCell ref="G80:H80"/>
    <mergeCell ref="I80:J80"/>
    <mergeCell ref="K80:L80"/>
    <mergeCell ref="M80:N80"/>
    <mergeCell ref="B81:C81"/>
    <mergeCell ref="M81:N81"/>
    <mergeCell ref="D81:F81"/>
    <mergeCell ref="G81:H81"/>
    <mergeCell ref="D82:F82"/>
    <mergeCell ref="G82:H82"/>
    <mergeCell ref="I82:J82"/>
    <mergeCell ref="K82:L82"/>
    <mergeCell ref="M82:N82"/>
    <mergeCell ref="B82:C82"/>
    <mergeCell ref="B83:C83"/>
    <mergeCell ref="D83:F83"/>
    <mergeCell ref="G83:H83"/>
    <mergeCell ref="I83:J83"/>
    <mergeCell ref="K83:L83"/>
    <mergeCell ref="M83:N83"/>
    <mergeCell ref="I85:J85"/>
    <mergeCell ref="K85:L85"/>
    <mergeCell ref="I86:J86"/>
    <mergeCell ref="K86:L86"/>
    <mergeCell ref="M86:N86"/>
    <mergeCell ref="I87:J87"/>
    <mergeCell ref="K87:L87"/>
    <mergeCell ref="M87:N87"/>
    <mergeCell ref="B84:C84"/>
    <mergeCell ref="D84:F84"/>
    <mergeCell ref="G84:H84"/>
    <mergeCell ref="I84:J84"/>
    <mergeCell ref="K84:L84"/>
    <mergeCell ref="M84:N84"/>
    <mergeCell ref="B85:C85"/>
    <mergeCell ref="M85:N85"/>
    <mergeCell ref="D85:F85"/>
    <mergeCell ref="G85:H85"/>
    <mergeCell ref="B86:C86"/>
    <mergeCell ref="D86:F86"/>
    <mergeCell ref="G86:H86"/>
    <mergeCell ref="D87:F87"/>
    <mergeCell ref="G87:H87"/>
    <mergeCell ref="B87:C87"/>
    <mergeCell ref="B88:C88"/>
    <mergeCell ref="D88:F88"/>
    <mergeCell ref="G88:H88"/>
    <mergeCell ref="I88:J88"/>
    <mergeCell ref="K88:L88"/>
    <mergeCell ref="M88:N88"/>
    <mergeCell ref="G96:H96"/>
    <mergeCell ref="I96:J96"/>
    <mergeCell ref="G97:H97"/>
    <mergeCell ref="I97:J97"/>
    <mergeCell ref="G98:H98"/>
    <mergeCell ref="I98:J98"/>
    <mergeCell ref="I99:J99"/>
    <mergeCell ref="G107:H107"/>
    <mergeCell ref="G108:H108"/>
    <mergeCell ref="G109:H109"/>
    <mergeCell ref="G110:H110"/>
    <mergeCell ref="G111:H111"/>
    <mergeCell ref="G112:H112"/>
    <mergeCell ref="G99:H99"/>
    <mergeCell ref="G100:H100"/>
    <mergeCell ref="G102:H102"/>
    <mergeCell ref="G103:H103"/>
    <mergeCell ref="G104:H104"/>
    <mergeCell ref="G105:H105"/>
    <mergeCell ref="G106:H106"/>
    <mergeCell ref="I108:J108"/>
    <mergeCell ref="I109:J109"/>
    <mergeCell ref="I110:J110"/>
    <mergeCell ref="I111:J111"/>
    <mergeCell ref="I112:J112"/>
    <mergeCell ref="I100:J100"/>
    <mergeCell ref="I102:J102"/>
    <mergeCell ref="I103:J103"/>
    <mergeCell ref="I104:J104"/>
    <mergeCell ref="I105:J105"/>
    <mergeCell ref="I106:J106"/>
    <mergeCell ref="I107:J107"/>
    <mergeCell ref="K99:L99"/>
    <mergeCell ref="K100:L100"/>
    <mergeCell ref="G101:H101"/>
    <mergeCell ref="I101:J101"/>
    <mergeCell ref="K101:L101"/>
    <mergeCell ref="K102:L102"/>
    <mergeCell ref="K103:L103"/>
    <mergeCell ref="K111:L111"/>
    <mergeCell ref="K112:L112"/>
    <mergeCell ref="K104:L104"/>
    <mergeCell ref="K105:L105"/>
    <mergeCell ref="K106:L106"/>
    <mergeCell ref="K107:L107"/>
    <mergeCell ref="K108:L108"/>
    <mergeCell ref="K109:L109"/>
    <mergeCell ref="K110:L1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J115:N115"/>
    <mergeCell ref="D118:F118"/>
    <mergeCell ref="G118:H118"/>
    <mergeCell ref="B115:H115"/>
    <mergeCell ref="A116:N116"/>
    <mergeCell ref="A117:A118"/>
    <mergeCell ref="B117:F117"/>
    <mergeCell ref="G117:J117"/>
    <mergeCell ref="K117:N117"/>
    <mergeCell ref="B118:C118"/>
    <mergeCell ref="M118:N118"/>
    <mergeCell ref="I118:J118"/>
    <mergeCell ref="K118:L118"/>
    <mergeCell ref="D119:F119"/>
    <mergeCell ref="G119:H119"/>
    <mergeCell ref="I119:J119"/>
    <mergeCell ref="K119:L119"/>
    <mergeCell ref="M119:N119"/>
    <mergeCell ref="B119:C119"/>
    <mergeCell ref="B120:C120"/>
    <mergeCell ref="D120:F120"/>
    <mergeCell ref="G120:H120"/>
    <mergeCell ref="I120:J120"/>
    <mergeCell ref="K120:L120"/>
    <mergeCell ref="M120:N120"/>
    <mergeCell ref="B96:C96"/>
    <mergeCell ref="D96:F96"/>
    <mergeCell ref="B97:C97"/>
    <mergeCell ref="D97:F97"/>
    <mergeCell ref="B98:C98"/>
    <mergeCell ref="D98:F98"/>
    <mergeCell ref="D99:F99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00:F100"/>
    <mergeCell ref="D101:F101"/>
    <mergeCell ref="B102:C102"/>
    <mergeCell ref="D102:F102"/>
    <mergeCell ref="B103:C103"/>
    <mergeCell ref="D103:F103"/>
    <mergeCell ref="D104:F104"/>
    <mergeCell ref="B111:C111"/>
    <mergeCell ref="B112:C112"/>
    <mergeCell ref="B104:C104"/>
    <mergeCell ref="B105:C105"/>
    <mergeCell ref="B106:C106"/>
    <mergeCell ref="B107:C107"/>
    <mergeCell ref="B108:C108"/>
    <mergeCell ref="B109:C109"/>
    <mergeCell ref="B110:C110"/>
    <mergeCell ref="I90:J90"/>
    <mergeCell ref="K90:L90"/>
    <mergeCell ref="J92:N92"/>
    <mergeCell ref="J93:N93"/>
    <mergeCell ref="B89:C89"/>
    <mergeCell ref="D89:F89"/>
    <mergeCell ref="G89:H89"/>
    <mergeCell ref="I89:J89"/>
    <mergeCell ref="K89:L89"/>
    <mergeCell ref="M89:N89"/>
    <mergeCell ref="B90:C90"/>
    <mergeCell ref="M90:N90"/>
    <mergeCell ref="G95:J95"/>
    <mergeCell ref="K95:N95"/>
    <mergeCell ref="D90:F90"/>
    <mergeCell ref="G90:H90"/>
    <mergeCell ref="B92:H92"/>
    <mergeCell ref="B93:H93"/>
    <mergeCell ref="A94:N94"/>
    <mergeCell ref="A95:A96"/>
    <mergeCell ref="B95:F95"/>
    <mergeCell ref="B99:C99"/>
    <mergeCell ref="B100:C100"/>
    <mergeCell ref="B101:C101"/>
    <mergeCell ref="K96:L96"/>
    <mergeCell ref="M96:N96"/>
    <mergeCell ref="K97:L97"/>
    <mergeCell ref="M97:N97"/>
    <mergeCell ref="K98:L98"/>
    <mergeCell ref="M98:N98"/>
    <mergeCell ref="M99:N99"/>
    <mergeCell ref="I122:J122"/>
    <mergeCell ref="K122:L122"/>
    <mergeCell ref="B121:C121"/>
    <mergeCell ref="D121:F121"/>
    <mergeCell ref="G121:H121"/>
    <mergeCell ref="I121:J121"/>
    <mergeCell ref="K121:L121"/>
    <mergeCell ref="M121:N121"/>
    <mergeCell ref="B122:C122"/>
    <mergeCell ref="M122:N122"/>
    <mergeCell ref="D122:F122"/>
    <mergeCell ref="G122:H122"/>
    <mergeCell ref="D123:F123"/>
    <mergeCell ref="G123:H123"/>
    <mergeCell ref="I123:J123"/>
    <mergeCell ref="K123:L123"/>
    <mergeCell ref="M123:N123"/>
    <mergeCell ref="B123:C123"/>
    <mergeCell ref="B124:C124"/>
    <mergeCell ref="D124:F124"/>
    <mergeCell ref="G124:H124"/>
    <mergeCell ref="I124:J124"/>
    <mergeCell ref="K124:L124"/>
    <mergeCell ref="M124:N124"/>
    <mergeCell ref="I126:J126"/>
    <mergeCell ref="K126:L126"/>
    <mergeCell ref="I127:J127"/>
    <mergeCell ref="K127:L127"/>
    <mergeCell ref="M127:N127"/>
    <mergeCell ref="I128:J128"/>
    <mergeCell ref="K128:L128"/>
    <mergeCell ref="M128:N128"/>
    <mergeCell ref="B125:C125"/>
    <mergeCell ref="D125:F125"/>
    <mergeCell ref="G125:H125"/>
    <mergeCell ref="I125:J125"/>
    <mergeCell ref="K125:L125"/>
    <mergeCell ref="M125:N125"/>
    <mergeCell ref="B126:C126"/>
    <mergeCell ref="M126:N126"/>
    <mergeCell ref="D126:F126"/>
    <mergeCell ref="G126:H126"/>
    <mergeCell ref="B127:C127"/>
    <mergeCell ref="D127:F127"/>
    <mergeCell ref="G127:H127"/>
    <mergeCell ref="D128:F128"/>
    <mergeCell ref="G128:H128"/>
    <mergeCell ref="B128:C128"/>
    <mergeCell ref="B129:C129"/>
    <mergeCell ref="D129:F129"/>
    <mergeCell ref="G129:H129"/>
    <mergeCell ref="I129:J129"/>
    <mergeCell ref="K129:L129"/>
    <mergeCell ref="M129:N129"/>
    <mergeCell ref="B141:C141"/>
    <mergeCell ref="D141:F141"/>
    <mergeCell ref="B137:H137"/>
    <mergeCell ref="B138:H138"/>
    <mergeCell ref="A139:N139"/>
    <mergeCell ref="A140:A141"/>
    <mergeCell ref="B140:F140"/>
    <mergeCell ref="G140:J140"/>
    <mergeCell ref="K140:N140"/>
    <mergeCell ref="D143:F143"/>
    <mergeCell ref="G143:H143"/>
    <mergeCell ref="K143:L143"/>
    <mergeCell ref="M143:N143"/>
    <mergeCell ref="G141:H141"/>
    <mergeCell ref="I141:J141"/>
    <mergeCell ref="B142:C142"/>
    <mergeCell ref="D142:F142"/>
    <mergeCell ref="G142:H142"/>
    <mergeCell ref="I142:J142"/>
    <mergeCell ref="I143:J143"/>
    <mergeCell ref="B130:C130"/>
    <mergeCell ref="D130:F130"/>
    <mergeCell ref="G130:H130"/>
    <mergeCell ref="I130:J130"/>
    <mergeCell ref="K130:L130"/>
    <mergeCell ref="M130:N130"/>
    <mergeCell ref="B131:C131"/>
    <mergeCell ref="M131:N131"/>
    <mergeCell ref="B133:C133"/>
    <mergeCell ref="B134:C134"/>
    <mergeCell ref="D134:F134"/>
    <mergeCell ref="G134:H134"/>
    <mergeCell ref="I134:J134"/>
    <mergeCell ref="K134:L134"/>
    <mergeCell ref="M134:N134"/>
    <mergeCell ref="M133:N133"/>
    <mergeCell ref="J137:N137"/>
    <mergeCell ref="J138:N138"/>
    <mergeCell ref="I131:J131"/>
    <mergeCell ref="K131:L131"/>
    <mergeCell ref="I132:J132"/>
    <mergeCell ref="K132:L132"/>
    <mergeCell ref="M132:N132"/>
    <mergeCell ref="I133:J133"/>
    <mergeCell ref="K133:L133"/>
    <mergeCell ref="D131:F131"/>
    <mergeCell ref="G131:H131"/>
    <mergeCell ref="B132:C132"/>
    <mergeCell ref="D132:F132"/>
    <mergeCell ref="G132:H132"/>
    <mergeCell ref="D133:F133"/>
    <mergeCell ref="G133:H133"/>
    <mergeCell ref="K141:L141"/>
    <mergeCell ref="M141:N141"/>
    <mergeCell ref="K142:L142"/>
    <mergeCell ref="M142:N142"/>
    <mergeCell ref="B143:C143"/>
    <mergeCell ref="B144:C144"/>
    <mergeCell ref="D144:F144"/>
    <mergeCell ref="G144:H144"/>
    <mergeCell ref="I144:J144"/>
    <mergeCell ref="K144:L144"/>
    <mergeCell ref="M144:N144"/>
    <mergeCell ref="D156:F156"/>
    <mergeCell ref="G156:H156"/>
    <mergeCell ref="B155:C155"/>
    <mergeCell ref="D155:F155"/>
    <mergeCell ref="G155:H155"/>
    <mergeCell ref="I155:J155"/>
    <mergeCell ref="K155:L155"/>
    <mergeCell ref="M155:N155"/>
    <mergeCell ref="B156:C156"/>
    <mergeCell ref="K157:L157"/>
    <mergeCell ref="M157:N157"/>
    <mergeCell ref="I156:J156"/>
    <mergeCell ref="K156:L156"/>
    <mergeCell ref="M156:N156"/>
    <mergeCell ref="B157:C157"/>
    <mergeCell ref="D157:F157"/>
    <mergeCell ref="G157:H157"/>
    <mergeCell ref="I157:J157"/>
    <mergeCell ref="G163:J163"/>
    <mergeCell ref="K163:N163"/>
    <mergeCell ref="G164:H164"/>
    <mergeCell ref="I164:J164"/>
    <mergeCell ref="K164:L164"/>
    <mergeCell ref="M164:N164"/>
    <mergeCell ref="B160:H160"/>
    <mergeCell ref="J160:N160"/>
    <mergeCell ref="B161:H161"/>
    <mergeCell ref="J161:N161"/>
    <mergeCell ref="A162:N162"/>
    <mergeCell ref="A163:A164"/>
    <mergeCell ref="B163:F163"/>
    <mergeCell ref="B164:C164"/>
    <mergeCell ref="D164:F164"/>
    <mergeCell ref="D165:F165"/>
    <mergeCell ref="G165:H165"/>
    <mergeCell ref="I165:J165"/>
    <mergeCell ref="K165:L165"/>
    <mergeCell ref="M165:N165"/>
    <mergeCell ref="B165:C165"/>
    <mergeCell ref="B166:C166"/>
    <mergeCell ref="D166:F166"/>
    <mergeCell ref="G166:H166"/>
    <mergeCell ref="I166:J166"/>
    <mergeCell ref="K166:L166"/>
    <mergeCell ref="M166:N166"/>
    <mergeCell ref="D168:F168"/>
    <mergeCell ref="G168:H168"/>
    <mergeCell ref="B167:C167"/>
    <mergeCell ref="D167:F167"/>
    <mergeCell ref="G167:H167"/>
    <mergeCell ref="I167:J167"/>
    <mergeCell ref="K167:L167"/>
    <mergeCell ref="M167:N167"/>
    <mergeCell ref="B168:C168"/>
    <mergeCell ref="M168:N168"/>
    <mergeCell ref="I168:J168"/>
    <mergeCell ref="K168:L168"/>
    <mergeCell ref="D169:F169"/>
    <mergeCell ref="G169:H169"/>
    <mergeCell ref="I169:J169"/>
    <mergeCell ref="K169:L169"/>
    <mergeCell ref="M169:N169"/>
    <mergeCell ref="B169:C169"/>
    <mergeCell ref="B170:C170"/>
    <mergeCell ref="D170:F170"/>
    <mergeCell ref="G170:H170"/>
    <mergeCell ref="I170:J170"/>
    <mergeCell ref="K170:L170"/>
    <mergeCell ref="M170:N170"/>
    <mergeCell ref="D172:F172"/>
    <mergeCell ref="G172:H172"/>
    <mergeCell ref="B171:C171"/>
    <mergeCell ref="D171:F171"/>
    <mergeCell ref="G171:H171"/>
    <mergeCell ref="I171:J171"/>
    <mergeCell ref="K171:L171"/>
    <mergeCell ref="M171:N171"/>
    <mergeCell ref="B172:C172"/>
    <mergeCell ref="M172:N172"/>
    <mergeCell ref="I172:J172"/>
    <mergeCell ref="K172:L172"/>
    <mergeCell ref="D173:F173"/>
    <mergeCell ref="G173:H173"/>
    <mergeCell ref="I173:J173"/>
    <mergeCell ref="K173:L173"/>
    <mergeCell ref="M173:N173"/>
    <mergeCell ref="B173:C173"/>
    <mergeCell ref="B174:C174"/>
    <mergeCell ref="D174:F174"/>
    <mergeCell ref="G174:H174"/>
    <mergeCell ref="I174:J174"/>
    <mergeCell ref="K174:L174"/>
    <mergeCell ref="M174:N174"/>
    <mergeCell ref="M202:N202"/>
    <mergeCell ref="J205:N205"/>
    <mergeCell ref="I200:J200"/>
    <mergeCell ref="K200:L200"/>
    <mergeCell ref="I201:J201"/>
    <mergeCell ref="K201:L201"/>
    <mergeCell ref="M201:N201"/>
    <mergeCell ref="I202:J202"/>
    <mergeCell ref="K202:L202"/>
    <mergeCell ref="I195:J195"/>
    <mergeCell ref="K195:L195"/>
    <mergeCell ref="I196:J196"/>
    <mergeCell ref="K196:L196"/>
    <mergeCell ref="M196:N196"/>
    <mergeCell ref="I197:J197"/>
    <mergeCell ref="K197:L197"/>
    <mergeCell ref="M197:N197"/>
    <mergeCell ref="B194:C194"/>
    <mergeCell ref="D194:F194"/>
    <mergeCell ref="G194:H194"/>
    <mergeCell ref="I194:J194"/>
    <mergeCell ref="K194:L194"/>
    <mergeCell ref="M194:N194"/>
    <mergeCell ref="B195:C195"/>
    <mergeCell ref="M195:N195"/>
    <mergeCell ref="D195:F195"/>
    <mergeCell ref="G195:H195"/>
    <mergeCell ref="B196:C196"/>
    <mergeCell ref="D196:F196"/>
    <mergeCell ref="G196:H196"/>
    <mergeCell ref="D197:F197"/>
    <mergeCell ref="G197:H197"/>
    <mergeCell ref="B197:C197"/>
    <mergeCell ref="B198:C198"/>
    <mergeCell ref="D198:F198"/>
    <mergeCell ref="G198:H198"/>
    <mergeCell ref="I198:J198"/>
    <mergeCell ref="K198:L198"/>
    <mergeCell ref="M198:N198"/>
    <mergeCell ref="B199:C199"/>
    <mergeCell ref="D199:F199"/>
    <mergeCell ref="G199:H199"/>
    <mergeCell ref="I199:J199"/>
    <mergeCell ref="K199:L199"/>
    <mergeCell ref="M199:N199"/>
    <mergeCell ref="B200:C200"/>
    <mergeCell ref="M200:N200"/>
    <mergeCell ref="B202:C202"/>
    <mergeCell ref="B203:C203"/>
    <mergeCell ref="D203:F203"/>
    <mergeCell ref="G203:H203"/>
    <mergeCell ref="I203:J203"/>
    <mergeCell ref="K203:L203"/>
    <mergeCell ref="M203:N203"/>
    <mergeCell ref="D200:F200"/>
    <mergeCell ref="G200:H200"/>
    <mergeCell ref="B201:C201"/>
    <mergeCell ref="D201:F201"/>
    <mergeCell ref="G201:H201"/>
    <mergeCell ref="D202:F202"/>
    <mergeCell ref="G202:H20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4.5"/>
  </cols>
  <sheetData>
    <row r="1">
      <c r="A1" s="56" t="s">
        <v>118</v>
      </c>
      <c r="C1" s="57"/>
      <c r="D1" s="58" t="s">
        <v>119</v>
      </c>
      <c r="E1" s="59"/>
      <c r="F1" s="60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 t="s">
        <v>120</v>
      </c>
      <c r="B2" s="62" t="s">
        <v>121</v>
      </c>
      <c r="C2" s="58" t="s">
        <v>122</v>
      </c>
      <c r="D2" s="58" t="s">
        <v>123</v>
      </c>
      <c r="E2" s="63" t="s">
        <v>8</v>
      </c>
      <c r="F2" s="64" t="s">
        <v>124</v>
      </c>
      <c r="G2" s="62" t="s">
        <v>125</v>
      </c>
      <c r="H2" s="62" t="s">
        <v>100</v>
      </c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2">
        <v>15.0</v>
      </c>
      <c r="B3" s="62" t="s">
        <v>126</v>
      </c>
      <c r="C3" s="58">
        <v>0.39861111111111114</v>
      </c>
      <c r="D3" s="58">
        <v>0.7854166666666667</v>
      </c>
      <c r="E3" s="59">
        <f t="shared" ref="E3:E7" si="1">D3-C3</f>
        <v>0.3868055556</v>
      </c>
      <c r="F3" s="64" t="s">
        <v>127</v>
      </c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2">
        <v>17.0</v>
      </c>
      <c r="B4" s="62" t="s">
        <v>128</v>
      </c>
      <c r="C4" s="58">
        <v>0.44305555555555554</v>
      </c>
      <c r="D4" s="58">
        <v>0.8256944444444444</v>
      </c>
      <c r="E4" s="59">
        <f t="shared" si="1"/>
        <v>0.3826388889</v>
      </c>
      <c r="F4" s="64" t="s">
        <v>127</v>
      </c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2">
        <v>18.0</v>
      </c>
      <c r="B5" s="62" t="s">
        <v>129</v>
      </c>
      <c r="C5" s="58">
        <v>0.4576388888888889</v>
      </c>
      <c r="D5" s="58">
        <v>0.8611111111111112</v>
      </c>
      <c r="E5" s="59">
        <f t="shared" si="1"/>
        <v>0.4034722222</v>
      </c>
      <c r="F5" s="64" t="s">
        <v>127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2">
        <v>19.0</v>
      </c>
      <c r="B6" s="62" t="s">
        <v>130</v>
      </c>
      <c r="C6" s="58">
        <v>0.41458333333333336</v>
      </c>
      <c r="D6" s="58">
        <v>0.8006944444444445</v>
      </c>
      <c r="E6" s="59">
        <f t="shared" si="1"/>
        <v>0.3861111111</v>
      </c>
      <c r="F6" s="64" t="s">
        <v>127</v>
      </c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2">
        <v>20.0</v>
      </c>
      <c r="B7" s="62" t="s">
        <v>131</v>
      </c>
      <c r="C7" s="58">
        <v>0.4666666666666667</v>
      </c>
      <c r="D7" s="58">
        <v>0.8506944444444444</v>
      </c>
      <c r="E7" s="59">
        <f t="shared" si="1"/>
        <v>0.3840277778</v>
      </c>
      <c r="F7" s="64" t="s">
        <v>127</v>
      </c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2">
        <v>21.0</v>
      </c>
      <c r="B8" s="62" t="s">
        <v>132</v>
      </c>
      <c r="C8" s="48" t="s">
        <v>87</v>
      </c>
      <c r="D8" s="48" t="s">
        <v>87</v>
      </c>
      <c r="E8" s="59"/>
      <c r="F8" s="60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2">
        <v>22.0</v>
      </c>
      <c r="B9" s="62" t="s">
        <v>126</v>
      </c>
      <c r="C9" s="58">
        <v>0.38125</v>
      </c>
      <c r="D9" s="58">
        <v>0.8284722222222223</v>
      </c>
      <c r="E9" s="59">
        <f>D9-C9</f>
        <v>0.4472222222</v>
      </c>
      <c r="F9" s="64" t="s">
        <v>127</v>
      </c>
      <c r="G9" s="65">
        <f>E9-F9</f>
        <v>0.07222222222</v>
      </c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2">
        <v>24.0</v>
      </c>
      <c r="B10" s="62" t="s">
        <v>128</v>
      </c>
      <c r="C10" s="62" t="s">
        <v>87</v>
      </c>
      <c r="D10" s="62" t="s">
        <v>87</v>
      </c>
      <c r="E10" s="59"/>
      <c r="F10" s="60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2">
        <v>25.0</v>
      </c>
      <c r="B11" s="62" t="s">
        <v>129</v>
      </c>
      <c r="C11" s="58">
        <v>0.34375</v>
      </c>
      <c r="D11" s="58">
        <v>0.7291666666666666</v>
      </c>
      <c r="E11" s="59">
        <f t="shared" ref="E11:E14" si="2">D11-C11</f>
        <v>0.3854166667</v>
      </c>
      <c r="F11" s="64" t="s">
        <v>127</v>
      </c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2">
        <v>26.0</v>
      </c>
      <c r="B12" s="62" t="s">
        <v>130</v>
      </c>
      <c r="C12" s="58">
        <v>0.41875</v>
      </c>
      <c r="D12" s="58">
        <v>0.8708333333333333</v>
      </c>
      <c r="E12" s="59">
        <f t="shared" si="2"/>
        <v>0.4520833333</v>
      </c>
      <c r="F12" s="64" t="s">
        <v>127</v>
      </c>
      <c r="G12" s="65">
        <f t="shared" ref="G12:G14" si="3">E12-F12</f>
        <v>0.07708333333</v>
      </c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2">
        <v>27.0</v>
      </c>
      <c r="B13" s="62" t="s">
        <v>131</v>
      </c>
      <c r="C13" s="58">
        <v>0.3333333333333333</v>
      </c>
      <c r="D13" s="58">
        <v>0.8138888888888889</v>
      </c>
      <c r="E13" s="59">
        <f t="shared" si="2"/>
        <v>0.4805555556</v>
      </c>
      <c r="F13" s="64" t="s">
        <v>127</v>
      </c>
      <c r="G13" s="65">
        <f t="shared" si="3"/>
        <v>0.1055555556</v>
      </c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2">
        <v>28.0</v>
      </c>
      <c r="B14" s="62" t="s">
        <v>132</v>
      </c>
      <c r="C14" s="58">
        <v>0.4423611111111111</v>
      </c>
      <c r="D14" s="58">
        <v>0.875</v>
      </c>
      <c r="E14" s="59">
        <f t="shared" si="2"/>
        <v>0.4326388889</v>
      </c>
      <c r="F14" s="64" t="s">
        <v>127</v>
      </c>
      <c r="G14" s="65">
        <f t="shared" si="3"/>
        <v>0.05763888889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2">
        <v>29.0</v>
      </c>
      <c r="B15" s="62" t="s">
        <v>126</v>
      </c>
      <c r="C15" s="57"/>
      <c r="D15" s="57"/>
      <c r="E15" s="59"/>
      <c r="F15" s="60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1"/>
      <c r="B16" s="61"/>
      <c r="C16" s="57"/>
      <c r="D16" s="57"/>
      <c r="E16" s="59"/>
      <c r="F16" s="60"/>
      <c r="G16" s="66">
        <f>G9+G12+G13+G14</f>
        <v>0.3125</v>
      </c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1"/>
      <c r="B17" s="61"/>
      <c r="C17" s="57"/>
      <c r="D17" s="57"/>
      <c r="E17" s="59"/>
      <c r="F17" s="60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56" t="s">
        <v>133</v>
      </c>
      <c r="C18" s="57"/>
      <c r="D18" s="57"/>
      <c r="E18" s="59"/>
      <c r="F18" s="60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2" t="s">
        <v>120</v>
      </c>
      <c r="B19" s="62" t="s">
        <v>121</v>
      </c>
      <c r="C19" s="58" t="s">
        <v>122</v>
      </c>
      <c r="D19" s="58" t="s">
        <v>123</v>
      </c>
      <c r="E19" s="63" t="s">
        <v>8</v>
      </c>
      <c r="F19" s="64" t="s">
        <v>124</v>
      </c>
      <c r="G19" s="62" t="s">
        <v>125</v>
      </c>
      <c r="H19" s="62" t="s">
        <v>100</v>
      </c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2">
        <v>15.0</v>
      </c>
      <c r="B20" s="62" t="s">
        <v>126</v>
      </c>
      <c r="C20" s="58">
        <v>0.2</v>
      </c>
      <c r="D20" s="58">
        <v>0.7604166666666666</v>
      </c>
      <c r="E20" s="59">
        <f>D20-C20</f>
        <v>0.5604166667</v>
      </c>
      <c r="F20" s="64" t="s">
        <v>134</v>
      </c>
      <c r="G20" s="65">
        <f>E20-F20</f>
        <v>0.20625</v>
      </c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2">
        <v>17.0</v>
      </c>
      <c r="B21" s="62" t="s">
        <v>128</v>
      </c>
      <c r="C21" s="57"/>
      <c r="D21" s="57"/>
      <c r="E21" s="59"/>
      <c r="F21" s="60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2">
        <v>18.0</v>
      </c>
      <c r="B22" s="62" t="s">
        <v>129</v>
      </c>
      <c r="C22" s="58">
        <v>0.20277777777777778</v>
      </c>
      <c r="D22" s="58">
        <v>0.6194444444444445</v>
      </c>
      <c r="E22" s="59">
        <f>D22-C22</f>
        <v>0.4166666667</v>
      </c>
      <c r="F22" s="64" t="s">
        <v>134</v>
      </c>
      <c r="G22" s="65">
        <f>E22-F22</f>
        <v>0.0625</v>
      </c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2">
        <v>19.0</v>
      </c>
      <c r="B23" s="62" t="s">
        <v>130</v>
      </c>
      <c r="C23" s="57"/>
      <c r="D23" s="57"/>
      <c r="E23" s="59"/>
      <c r="F23" s="60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2">
        <v>20.0</v>
      </c>
      <c r="B24" s="62" t="s">
        <v>131</v>
      </c>
      <c r="C24" s="58">
        <v>0.19722222222222222</v>
      </c>
      <c r="D24" s="58">
        <v>0.6194444444444445</v>
      </c>
      <c r="E24" s="59">
        <f>D24-C24</f>
        <v>0.4222222222</v>
      </c>
      <c r="F24" s="64" t="s">
        <v>134</v>
      </c>
      <c r="G24" s="65">
        <f>E24-F24</f>
        <v>0.06805555556</v>
      </c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2">
        <v>21.0</v>
      </c>
      <c r="B25" s="62" t="s">
        <v>132</v>
      </c>
      <c r="C25" s="57"/>
      <c r="D25" s="57"/>
      <c r="E25" s="59"/>
      <c r="F25" s="60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2">
        <v>22.0</v>
      </c>
      <c r="B26" s="62" t="s">
        <v>126</v>
      </c>
      <c r="C26" s="58">
        <v>0.19652777777777777</v>
      </c>
      <c r="D26" s="58">
        <v>0.8375</v>
      </c>
      <c r="E26" s="59">
        <f t="shared" ref="E26:E27" si="4">D26-C26</f>
        <v>0.6409722222</v>
      </c>
      <c r="F26" s="64" t="s">
        <v>134</v>
      </c>
      <c r="G26" s="65">
        <f>E26-F26</f>
        <v>0.2868055556</v>
      </c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2">
        <v>23.0</v>
      </c>
      <c r="B27" s="62" t="s">
        <v>135</v>
      </c>
      <c r="C27" s="58">
        <v>0.4409722222222222</v>
      </c>
      <c r="D27" s="58">
        <v>0.7604166666666666</v>
      </c>
      <c r="E27" s="59">
        <f t="shared" si="4"/>
        <v>0.3194444444</v>
      </c>
      <c r="F27" s="64" t="s">
        <v>134</v>
      </c>
      <c r="G27" s="65">
        <f>E27</f>
        <v>0.3194444444</v>
      </c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2">
        <v>24.0</v>
      </c>
      <c r="B28" s="62" t="s">
        <v>128</v>
      </c>
      <c r="E28" s="59"/>
      <c r="F28" s="60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2">
        <v>25.0</v>
      </c>
      <c r="B29" s="62" t="s">
        <v>129</v>
      </c>
      <c r="C29" s="57"/>
      <c r="D29" s="57"/>
      <c r="E29" s="59"/>
      <c r="F29" s="60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2">
        <v>26.0</v>
      </c>
      <c r="B30" s="62" t="s">
        <v>130</v>
      </c>
      <c r="C30" s="57"/>
      <c r="D30" s="57"/>
      <c r="E30" s="59"/>
      <c r="F30" s="60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2">
        <v>27.0</v>
      </c>
      <c r="B31" s="62" t="s">
        <v>131</v>
      </c>
      <c r="C31" s="58">
        <v>0.2</v>
      </c>
      <c r="D31" s="58">
        <v>0.6638888888888889</v>
      </c>
      <c r="E31" s="59">
        <f>D31-C31</f>
        <v>0.4638888889</v>
      </c>
      <c r="F31" s="64" t="s">
        <v>134</v>
      </c>
      <c r="G31" s="65">
        <f>E31-F31</f>
        <v>0.1097222222</v>
      </c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2">
        <v>28.0</v>
      </c>
      <c r="B32" s="62" t="s">
        <v>132</v>
      </c>
      <c r="C32" s="57"/>
      <c r="D32" s="57"/>
      <c r="E32" s="59"/>
      <c r="F32" s="60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2">
        <v>29.0</v>
      </c>
      <c r="B33" s="62" t="s">
        <v>126</v>
      </c>
      <c r="C33" s="57"/>
      <c r="D33" s="57"/>
      <c r="E33" s="59"/>
      <c r="F33" s="60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1"/>
      <c r="B34" s="61"/>
      <c r="C34" s="57"/>
      <c r="D34" s="57"/>
      <c r="E34" s="59"/>
      <c r="F34" s="60"/>
      <c r="G34" s="66">
        <f>G20+G22+G24+G26+G27+G31</f>
        <v>1.052777778</v>
      </c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1"/>
      <c r="B35" s="61"/>
      <c r="C35" s="57"/>
      <c r="D35" s="57"/>
      <c r="E35" s="59"/>
      <c r="F35" s="60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56" t="s">
        <v>136</v>
      </c>
      <c r="C36" s="57"/>
      <c r="D36" s="57"/>
      <c r="E36" s="59"/>
      <c r="F36" s="60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2" t="s">
        <v>120</v>
      </c>
      <c r="B37" s="62" t="s">
        <v>121</v>
      </c>
      <c r="C37" s="58" t="s">
        <v>122</v>
      </c>
      <c r="D37" s="58" t="s">
        <v>123</v>
      </c>
      <c r="E37" s="63" t="s">
        <v>8</v>
      </c>
      <c r="F37" s="64" t="s">
        <v>124</v>
      </c>
      <c r="G37" s="62" t="s">
        <v>125</v>
      </c>
      <c r="H37" s="62" t="s">
        <v>100</v>
      </c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2">
        <v>15.0</v>
      </c>
      <c r="B38" s="62" t="s">
        <v>126</v>
      </c>
      <c r="C38" s="57"/>
      <c r="D38" s="57"/>
      <c r="E38" s="59"/>
      <c r="F38" s="60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2">
        <v>17.0</v>
      </c>
      <c r="B39" s="62" t="s">
        <v>128</v>
      </c>
      <c r="C39" s="57"/>
      <c r="D39" s="57"/>
      <c r="E39" s="59"/>
      <c r="F39" s="60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2">
        <v>18.0</v>
      </c>
      <c r="B40" s="62" t="s">
        <v>129</v>
      </c>
      <c r="C40" s="57"/>
      <c r="D40" s="57"/>
      <c r="E40" s="59"/>
      <c r="F40" s="60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2">
        <v>19.0</v>
      </c>
      <c r="B41" s="62" t="s">
        <v>130</v>
      </c>
      <c r="C41" s="58">
        <v>0.3875</v>
      </c>
      <c r="D41" s="58">
        <v>0.8381944444444445</v>
      </c>
      <c r="E41" s="59">
        <f>D41-C41</f>
        <v>0.4506944444</v>
      </c>
      <c r="F41" s="64" t="s">
        <v>134</v>
      </c>
      <c r="G41" s="65">
        <f>E41-F41</f>
        <v>0.09652777778</v>
      </c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2">
        <v>20.0</v>
      </c>
      <c r="B42" s="62" t="s">
        <v>131</v>
      </c>
      <c r="C42" s="57"/>
      <c r="D42" s="57"/>
      <c r="E42" s="59"/>
      <c r="F42" s="60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2">
        <v>21.0</v>
      </c>
      <c r="B43" s="62" t="s">
        <v>132</v>
      </c>
      <c r="C43" s="57"/>
      <c r="D43" s="57"/>
      <c r="E43" s="59"/>
      <c r="F43" s="60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2">
        <v>22.0</v>
      </c>
      <c r="B44" s="62" t="s">
        <v>126</v>
      </c>
      <c r="C44" s="57"/>
      <c r="D44" s="57"/>
      <c r="E44" s="59"/>
      <c r="F44" s="60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2">
        <v>24.0</v>
      </c>
      <c r="B45" s="62" t="s">
        <v>128</v>
      </c>
      <c r="C45" s="57"/>
      <c r="D45" s="57"/>
      <c r="E45" s="59"/>
      <c r="F45" s="60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2">
        <v>25.0</v>
      </c>
      <c r="B46" s="62" t="s">
        <v>129</v>
      </c>
      <c r="C46" s="57"/>
      <c r="D46" s="57"/>
      <c r="E46" s="59"/>
      <c r="F46" s="60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2">
        <v>26.0</v>
      </c>
      <c r="B47" s="62" t="s">
        <v>130</v>
      </c>
      <c r="C47" s="57"/>
      <c r="D47" s="57"/>
      <c r="E47" s="59"/>
      <c r="F47" s="60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2">
        <v>27.0</v>
      </c>
      <c r="B48" s="62" t="s">
        <v>131</v>
      </c>
      <c r="C48" s="57"/>
      <c r="D48" s="57"/>
      <c r="E48" s="59"/>
      <c r="F48" s="60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2">
        <v>28.0</v>
      </c>
      <c r="B49" s="62" t="s">
        <v>132</v>
      </c>
      <c r="C49" s="57"/>
      <c r="D49" s="57"/>
      <c r="E49" s="59"/>
      <c r="F49" s="60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2">
        <v>29.0</v>
      </c>
      <c r="B50" s="62" t="s">
        <v>126</v>
      </c>
      <c r="C50" s="57"/>
      <c r="D50" s="57"/>
      <c r="E50" s="59"/>
      <c r="F50" s="60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1"/>
      <c r="B51" s="61"/>
      <c r="C51" s="57"/>
      <c r="D51" s="57"/>
      <c r="E51" s="59"/>
      <c r="F51" s="60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61"/>
      <c r="B52" s="61"/>
      <c r="C52" s="57"/>
      <c r="D52" s="57"/>
      <c r="E52" s="59"/>
      <c r="F52" s="60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56" t="s">
        <v>137</v>
      </c>
      <c r="C53" s="57"/>
      <c r="D53" s="57"/>
      <c r="E53" s="59"/>
      <c r="F53" s="60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62" t="s">
        <v>120</v>
      </c>
      <c r="B54" s="62" t="s">
        <v>121</v>
      </c>
      <c r="C54" s="58" t="s">
        <v>122</v>
      </c>
      <c r="D54" s="58" t="s">
        <v>123</v>
      </c>
      <c r="E54" s="63" t="s">
        <v>8</v>
      </c>
      <c r="F54" s="64" t="s">
        <v>124</v>
      </c>
      <c r="G54" s="62" t="s">
        <v>125</v>
      </c>
      <c r="H54" s="62" t="s">
        <v>100</v>
      </c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62">
        <v>15.0</v>
      </c>
      <c r="B55" s="62" t="s">
        <v>126</v>
      </c>
      <c r="C55" s="58">
        <v>0.42569444444444443</v>
      </c>
      <c r="D55" s="58">
        <v>0.7916666666666666</v>
      </c>
      <c r="E55" s="59">
        <f t="shared" ref="E55:E66" si="5">D55-C55</f>
        <v>0.3659722222</v>
      </c>
      <c r="F55" s="64" t="s">
        <v>127</v>
      </c>
      <c r="G55" s="65">
        <f>E55</f>
        <v>0.3659722222</v>
      </c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62">
        <v>17.0</v>
      </c>
      <c r="B56" s="62" t="s">
        <v>128</v>
      </c>
      <c r="C56" s="58">
        <v>0.26458333333333334</v>
      </c>
      <c r="D56" s="58">
        <v>0.8604166666666667</v>
      </c>
      <c r="E56" s="59">
        <f t="shared" si="5"/>
        <v>0.5958333333</v>
      </c>
      <c r="F56" s="64" t="s">
        <v>127</v>
      </c>
      <c r="G56" s="65">
        <f t="shared" ref="G56:G60" si="6">E56-F56</f>
        <v>0.2208333333</v>
      </c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62">
        <v>18.0</v>
      </c>
      <c r="B57" s="62" t="s">
        <v>129</v>
      </c>
      <c r="C57" s="58">
        <v>0.3680555555555556</v>
      </c>
      <c r="D57" s="58">
        <v>0.8611111111111112</v>
      </c>
      <c r="E57" s="59">
        <f t="shared" si="5"/>
        <v>0.4930555556</v>
      </c>
      <c r="F57" s="64" t="s">
        <v>127</v>
      </c>
      <c r="G57" s="65">
        <f t="shared" si="6"/>
        <v>0.1180555556</v>
      </c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62">
        <v>19.0</v>
      </c>
      <c r="B58" s="62" t="s">
        <v>130</v>
      </c>
      <c r="C58" s="58">
        <v>0.3875</v>
      </c>
      <c r="D58" s="58">
        <v>0.8652777777777778</v>
      </c>
      <c r="E58" s="59">
        <f t="shared" si="5"/>
        <v>0.4777777778</v>
      </c>
      <c r="F58" s="64" t="s">
        <v>127</v>
      </c>
      <c r="G58" s="65">
        <f t="shared" si="6"/>
        <v>0.1027777778</v>
      </c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62">
        <v>20.0</v>
      </c>
      <c r="B59" s="62" t="s">
        <v>131</v>
      </c>
      <c r="C59" s="58">
        <v>0.3888888888888889</v>
      </c>
      <c r="D59" s="58">
        <v>0.8506944444444444</v>
      </c>
      <c r="E59" s="59">
        <f t="shared" si="5"/>
        <v>0.4618055556</v>
      </c>
      <c r="F59" s="64" t="s">
        <v>127</v>
      </c>
      <c r="G59" s="65">
        <f t="shared" si="6"/>
        <v>0.08680555556</v>
      </c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62">
        <v>21.0</v>
      </c>
      <c r="B60" s="62" t="s">
        <v>132</v>
      </c>
      <c r="C60" s="58">
        <v>0.36944444444444446</v>
      </c>
      <c r="D60" s="58">
        <v>0.8493055555555555</v>
      </c>
      <c r="E60" s="59">
        <f t="shared" si="5"/>
        <v>0.4798611111</v>
      </c>
      <c r="F60" s="64" t="s">
        <v>127</v>
      </c>
      <c r="G60" s="65">
        <f t="shared" si="6"/>
        <v>0.1048611111</v>
      </c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62">
        <v>22.0</v>
      </c>
      <c r="B61" s="62" t="s">
        <v>126</v>
      </c>
      <c r="C61" s="58">
        <v>0.43125</v>
      </c>
      <c r="D61" s="58">
        <v>0.8368055555555556</v>
      </c>
      <c r="E61" s="59">
        <f t="shared" si="5"/>
        <v>0.4055555556</v>
      </c>
      <c r="F61" s="64" t="s">
        <v>127</v>
      </c>
      <c r="G61" s="65">
        <f>E61</f>
        <v>0.4055555556</v>
      </c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62">
        <v>24.0</v>
      </c>
      <c r="B62" s="62" t="s">
        <v>128</v>
      </c>
      <c r="C62" s="58">
        <v>0.28958333333333336</v>
      </c>
      <c r="D62" s="58">
        <v>0.8395833333333333</v>
      </c>
      <c r="E62" s="59">
        <f t="shared" si="5"/>
        <v>0.55</v>
      </c>
      <c r="F62" s="64" t="s">
        <v>127</v>
      </c>
      <c r="G62" s="65">
        <f t="shared" ref="G62:G66" si="7">E62-F62</f>
        <v>0.175</v>
      </c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62">
        <v>25.0</v>
      </c>
      <c r="B63" s="62" t="s">
        <v>129</v>
      </c>
      <c r="C63" s="58">
        <v>0.4215277777777778</v>
      </c>
      <c r="D63" s="58">
        <v>0.8333333333333334</v>
      </c>
      <c r="E63" s="59">
        <f t="shared" si="5"/>
        <v>0.4118055556</v>
      </c>
      <c r="F63" s="64" t="s">
        <v>127</v>
      </c>
      <c r="G63" s="65">
        <f t="shared" si="7"/>
        <v>0.03680555556</v>
      </c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62">
        <v>26.0</v>
      </c>
      <c r="B64" s="62" t="s">
        <v>130</v>
      </c>
      <c r="C64" s="58">
        <v>0.3541666666666667</v>
      </c>
      <c r="D64" s="58">
        <v>0.8513888888888889</v>
      </c>
      <c r="E64" s="59">
        <f t="shared" si="5"/>
        <v>0.4972222222</v>
      </c>
      <c r="F64" s="64" t="s">
        <v>127</v>
      </c>
      <c r="G64" s="65">
        <f t="shared" si="7"/>
        <v>0.1222222222</v>
      </c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62">
        <v>27.0</v>
      </c>
      <c r="B65" s="62" t="s">
        <v>131</v>
      </c>
      <c r="C65" s="58">
        <v>0.36041666666666666</v>
      </c>
      <c r="D65" s="58">
        <v>0.8076388888888889</v>
      </c>
      <c r="E65" s="59">
        <f t="shared" si="5"/>
        <v>0.4472222222</v>
      </c>
      <c r="F65" s="64" t="s">
        <v>127</v>
      </c>
      <c r="G65" s="65">
        <f t="shared" si="7"/>
        <v>0.07222222222</v>
      </c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62">
        <v>28.0</v>
      </c>
      <c r="B66" s="62" t="s">
        <v>132</v>
      </c>
      <c r="C66" s="58">
        <v>0.3819444444444444</v>
      </c>
      <c r="D66" s="58">
        <v>0.875</v>
      </c>
      <c r="E66" s="59">
        <f t="shared" si="5"/>
        <v>0.4930555556</v>
      </c>
      <c r="F66" s="64" t="s">
        <v>127</v>
      </c>
      <c r="G66" s="65">
        <f t="shared" si="7"/>
        <v>0.1180555556</v>
      </c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62">
        <v>29.0</v>
      </c>
      <c r="B67" s="62" t="s">
        <v>126</v>
      </c>
      <c r="C67" s="57"/>
      <c r="D67" s="57"/>
      <c r="E67" s="59"/>
      <c r="F67" s="60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61"/>
      <c r="B68" s="61"/>
      <c r="C68" s="57"/>
      <c r="D68" s="57"/>
      <c r="E68" s="59"/>
      <c r="F68" s="60"/>
      <c r="G68" s="66">
        <f>G55+G56+G57+G58+G59+G60+G61+G62+G63+G64+G65+G66</f>
        <v>1.929166667</v>
      </c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61"/>
      <c r="B69" s="61"/>
      <c r="C69" s="57"/>
      <c r="D69" s="57"/>
      <c r="E69" s="59"/>
      <c r="F69" s="60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56" t="s">
        <v>138</v>
      </c>
      <c r="C70" s="57"/>
      <c r="D70" s="57"/>
      <c r="E70" s="59"/>
      <c r="F70" s="60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62" t="s">
        <v>120</v>
      </c>
      <c r="B71" s="62" t="s">
        <v>121</v>
      </c>
      <c r="C71" s="58" t="s">
        <v>122</v>
      </c>
      <c r="D71" s="58" t="s">
        <v>123</v>
      </c>
      <c r="E71" s="63" t="s">
        <v>8</v>
      </c>
      <c r="F71" s="64" t="s">
        <v>124</v>
      </c>
      <c r="G71" s="62" t="s">
        <v>125</v>
      </c>
      <c r="H71" s="62" t="s">
        <v>100</v>
      </c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62">
        <v>15.0</v>
      </c>
      <c r="B72" s="62" t="s">
        <v>126</v>
      </c>
      <c r="C72" s="57"/>
      <c r="D72" s="57"/>
      <c r="E72" s="59"/>
      <c r="F72" s="60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62">
        <v>17.0</v>
      </c>
      <c r="B73" s="62" t="s">
        <v>128</v>
      </c>
      <c r="C73" s="57"/>
      <c r="D73" s="57"/>
      <c r="E73" s="59"/>
      <c r="F73" s="60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62">
        <v>18.0</v>
      </c>
      <c r="B74" s="62" t="s">
        <v>129</v>
      </c>
      <c r="C74" s="57"/>
      <c r="D74" s="57"/>
      <c r="E74" s="59"/>
      <c r="F74" s="60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62">
        <v>19.0</v>
      </c>
      <c r="B75" s="62" t="s">
        <v>130</v>
      </c>
      <c r="C75" s="57"/>
      <c r="D75" s="57"/>
      <c r="E75" s="59"/>
      <c r="F75" s="60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62">
        <v>20.0</v>
      </c>
      <c r="B76" s="62" t="s">
        <v>131</v>
      </c>
      <c r="C76" s="58">
        <v>0.17222222222222222</v>
      </c>
      <c r="D76" s="58">
        <v>0.6104166666666667</v>
      </c>
      <c r="E76" s="59">
        <f>D76-C76</f>
        <v>0.4381944444</v>
      </c>
      <c r="F76" s="64" t="s">
        <v>134</v>
      </c>
      <c r="G76" s="65">
        <f>E76-F76</f>
        <v>0.08402777778</v>
      </c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62">
        <v>21.0</v>
      </c>
      <c r="B77" s="62" t="s">
        <v>132</v>
      </c>
      <c r="C77" s="57"/>
      <c r="D77" s="57"/>
      <c r="E77" s="59"/>
      <c r="F77" s="60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62">
        <v>22.0</v>
      </c>
      <c r="B78" s="62" t="s">
        <v>126</v>
      </c>
      <c r="C78" s="58">
        <v>0.18680555555555556</v>
      </c>
      <c r="D78" s="58">
        <v>0.6277777777777778</v>
      </c>
      <c r="E78" s="59">
        <f>D78-C78</f>
        <v>0.4409722222</v>
      </c>
      <c r="F78" s="64" t="s">
        <v>134</v>
      </c>
      <c r="G78" s="65">
        <f>E78-F78</f>
        <v>0.08680555556</v>
      </c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62">
        <v>24.0</v>
      </c>
      <c r="B79" s="62" t="s">
        <v>128</v>
      </c>
      <c r="C79" s="57"/>
      <c r="D79" s="57"/>
      <c r="E79" s="59"/>
      <c r="F79" s="60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62">
        <v>25.0</v>
      </c>
      <c r="B80" s="62" t="s">
        <v>129</v>
      </c>
      <c r="C80" s="57"/>
      <c r="D80" s="57"/>
      <c r="E80" s="59"/>
      <c r="F80" s="60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62">
        <v>26.0</v>
      </c>
      <c r="B81" s="62" t="s">
        <v>130</v>
      </c>
      <c r="C81" s="57"/>
      <c r="D81" s="57"/>
      <c r="E81" s="59"/>
      <c r="F81" s="60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62">
        <v>27.0</v>
      </c>
      <c r="B82" s="62" t="s">
        <v>131</v>
      </c>
      <c r="C82" s="58">
        <v>0.18125</v>
      </c>
      <c r="D82" s="58">
        <v>0.6666666666666666</v>
      </c>
      <c r="E82" s="59">
        <f>D82-C82</f>
        <v>0.4854166667</v>
      </c>
      <c r="F82" s="64" t="s">
        <v>134</v>
      </c>
      <c r="G82" s="65">
        <f>E82-F82</f>
        <v>0.13125</v>
      </c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62">
        <v>28.0</v>
      </c>
      <c r="B83" s="62" t="s">
        <v>132</v>
      </c>
      <c r="C83" s="57"/>
      <c r="D83" s="57"/>
      <c r="E83" s="59"/>
      <c r="F83" s="60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62">
        <v>29.0</v>
      </c>
      <c r="B84" s="62" t="s">
        <v>126</v>
      </c>
      <c r="C84" s="57"/>
      <c r="D84" s="57"/>
      <c r="E84" s="59"/>
      <c r="F84" s="60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61"/>
      <c r="B85" s="61"/>
      <c r="C85" s="57"/>
      <c r="D85" s="57"/>
      <c r="E85" s="59"/>
      <c r="F85" s="60"/>
      <c r="G85" s="66">
        <f>G76+G78+G82</f>
        <v>0.3020833333</v>
      </c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61"/>
      <c r="B86" s="61"/>
      <c r="C86" s="57"/>
      <c r="D86" s="57"/>
      <c r="E86" s="59"/>
      <c r="F86" s="60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56" t="s">
        <v>139</v>
      </c>
      <c r="C87" s="57"/>
      <c r="D87" s="57"/>
      <c r="E87" s="59"/>
      <c r="F87" s="60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62" t="s">
        <v>120</v>
      </c>
      <c r="B88" s="62" t="s">
        <v>121</v>
      </c>
      <c r="C88" s="58" t="s">
        <v>122</v>
      </c>
      <c r="D88" s="58" t="s">
        <v>123</v>
      </c>
      <c r="E88" s="63" t="s">
        <v>8</v>
      </c>
      <c r="F88" s="64" t="s">
        <v>124</v>
      </c>
      <c r="G88" s="62" t="s">
        <v>125</v>
      </c>
      <c r="H88" s="62" t="s">
        <v>100</v>
      </c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62">
        <v>15.0</v>
      </c>
      <c r="B89" s="62" t="s">
        <v>126</v>
      </c>
      <c r="C89" s="58">
        <v>0.3861111111111111</v>
      </c>
      <c r="D89" s="58">
        <v>0.7722222222222223</v>
      </c>
      <c r="E89" s="59">
        <f>D89-C89</f>
        <v>0.3861111111</v>
      </c>
      <c r="F89" s="64" t="s">
        <v>134</v>
      </c>
      <c r="G89" s="61"/>
      <c r="H89" s="62">
        <v>11.0</v>
      </c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62">
        <v>17.0</v>
      </c>
      <c r="B90" s="62" t="s">
        <v>128</v>
      </c>
      <c r="C90" s="62" t="s">
        <v>140</v>
      </c>
      <c r="D90" s="62" t="s">
        <v>140</v>
      </c>
      <c r="E90" s="59"/>
      <c r="F90" s="60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62">
        <v>18.0</v>
      </c>
      <c r="B91" s="62" t="s">
        <v>129</v>
      </c>
      <c r="C91" s="58">
        <v>0.47638888888888886</v>
      </c>
      <c r="D91" s="58">
        <v>0.8541666666666666</v>
      </c>
      <c r="E91" s="59">
        <f>D91-C91</f>
        <v>0.3777777778</v>
      </c>
      <c r="F91" s="64" t="s">
        <v>134</v>
      </c>
      <c r="G91" s="65">
        <f>E91-F91</f>
        <v>0.02361111111</v>
      </c>
      <c r="H91" s="62">
        <v>21.0</v>
      </c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62">
        <v>19.0</v>
      </c>
      <c r="B92" s="62" t="s">
        <v>130</v>
      </c>
      <c r="C92" s="62" t="s">
        <v>87</v>
      </c>
      <c r="D92" s="62" t="s">
        <v>87</v>
      </c>
      <c r="E92" s="59"/>
      <c r="F92" s="60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62">
        <v>20.0</v>
      </c>
      <c r="B93" s="62" t="s">
        <v>131</v>
      </c>
      <c r="C93" s="58">
        <v>0.3861111111111111</v>
      </c>
      <c r="D93" s="58">
        <v>0.7152777777777778</v>
      </c>
      <c r="E93" s="59">
        <f t="shared" ref="E93:E97" si="8">D93-C93</f>
        <v>0.3291666667</v>
      </c>
      <c r="F93" s="64" t="s">
        <v>134</v>
      </c>
      <c r="G93" s="61"/>
      <c r="H93" s="62">
        <v>11.0</v>
      </c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62">
        <v>21.0</v>
      </c>
      <c r="B94" s="62" t="s">
        <v>132</v>
      </c>
      <c r="C94" s="58">
        <v>0.5625</v>
      </c>
      <c r="D94" s="58">
        <v>0.8465277777777778</v>
      </c>
      <c r="E94" s="59">
        <f t="shared" si="8"/>
        <v>0.2840277778</v>
      </c>
      <c r="F94" s="64" t="s">
        <v>134</v>
      </c>
      <c r="G94" s="61"/>
      <c r="H94" s="62">
        <v>25.0</v>
      </c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62">
        <v>22.0</v>
      </c>
      <c r="B95" s="62" t="s">
        <v>126</v>
      </c>
      <c r="C95" s="58">
        <v>0.4930555555555556</v>
      </c>
      <c r="D95" s="58">
        <v>0.83125</v>
      </c>
      <c r="E95" s="59">
        <f t="shared" si="8"/>
        <v>0.3381944444</v>
      </c>
      <c r="F95" s="64" t="s">
        <v>134</v>
      </c>
      <c r="G95" s="61"/>
      <c r="H95" s="62">
        <v>45.0</v>
      </c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62">
        <v>24.0</v>
      </c>
      <c r="B96" s="62" t="s">
        <v>128</v>
      </c>
      <c r="C96" s="58">
        <v>0.5777777777777777</v>
      </c>
      <c r="D96" s="58">
        <v>0.8381944444444445</v>
      </c>
      <c r="E96" s="59">
        <f t="shared" si="8"/>
        <v>0.2604166667</v>
      </c>
      <c r="F96" s="64" t="s">
        <v>134</v>
      </c>
      <c r="G96" s="61"/>
      <c r="H96" s="62">
        <v>47.0</v>
      </c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62">
        <v>25.0</v>
      </c>
      <c r="B97" s="62" t="s">
        <v>129</v>
      </c>
      <c r="C97" s="58">
        <v>0.5763888888888888</v>
      </c>
      <c r="D97" s="58">
        <v>0.8291666666666667</v>
      </c>
      <c r="E97" s="59">
        <f t="shared" si="8"/>
        <v>0.2527777778</v>
      </c>
      <c r="F97" s="64" t="s">
        <v>134</v>
      </c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62">
        <v>26.0</v>
      </c>
      <c r="B98" s="62" t="s">
        <v>130</v>
      </c>
      <c r="C98" s="62" t="s">
        <v>87</v>
      </c>
      <c r="D98" s="62" t="s">
        <v>87</v>
      </c>
      <c r="E98" s="59"/>
      <c r="F98" s="60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62">
        <v>27.0</v>
      </c>
      <c r="B99" s="62" t="s">
        <v>131</v>
      </c>
      <c r="C99" s="58">
        <v>0.5486111111111112</v>
      </c>
      <c r="D99" s="58">
        <v>0.8055555555555556</v>
      </c>
      <c r="E99" s="59">
        <f t="shared" ref="E99:E100" si="9">D99-C99</f>
        <v>0.2569444444</v>
      </c>
      <c r="F99" s="64" t="s">
        <v>134</v>
      </c>
      <c r="G99" s="61"/>
      <c r="H99" s="62">
        <v>5.0</v>
      </c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62">
        <v>28.0</v>
      </c>
      <c r="B100" s="62" t="s">
        <v>132</v>
      </c>
      <c r="C100" s="58">
        <v>0.5625</v>
      </c>
      <c r="D100" s="58">
        <v>0.875</v>
      </c>
      <c r="E100" s="59">
        <f t="shared" si="9"/>
        <v>0.3125</v>
      </c>
      <c r="F100" s="64" t="s">
        <v>134</v>
      </c>
      <c r="G100" s="61"/>
      <c r="H100" s="62">
        <v>25.0</v>
      </c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62">
        <v>29.0</v>
      </c>
      <c r="B101" s="62" t="s">
        <v>126</v>
      </c>
      <c r="C101" s="57"/>
      <c r="D101" s="57"/>
      <c r="E101" s="59"/>
      <c r="F101" s="60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61"/>
      <c r="B102" s="61"/>
      <c r="C102" s="57"/>
      <c r="D102" s="57"/>
      <c r="E102" s="59"/>
      <c r="F102" s="60"/>
      <c r="G102" s="61"/>
      <c r="H102" s="67">
        <f>H89+H91+H93+H94+H95+H96+H99+H100-34</f>
        <v>156</v>
      </c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61"/>
      <c r="B103" s="61"/>
      <c r="C103" s="57"/>
      <c r="D103" s="57"/>
      <c r="E103" s="59"/>
      <c r="F103" s="60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56" t="s">
        <v>141</v>
      </c>
      <c r="C104" s="57"/>
      <c r="D104" s="57"/>
      <c r="E104" s="59"/>
      <c r="F104" s="60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62" t="s">
        <v>120</v>
      </c>
      <c r="B105" s="62" t="s">
        <v>121</v>
      </c>
      <c r="C105" s="58" t="s">
        <v>122</v>
      </c>
      <c r="D105" s="58" t="s">
        <v>123</v>
      </c>
      <c r="E105" s="63" t="s">
        <v>8</v>
      </c>
      <c r="F105" s="64" t="s">
        <v>124</v>
      </c>
      <c r="G105" s="62" t="s">
        <v>125</v>
      </c>
      <c r="H105" s="62" t="s">
        <v>100</v>
      </c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62">
        <v>15.0</v>
      </c>
      <c r="B106" s="62" t="s">
        <v>126</v>
      </c>
      <c r="C106" s="57"/>
      <c r="D106" s="57"/>
      <c r="E106" s="59"/>
      <c r="F106" s="60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62">
        <v>17.0</v>
      </c>
      <c r="B107" s="62" t="s">
        <v>128</v>
      </c>
      <c r="C107" s="57"/>
      <c r="D107" s="57"/>
      <c r="E107" s="59"/>
      <c r="F107" s="60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62">
        <v>18.0</v>
      </c>
      <c r="B108" s="62" t="s">
        <v>129</v>
      </c>
      <c r="C108" s="57"/>
      <c r="D108" s="57"/>
      <c r="E108" s="59"/>
      <c r="F108" s="60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62">
        <v>19.0</v>
      </c>
      <c r="B109" s="62" t="s">
        <v>130</v>
      </c>
      <c r="C109" s="57"/>
      <c r="D109" s="57"/>
      <c r="E109" s="59"/>
      <c r="F109" s="60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62">
        <v>20.0</v>
      </c>
      <c r="B110" s="62" t="s">
        <v>131</v>
      </c>
      <c r="C110" s="58">
        <v>0.20208333333333334</v>
      </c>
      <c r="D110" s="58">
        <v>0.6111111111111112</v>
      </c>
      <c r="E110" s="59">
        <f>D110-C110</f>
        <v>0.4090277778</v>
      </c>
      <c r="F110" s="64" t="s">
        <v>134</v>
      </c>
      <c r="G110" s="65">
        <f>E110-F110</f>
        <v>0.05486111111</v>
      </c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62">
        <v>21.0</v>
      </c>
      <c r="B111" s="62" t="s">
        <v>132</v>
      </c>
      <c r="C111" s="57"/>
      <c r="D111" s="57"/>
      <c r="E111" s="59"/>
      <c r="F111" s="60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62">
        <v>22.0</v>
      </c>
      <c r="B112" s="62" t="s">
        <v>126</v>
      </c>
      <c r="C112" s="57"/>
      <c r="D112" s="57"/>
      <c r="E112" s="59"/>
      <c r="F112" s="60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62">
        <v>24.0</v>
      </c>
      <c r="B113" s="62" t="s">
        <v>128</v>
      </c>
      <c r="C113" s="57"/>
      <c r="D113" s="57"/>
      <c r="E113" s="59"/>
      <c r="F113" s="60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62">
        <v>25.0</v>
      </c>
      <c r="B114" s="62" t="s">
        <v>129</v>
      </c>
      <c r="C114" s="57"/>
      <c r="D114" s="57"/>
      <c r="E114" s="59"/>
      <c r="F114" s="60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62">
        <v>26.0</v>
      </c>
      <c r="B115" s="62" t="s">
        <v>130</v>
      </c>
      <c r="C115" s="57"/>
      <c r="D115" s="57"/>
      <c r="E115" s="59"/>
      <c r="F115" s="60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62">
        <v>27.0</v>
      </c>
      <c r="B116" s="62" t="s">
        <v>131</v>
      </c>
      <c r="C116" s="58">
        <v>0.20416666666666666</v>
      </c>
      <c r="D116" s="58">
        <v>0.6409722222222223</v>
      </c>
      <c r="E116" s="59">
        <f>D116-C116</f>
        <v>0.4368055556</v>
      </c>
      <c r="F116" s="64" t="s">
        <v>134</v>
      </c>
      <c r="G116" s="65">
        <f>E116-F116</f>
        <v>0.08263888889</v>
      </c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62">
        <v>28.0</v>
      </c>
      <c r="B117" s="62" t="s">
        <v>132</v>
      </c>
      <c r="C117" s="57"/>
      <c r="D117" s="57"/>
      <c r="E117" s="59"/>
      <c r="F117" s="60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62">
        <v>29.0</v>
      </c>
      <c r="B118" s="62" t="s">
        <v>126</v>
      </c>
      <c r="C118" s="57"/>
      <c r="D118" s="57"/>
      <c r="E118" s="59"/>
      <c r="F118" s="60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61"/>
      <c r="B119" s="61"/>
      <c r="C119" s="57"/>
      <c r="D119" s="57"/>
      <c r="E119" s="59"/>
      <c r="F119" s="60"/>
      <c r="G119" s="66">
        <f>G110+G116</f>
        <v>0.1375</v>
      </c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61"/>
      <c r="B120" s="61"/>
      <c r="C120" s="57"/>
      <c r="D120" s="57"/>
      <c r="E120" s="59"/>
      <c r="F120" s="60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56" t="s">
        <v>142</v>
      </c>
      <c r="C121" s="57"/>
      <c r="D121" s="57"/>
      <c r="E121" s="59"/>
      <c r="F121" s="60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62" t="s">
        <v>120</v>
      </c>
      <c r="B122" s="62" t="s">
        <v>121</v>
      </c>
      <c r="C122" s="58" t="s">
        <v>122</v>
      </c>
      <c r="D122" s="58" t="s">
        <v>123</v>
      </c>
      <c r="E122" s="63" t="s">
        <v>8</v>
      </c>
      <c r="F122" s="64" t="s">
        <v>124</v>
      </c>
      <c r="G122" s="62" t="s">
        <v>125</v>
      </c>
      <c r="H122" s="62" t="s">
        <v>100</v>
      </c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2">
        <v>15.0</v>
      </c>
      <c r="B123" s="62" t="s">
        <v>126</v>
      </c>
      <c r="C123" s="57"/>
      <c r="D123" s="57"/>
      <c r="E123" s="59"/>
      <c r="F123" s="60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2">
        <v>17.0</v>
      </c>
      <c r="B124" s="62" t="s">
        <v>128</v>
      </c>
      <c r="C124" s="58">
        <v>0.16180555555555556</v>
      </c>
      <c r="D124" s="58">
        <v>0.8604166666666667</v>
      </c>
      <c r="E124" s="59">
        <f t="shared" ref="E124:E128" si="10">D124-C124</f>
        <v>0.6986111111</v>
      </c>
      <c r="F124" s="64" t="s">
        <v>134</v>
      </c>
      <c r="G124" s="65">
        <f t="shared" ref="G124:G128" si="11">E124-F124</f>
        <v>0.3444444444</v>
      </c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2">
        <v>18.0</v>
      </c>
      <c r="B125" s="62" t="s">
        <v>129</v>
      </c>
      <c r="C125" s="58">
        <v>0.3680555555555556</v>
      </c>
      <c r="D125" s="58">
        <v>0.8604166666666667</v>
      </c>
      <c r="E125" s="59">
        <f t="shared" si="10"/>
        <v>0.4923611111</v>
      </c>
      <c r="F125" s="64" t="s">
        <v>134</v>
      </c>
      <c r="G125" s="65">
        <f t="shared" si="11"/>
        <v>0.1381944444</v>
      </c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2">
        <v>19.0</v>
      </c>
      <c r="B126" s="62" t="s">
        <v>130</v>
      </c>
      <c r="C126" s="58">
        <v>0.37083333333333335</v>
      </c>
      <c r="D126" s="58">
        <v>0.8645833333333334</v>
      </c>
      <c r="E126" s="59">
        <f t="shared" si="10"/>
        <v>0.49375</v>
      </c>
      <c r="F126" s="64" t="s">
        <v>134</v>
      </c>
      <c r="G126" s="65">
        <f t="shared" si="11"/>
        <v>0.1395833333</v>
      </c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2">
        <v>20.0</v>
      </c>
      <c r="B127" s="62" t="s">
        <v>131</v>
      </c>
      <c r="C127" s="58">
        <v>0.36875</v>
      </c>
      <c r="D127" s="58">
        <v>0.8506944444444444</v>
      </c>
      <c r="E127" s="59">
        <f t="shared" si="10"/>
        <v>0.4819444444</v>
      </c>
      <c r="F127" s="64" t="s">
        <v>134</v>
      </c>
      <c r="G127" s="65">
        <f t="shared" si="11"/>
        <v>0.1277777778</v>
      </c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2">
        <v>21.0</v>
      </c>
      <c r="B128" s="62" t="s">
        <v>132</v>
      </c>
      <c r="C128" s="58">
        <v>0.36944444444444446</v>
      </c>
      <c r="D128" s="58">
        <v>0.8486111111111111</v>
      </c>
      <c r="E128" s="59">
        <f t="shared" si="10"/>
        <v>0.4791666667</v>
      </c>
      <c r="F128" s="64" t="s">
        <v>134</v>
      </c>
      <c r="G128" s="65">
        <f t="shared" si="11"/>
        <v>0.125</v>
      </c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2">
        <v>22.0</v>
      </c>
      <c r="B129" s="62" t="s">
        <v>126</v>
      </c>
      <c r="C129" s="57"/>
      <c r="D129" s="57"/>
      <c r="E129" s="59"/>
      <c r="F129" s="60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2">
        <v>24.0</v>
      </c>
      <c r="B130" s="62" t="s">
        <v>128</v>
      </c>
      <c r="C130" s="58">
        <v>0.1701388888888889</v>
      </c>
      <c r="D130" s="58">
        <v>0.8388888888888889</v>
      </c>
      <c r="E130" s="59">
        <f t="shared" ref="E130:E134" si="12">D130-C130</f>
        <v>0.66875</v>
      </c>
      <c r="F130" s="64" t="s">
        <v>134</v>
      </c>
      <c r="G130" s="65">
        <f t="shared" ref="G130:G134" si="13">E130-F130</f>
        <v>0.3145833333</v>
      </c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2">
        <v>25.0</v>
      </c>
      <c r="B131" s="62" t="s">
        <v>129</v>
      </c>
      <c r="C131" s="58">
        <v>0.36944444444444446</v>
      </c>
      <c r="D131" s="58">
        <v>0.8333333333333334</v>
      </c>
      <c r="E131" s="59">
        <f t="shared" si="12"/>
        <v>0.4638888889</v>
      </c>
      <c r="F131" s="64" t="s">
        <v>134</v>
      </c>
      <c r="G131" s="65">
        <f t="shared" si="13"/>
        <v>0.1097222222</v>
      </c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2">
        <v>26.0</v>
      </c>
      <c r="B132" s="62" t="s">
        <v>130</v>
      </c>
      <c r="C132" s="58">
        <v>0.3659722222222222</v>
      </c>
      <c r="D132" s="58">
        <v>0.8590277777777777</v>
      </c>
      <c r="E132" s="59">
        <f t="shared" si="12"/>
        <v>0.4930555556</v>
      </c>
      <c r="F132" s="64" t="s">
        <v>134</v>
      </c>
      <c r="G132" s="65">
        <f t="shared" si="13"/>
        <v>0.1388888889</v>
      </c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2">
        <v>27.0</v>
      </c>
      <c r="B133" s="62" t="s">
        <v>131</v>
      </c>
      <c r="C133" s="58">
        <v>0.36944444444444446</v>
      </c>
      <c r="D133" s="58">
        <v>0.8006944444444445</v>
      </c>
      <c r="E133" s="59">
        <f t="shared" si="12"/>
        <v>0.43125</v>
      </c>
      <c r="F133" s="64" t="s">
        <v>134</v>
      </c>
      <c r="G133" s="65">
        <f t="shared" si="13"/>
        <v>0.07708333333</v>
      </c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2">
        <v>28.0</v>
      </c>
      <c r="B134" s="62" t="s">
        <v>132</v>
      </c>
      <c r="C134" s="58">
        <v>0.36944444444444446</v>
      </c>
      <c r="D134" s="58">
        <v>0.875</v>
      </c>
      <c r="E134" s="59">
        <f t="shared" si="12"/>
        <v>0.5055555556</v>
      </c>
      <c r="F134" s="64" t="s">
        <v>134</v>
      </c>
      <c r="G134" s="65">
        <f t="shared" si="13"/>
        <v>0.1513888889</v>
      </c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2">
        <v>29.0</v>
      </c>
      <c r="B135" s="62" t="s">
        <v>126</v>
      </c>
      <c r="C135" s="57"/>
      <c r="D135" s="57"/>
      <c r="E135" s="59"/>
      <c r="F135" s="60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1"/>
      <c r="B136" s="61"/>
      <c r="C136" s="57"/>
      <c r="D136" s="57"/>
      <c r="E136" s="59"/>
      <c r="F136" s="60"/>
      <c r="G136" s="66">
        <f>G124+G125+G126+G127+G128+G130+G131+G132+G133+G134</f>
        <v>1.666666667</v>
      </c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1"/>
      <c r="B137" s="61"/>
      <c r="C137" s="57"/>
      <c r="D137" s="57"/>
      <c r="E137" s="59"/>
      <c r="F137" s="60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1"/>
      <c r="B138" s="61"/>
      <c r="C138" s="57"/>
      <c r="D138" s="57"/>
      <c r="E138" s="59"/>
      <c r="F138" s="60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1"/>
      <c r="B139" s="61"/>
      <c r="C139" s="57"/>
      <c r="D139" s="57"/>
      <c r="E139" s="59"/>
      <c r="F139" s="60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1"/>
      <c r="B140" s="61"/>
      <c r="C140" s="57"/>
      <c r="D140" s="57"/>
      <c r="E140" s="59"/>
      <c r="F140" s="60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1"/>
      <c r="B141" s="61"/>
      <c r="C141" s="57"/>
      <c r="D141" s="57"/>
      <c r="E141" s="59"/>
      <c r="F141" s="60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1"/>
      <c r="B142" s="61"/>
      <c r="C142" s="57"/>
      <c r="D142" s="57"/>
      <c r="E142" s="59"/>
      <c r="F142" s="60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1"/>
      <c r="B143" s="61"/>
      <c r="C143" s="57"/>
      <c r="D143" s="57"/>
      <c r="E143" s="59"/>
      <c r="F143" s="60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1"/>
      <c r="B144" s="61"/>
      <c r="C144" s="57"/>
      <c r="D144" s="57"/>
      <c r="E144" s="59"/>
      <c r="F144" s="60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1"/>
      <c r="B145" s="61"/>
      <c r="C145" s="57"/>
      <c r="D145" s="57"/>
      <c r="E145" s="59"/>
      <c r="F145" s="60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1"/>
      <c r="B146" s="61"/>
      <c r="C146" s="57"/>
      <c r="D146" s="57"/>
      <c r="E146" s="59"/>
      <c r="F146" s="60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1"/>
      <c r="B147" s="61"/>
      <c r="C147" s="57"/>
      <c r="D147" s="57"/>
      <c r="E147" s="59"/>
      <c r="F147" s="60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1"/>
      <c r="B148" s="61"/>
      <c r="C148" s="57"/>
      <c r="D148" s="57"/>
      <c r="E148" s="59"/>
      <c r="F148" s="60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1"/>
      <c r="B149" s="61"/>
      <c r="C149" s="57"/>
      <c r="D149" s="57"/>
      <c r="E149" s="59"/>
      <c r="F149" s="60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1"/>
      <c r="B150" s="61"/>
      <c r="C150" s="57"/>
      <c r="D150" s="57"/>
      <c r="E150" s="59"/>
      <c r="F150" s="60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1"/>
      <c r="B151" s="61"/>
      <c r="C151" s="57"/>
      <c r="D151" s="57"/>
      <c r="E151" s="59"/>
      <c r="F151" s="60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1"/>
      <c r="B152" s="61"/>
      <c r="C152" s="57"/>
      <c r="D152" s="57"/>
      <c r="E152" s="59"/>
      <c r="F152" s="60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1"/>
      <c r="B153" s="61"/>
      <c r="C153" s="57"/>
      <c r="D153" s="57"/>
      <c r="E153" s="59"/>
      <c r="F153" s="60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1"/>
      <c r="B154" s="61"/>
      <c r="C154" s="57"/>
      <c r="D154" s="57"/>
      <c r="E154" s="59"/>
      <c r="F154" s="60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1"/>
      <c r="B155" s="61"/>
      <c r="C155" s="57"/>
      <c r="D155" s="57"/>
      <c r="E155" s="59"/>
      <c r="F155" s="60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1"/>
      <c r="B156" s="61"/>
      <c r="C156" s="57"/>
      <c r="D156" s="57"/>
      <c r="E156" s="59"/>
      <c r="F156" s="60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1"/>
      <c r="B157" s="61"/>
      <c r="C157" s="57"/>
      <c r="D157" s="57"/>
      <c r="E157" s="59"/>
      <c r="F157" s="60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1"/>
      <c r="B158" s="61"/>
      <c r="C158" s="57"/>
      <c r="D158" s="57"/>
      <c r="E158" s="59"/>
      <c r="F158" s="60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1"/>
      <c r="B159" s="61"/>
      <c r="C159" s="57"/>
      <c r="D159" s="57"/>
      <c r="E159" s="59"/>
      <c r="F159" s="60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1"/>
      <c r="B160" s="61"/>
      <c r="C160" s="57"/>
      <c r="D160" s="57"/>
      <c r="E160" s="59"/>
      <c r="F160" s="60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1"/>
      <c r="B161" s="61"/>
      <c r="C161" s="57"/>
      <c r="D161" s="57"/>
      <c r="E161" s="59"/>
      <c r="F161" s="60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1"/>
      <c r="B162" s="61"/>
      <c r="C162" s="57"/>
      <c r="D162" s="57"/>
      <c r="E162" s="59"/>
      <c r="F162" s="60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1"/>
      <c r="B163" s="61"/>
      <c r="C163" s="57"/>
      <c r="D163" s="57"/>
      <c r="E163" s="59"/>
      <c r="F163" s="60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1"/>
      <c r="B164" s="61"/>
      <c r="C164" s="57"/>
      <c r="D164" s="57"/>
      <c r="E164" s="59"/>
      <c r="F164" s="60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1"/>
      <c r="B165" s="61"/>
      <c r="C165" s="57"/>
      <c r="D165" s="57"/>
      <c r="E165" s="59"/>
      <c r="F165" s="60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1"/>
      <c r="B166" s="61"/>
      <c r="C166" s="57"/>
      <c r="D166" s="57"/>
      <c r="E166" s="59"/>
      <c r="F166" s="60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1"/>
      <c r="B167" s="61"/>
      <c r="C167" s="57"/>
      <c r="D167" s="57"/>
      <c r="E167" s="59"/>
      <c r="F167" s="60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1"/>
      <c r="B168" s="61"/>
      <c r="C168" s="57"/>
      <c r="D168" s="57"/>
      <c r="E168" s="59"/>
      <c r="F168" s="60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1"/>
      <c r="B169" s="61"/>
      <c r="C169" s="57"/>
      <c r="D169" s="57"/>
      <c r="E169" s="59"/>
      <c r="F169" s="60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1"/>
      <c r="B170" s="61"/>
      <c r="C170" s="57"/>
      <c r="D170" s="57"/>
      <c r="E170" s="59"/>
      <c r="F170" s="60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1"/>
      <c r="B171" s="61"/>
      <c r="C171" s="57"/>
      <c r="D171" s="57"/>
      <c r="E171" s="59"/>
      <c r="F171" s="60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1"/>
      <c r="B172" s="61"/>
      <c r="C172" s="57"/>
      <c r="D172" s="57"/>
      <c r="E172" s="59"/>
      <c r="F172" s="60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1"/>
      <c r="B173" s="61"/>
      <c r="C173" s="57"/>
      <c r="D173" s="57"/>
      <c r="E173" s="59"/>
      <c r="F173" s="60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1"/>
      <c r="B174" s="61"/>
      <c r="C174" s="57"/>
      <c r="D174" s="57"/>
      <c r="E174" s="59"/>
      <c r="F174" s="60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1"/>
      <c r="B175" s="61"/>
      <c r="C175" s="57"/>
      <c r="D175" s="57"/>
      <c r="E175" s="59"/>
      <c r="F175" s="60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1"/>
      <c r="B176" s="61"/>
      <c r="C176" s="57"/>
      <c r="D176" s="57"/>
      <c r="E176" s="59"/>
      <c r="F176" s="60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1"/>
      <c r="B177" s="61"/>
      <c r="C177" s="57"/>
      <c r="D177" s="57"/>
      <c r="E177" s="59"/>
      <c r="F177" s="60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1"/>
      <c r="B178" s="61"/>
      <c r="C178" s="57"/>
      <c r="D178" s="57"/>
      <c r="E178" s="59"/>
      <c r="F178" s="60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1"/>
      <c r="B179" s="61"/>
      <c r="C179" s="57"/>
      <c r="D179" s="57"/>
      <c r="E179" s="59"/>
      <c r="F179" s="60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1"/>
      <c r="B180" s="61"/>
      <c r="C180" s="57"/>
      <c r="D180" s="57"/>
      <c r="E180" s="59"/>
      <c r="F180" s="60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1"/>
      <c r="B181" s="61"/>
      <c r="C181" s="57"/>
      <c r="D181" s="57"/>
      <c r="E181" s="59"/>
      <c r="F181" s="60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1"/>
      <c r="B182" s="61"/>
      <c r="C182" s="57"/>
      <c r="D182" s="57"/>
      <c r="E182" s="59"/>
      <c r="F182" s="60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1"/>
      <c r="B183" s="61"/>
      <c r="C183" s="57"/>
      <c r="D183" s="57"/>
      <c r="E183" s="59"/>
      <c r="F183" s="60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1"/>
      <c r="B184" s="61"/>
      <c r="C184" s="57"/>
      <c r="D184" s="57"/>
      <c r="E184" s="59"/>
      <c r="F184" s="60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1"/>
      <c r="B185" s="61"/>
      <c r="C185" s="57"/>
      <c r="D185" s="57"/>
      <c r="E185" s="59"/>
      <c r="F185" s="60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1"/>
      <c r="B186" s="61"/>
      <c r="C186" s="57"/>
      <c r="D186" s="57"/>
      <c r="E186" s="59"/>
      <c r="F186" s="60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1"/>
      <c r="B187" s="61"/>
      <c r="C187" s="57"/>
      <c r="D187" s="57"/>
      <c r="E187" s="59"/>
      <c r="F187" s="60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1"/>
      <c r="B188" s="61"/>
      <c r="C188" s="57"/>
      <c r="D188" s="57"/>
      <c r="E188" s="59"/>
      <c r="F188" s="60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1"/>
      <c r="B189" s="61"/>
      <c r="C189" s="57"/>
      <c r="D189" s="57"/>
      <c r="E189" s="59"/>
      <c r="F189" s="60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1"/>
      <c r="B190" s="61"/>
      <c r="C190" s="57"/>
      <c r="D190" s="57"/>
      <c r="E190" s="59"/>
      <c r="F190" s="60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1"/>
      <c r="B191" s="61"/>
      <c r="C191" s="57"/>
      <c r="D191" s="57"/>
      <c r="E191" s="59"/>
      <c r="F191" s="60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1"/>
      <c r="B192" s="61"/>
      <c r="C192" s="57"/>
      <c r="D192" s="57"/>
      <c r="E192" s="59"/>
      <c r="F192" s="60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1"/>
      <c r="B193" s="61"/>
      <c r="C193" s="57"/>
      <c r="D193" s="57"/>
      <c r="E193" s="59"/>
      <c r="F193" s="60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1"/>
      <c r="B194" s="61"/>
      <c r="C194" s="57"/>
      <c r="D194" s="57"/>
      <c r="E194" s="59"/>
      <c r="F194" s="60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1"/>
      <c r="B195" s="61"/>
      <c r="C195" s="57"/>
      <c r="D195" s="57"/>
      <c r="E195" s="59"/>
      <c r="F195" s="60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1"/>
      <c r="B196" s="61"/>
      <c r="C196" s="57"/>
      <c r="D196" s="57"/>
      <c r="E196" s="59"/>
      <c r="F196" s="60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1"/>
      <c r="B197" s="61"/>
      <c r="C197" s="57"/>
      <c r="D197" s="57"/>
      <c r="E197" s="59"/>
      <c r="F197" s="60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1"/>
      <c r="B198" s="61"/>
      <c r="C198" s="57"/>
      <c r="D198" s="57"/>
      <c r="E198" s="59"/>
      <c r="F198" s="60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1"/>
      <c r="B199" s="61"/>
      <c r="C199" s="57"/>
      <c r="D199" s="57"/>
      <c r="E199" s="59"/>
      <c r="F199" s="60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1"/>
      <c r="B200" s="61"/>
      <c r="C200" s="57"/>
      <c r="D200" s="57"/>
      <c r="E200" s="59"/>
      <c r="F200" s="60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1"/>
      <c r="B201" s="61"/>
      <c r="C201" s="57"/>
      <c r="D201" s="57"/>
      <c r="E201" s="59"/>
      <c r="F201" s="60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1"/>
      <c r="B202" s="61"/>
      <c r="C202" s="57"/>
      <c r="D202" s="57"/>
      <c r="E202" s="59"/>
      <c r="F202" s="60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1"/>
      <c r="B203" s="61"/>
      <c r="C203" s="57"/>
      <c r="D203" s="57"/>
      <c r="E203" s="59"/>
      <c r="F203" s="60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1"/>
      <c r="B204" s="61"/>
      <c r="C204" s="57"/>
      <c r="D204" s="57"/>
      <c r="E204" s="59"/>
      <c r="F204" s="60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1"/>
      <c r="B205" s="61"/>
      <c r="C205" s="57"/>
      <c r="D205" s="57"/>
      <c r="E205" s="59"/>
      <c r="F205" s="60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1"/>
      <c r="B206" s="61"/>
      <c r="C206" s="57"/>
      <c r="D206" s="57"/>
      <c r="E206" s="59"/>
      <c r="F206" s="60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1"/>
      <c r="B207" s="61"/>
      <c r="C207" s="57"/>
      <c r="D207" s="57"/>
      <c r="E207" s="59"/>
      <c r="F207" s="60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1"/>
      <c r="B208" s="61"/>
      <c r="C208" s="57"/>
      <c r="D208" s="57"/>
      <c r="E208" s="59"/>
      <c r="F208" s="60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1"/>
      <c r="B209" s="61"/>
      <c r="C209" s="57"/>
      <c r="D209" s="57"/>
      <c r="E209" s="59"/>
      <c r="F209" s="60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1"/>
      <c r="B210" s="61"/>
      <c r="C210" s="57"/>
      <c r="D210" s="57"/>
      <c r="E210" s="59"/>
      <c r="F210" s="60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1"/>
      <c r="B211" s="61"/>
      <c r="C211" s="57"/>
      <c r="D211" s="57"/>
      <c r="E211" s="59"/>
      <c r="F211" s="60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1"/>
      <c r="B212" s="61"/>
      <c r="C212" s="57"/>
      <c r="D212" s="57"/>
      <c r="E212" s="59"/>
      <c r="F212" s="60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1"/>
      <c r="B213" s="61"/>
      <c r="C213" s="57"/>
      <c r="D213" s="57"/>
      <c r="E213" s="59"/>
      <c r="F213" s="60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1"/>
      <c r="B214" s="61"/>
      <c r="C214" s="57"/>
      <c r="D214" s="57"/>
      <c r="E214" s="59"/>
      <c r="F214" s="60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1"/>
      <c r="B215" s="61"/>
      <c r="C215" s="57"/>
      <c r="D215" s="57"/>
      <c r="E215" s="59"/>
      <c r="F215" s="60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1"/>
      <c r="B216" s="61"/>
      <c r="C216" s="57"/>
      <c r="D216" s="57"/>
      <c r="E216" s="59"/>
      <c r="F216" s="60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1"/>
      <c r="B217" s="61"/>
      <c r="C217" s="57"/>
      <c r="D217" s="57"/>
      <c r="E217" s="59"/>
      <c r="F217" s="60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1"/>
      <c r="B218" s="61"/>
      <c r="C218" s="57"/>
      <c r="D218" s="57"/>
      <c r="E218" s="59"/>
      <c r="F218" s="60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1"/>
      <c r="B219" s="61"/>
      <c r="C219" s="57"/>
      <c r="D219" s="57"/>
      <c r="E219" s="59"/>
      <c r="F219" s="60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1"/>
      <c r="B220" s="61"/>
      <c r="C220" s="57"/>
      <c r="D220" s="57"/>
      <c r="E220" s="59"/>
      <c r="F220" s="60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1"/>
      <c r="B221" s="61"/>
      <c r="C221" s="57"/>
      <c r="D221" s="57"/>
      <c r="E221" s="59"/>
      <c r="F221" s="60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1"/>
      <c r="B222" s="61"/>
      <c r="C222" s="57"/>
      <c r="D222" s="57"/>
      <c r="E222" s="59"/>
      <c r="F222" s="60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1"/>
      <c r="B223" s="61"/>
      <c r="C223" s="57"/>
      <c r="D223" s="57"/>
      <c r="E223" s="59"/>
      <c r="F223" s="60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1"/>
      <c r="B224" s="61"/>
      <c r="C224" s="57"/>
      <c r="D224" s="57"/>
      <c r="E224" s="59"/>
      <c r="F224" s="60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1"/>
      <c r="B225" s="61"/>
      <c r="C225" s="57"/>
      <c r="D225" s="57"/>
      <c r="E225" s="59"/>
      <c r="F225" s="60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1"/>
      <c r="B226" s="61"/>
      <c r="C226" s="57"/>
      <c r="D226" s="57"/>
      <c r="E226" s="59"/>
      <c r="F226" s="60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1"/>
      <c r="B227" s="61"/>
      <c r="C227" s="57"/>
      <c r="D227" s="57"/>
      <c r="E227" s="59"/>
      <c r="F227" s="60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1"/>
      <c r="B228" s="61"/>
      <c r="C228" s="57"/>
      <c r="D228" s="57"/>
      <c r="E228" s="59"/>
      <c r="F228" s="60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1"/>
      <c r="B229" s="61"/>
      <c r="C229" s="57"/>
      <c r="D229" s="57"/>
      <c r="E229" s="59"/>
      <c r="F229" s="60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1"/>
      <c r="B230" s="61"/>
      <c r="C230" s="57"/>
      <c r="D230" s="57"/>
      <c r="E230" s="59"/>
      <c r="F230" s="60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1"/>
      <c r="B231" s="61"/>
      <c r="C231" s="57"/>
      <c r="D231" s="57"/>
      <c r="E231" s="59"/>
      <c r="F231" s="60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1"/>
      <c r="B232" s="61"/>
      <c r="C232" s="57"/>
      <c r="D232" s="57"/>
      <c r="E232" s="59"/>
      <c r="F232" s="60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1"/>
      <c r="B233" s="61"/>
      <c r="C233" s="57"/>
      <c r="D233" s="57"/>
      <c r="E233" s="59"/>
      <c r="F233" s="60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1"/>
      <c r="B234" s="61"/>
      <c r="C234" s="57"/>
      <c r="D234" s="57"/>
      <c r="E234" s="59"/>
      <c r="F234" s="60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1"/>
      <c r="B235" s="61"/>
      <c r="C235" s="57"/>
      <c r="D235" s="57"/>
      <c r="E235" s="59"/>
      <c r="F235" s="60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1"/>
      <c r="B236" s="61"/>
      <c r="C236" s="57"/>
      <c r="D236" s="57"/>
      <c r="E236" s="59"/>
      <c r="F236" s="60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1"/>
      <c r="B237" s="61"/>
      <c r="C237" s="57"/>
      <c r="D237" s="57"/>
      <c r="E237" s="59"/>
      <c r="F237" s="60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1"/>
      <c r="B238" s="61"/>
      <c r="C238" s="57"/>
      <c r="D238" s="57"/>
      <c r="E238" s="59"/>
      <c r="F238" s="60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1"/>
      <c r="B239" s="61"/>
      <c r="C239" s="57"/>
      <c r="D239" s="57"/>
      <c r="E239" s="59"/>
      <c r="F239" s="60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1"/>
      <c r="B240" s="61"/>
      <c r="C240" s="57"/>
      <c r="D240" s="57"/>
      <c r="E240" s="59"/>
      <c r="F240" s="60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1"/>
      <c r="B241" s="61"/>
      <c r="C241" s="57"/>
      <c r="D241" s="57"/>
      <c r="E241" s="59"/>
      <c r="F241" s="60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1"/>
      <c r="B242" s="61"/>
      <c r="C242" s="57"/>
      <c r="D242" s="57"/>
      <c r="E242" s="59"/>
      <c r="F242" s="60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1"/>
      <c r="B243" s="61"/>
      <c r="C243" s="57"/>
      <c r="D243" s="57"/>
      <c r="E243" s="59"/>
      <c r="F243" s="60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1"/>
      <c r="B244" s="61"/>
      <c r="C244" s="57"/>
      <c r="D244" s="57"/>
      <c r="E244" s="59"/>
      <c r="F244" s="60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1"/>
      <c r="B245" s="61"/>
      <c r="C245" s="57"/>
      <c r="D245" s="57"/>
      <c r="E245" s="59"/>
      <c r="F245" s="60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1"/>
      <c r="B246" s="61"/>
      <c r="C246" s="57"/>
      <c r="D246" s="57"/>
      <c r="E246" s="59"/>
      <c r="F246" s="60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1"/>
      <c r="B247" s="61"/>
      <c r="C247" s="57"/>
      <c r="D247" s="57"/>
      <c r="E247" s="59"/>
      <c r="F247" s="60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1"/>
      <c r="B248" s="61"/>
      <c r="C248" s="57"/>
      <c r="D248" s="57"/>
      <c r="E248" s="59"/>
      <c r="F248" s="60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1"/>
      <c r="B249" s="61"/>
      <c r="C249" s="57"/>
      <c r="D249" s="57"/>
      <c r="E249" s="59"/>
      <c r="F249" s="60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1"/>
      <c r="B250" s="61"/>
      <c r="C250" s="57"/>
      <c r="D250" s="57"/>
      <c r="E250" s="59"/>
      <c r="F250" s="60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1"/>
      <c r="B251" s="61"/>
      <c r="C251" s="57"/>
      <c r="D251" s="57"/>
      <c r="E251" s="59"/>
      <c r="F251" s="60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1"/>
      <c r="B252" s="61"/>
      <c r="C252" s="57"/>
      <c r="D252" s="57"/>
      <c r="E252" s="59"/>
      <c r="F252" s="60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1"/>
      <c r="B253" s="61"/>
      <c r="C253" s="57"/>
      <c r="D253" s="57"/>
      <c r="E253" s="59"/>
      <c r="F253" s="60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1"/>
      <c r="B254" s="61"/>
      <c r="C254" s="57"/>
      <c r="D254" s="57"/>
      <c r="E254" s="59"/>
      <c r="F254" s="60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1"/>
      <c r="B255" s="61"/>
      <c r="C255" s="57"/>
      <c r="D255" s="57"/>
      <c r="E255" s="59"/>
      <c r="F255" s="60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1"/>
      <c r="B256" s="61"/>
      <c r="C256" s="57"/>
      <c r="D256" s="57"/>
      <c r="E256" s="59"/>
      <c r="F256" s="60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1"/>
      <c r="B257" s="61"/>
      <c r="C257" s="57"/>
      <c r="D257" s="57"/>
      <c r="E257" s="59"/>
      <c r="F257" s="60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1"/>
      <c r="B258" s="61"/>
      <c r="C258" s="57"/>
      <c r="D258" s="57"/>
      <c r="E258" s="59"/>
      <c r="F258" s="60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1"/>
      <c r="B259" s="61"/>
      <c r="C259" s="57"/>
      <c r="D259" s="57"/>
      <c r="E259" s="59"/>
      <c r="F259" s="60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1"/>
      <c r="B260" s="61"/>
      <c r="C260" s="57"/>
      <c r="D260" s="57"/>
      <c r="E260" s="59"/>
      <c r="F260" s="60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1"/>
      <c r="B261" s="61"/>
      <c r="C261" s="57"/>
      <c r="D261" s="57"/>
      <c r="E261" s="59"/>
      <c r="F261" s="60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1"/>
      <c r="B262" s="61"/>
      <c r="C262" s="57"/>
      <c r="D262" s="57"/>
      <c r="E262" s="59"/>
      <c r="F262" s="60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1"/>
      <c r="B263" s="61"/>
      <c r="C263" s="57"/>
      <c r="D263" s="57"/>
      <c r="E263" s="59"/>
      <c r="F263" s="60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1"/>
      <c r="B264" s="61"/>
      <c r="C264" s="57"/>
      <c r="D264" s="57"/>
      <c r="E264" s="59"/>
      <c r="F264" s="60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1"/>
      <c r="B265" s="61"/>
      <c r="C265" s="57"/>
      <c r="D265" s="57"/>
      <c r="E265" s="59"/>
      <c r="F265" s="60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1"/>
      <c r="B266" s="61"/>
      <c r="C266" s="57"/>
      <c r="D266" s="57"/>
      <c r="E266" s="59"/>
      <c r="F266" s="60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1"/>
      <c r="B267" s="61"/>
      <c r="C267" s="57"/>
      <c r="D267" s="57"/>
      <c r="E267" s="59"/>
      <c r="F267" s="60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1"/>
      <c r="B268" s="61"/>
      <c r="C268" s="57"/>
      <c r="D268" s="57"/>
      <c r="E268" s="59"/>
      <c r="F268" s="60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1"/>
      <c r="B269" s="61"/>
      <c r="C269" s="57"/>
      <c r="D269" s="57"/>
      <c r="E269" s="59"/>
      <c r="F269" s="60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1"/>
      <c r="B270" s="61"/>
      <c r="C270" s="57"/>
      <c r="D270" s="57"/>
      <c r="E270" s="59"/>
      <c r="F270" s="60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1"/>
      <c r="B271" s="61"/>
      <c r="C271" s="57"/>
      <c r="D271" s="57"/>
      <c r="E271" s="59"/>
      <c r="F271" s="60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1"/>
      <c r="B272" s="61"/>
      <c r="C272" s="57"/>
      <c r="D272" s="57"/>
      <c r="E272" s="59"/>
      <c r="F272" s="60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1"/>
      <c r="B273" s="61"/>
      <c r="C273" s="57"/>
      <c r="D273" s="57"/>
      <c r="E273" s="59"/>
      <c r="F273" s="60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1"/>
      <c r="B274" s="61"/>
      <c r="C274" s="57"/>
      <c r="D274" s="57"/>
      <c r="E274" s="59"/>
      <c r="F274" s="60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1"/>
      <c r="B275" s="61"/>
      <c r="C275" s="57"/>
      <c r="D275" s="57"/>
      <c r="E275" s="59"/>
      <c r="F275" s="60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1"/>
      <c r="B276" s="61"/>
      <c r="C276" s="57"/>
      <c r="D276" s="57"/>
      <c r="E276" s="59"/>
      <c r="F276" s="60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1"/>
      <c r="B277" s="61"/>
      <c r="C277" s="57"/>
      <c r="D277" s="57"/>
      <c r="E277" s="59"/>
      <c r="F277" s="60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1"/>
      <c r="B278" s="61"/>
      <c r="C278" s="57"/>
      <c r="D278" s="57"/>
      <c r="E278" s="59"/>
      <c r="F278" s="60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1"/>
      <c r="B279" s="61"/>
      <c r="C279" s="57"/>
      <c r="D279" s="57"/>
      <c r="E279" s="59"/>
      <c r="F279" s="60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1"/>
      <c r="B280" s="61"/>
      <c r="C280" s="57"/>
      <c r="D280" s="57"/>
      <c r="E280" s="59"/>
      <c r="F280" s="60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1"/>
      <c r="B281" s="61"/>
      <c r="C281" s="57"/>
      <c r="D281" s="57"/>
      <c r="E281" s="59"/>
      <c r="F281" s="60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1"/>
      <c r="B282" s="61"/>
      <c r="C282" s="57"/>
      <c r="D282" s="57"/>
      <c r="E282" s="59"/>
      <c r="F282" s="60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1"/>
      <c r="B283" s="61"/>
      <c r="C283" s="57"/>
      <c r="D283" s="57"/>
      <c r="E283" s="59"/>
      <c r="F283" s="60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1"/>
      <c r="B284" s="61"/>
      <c r="C284" s="57"/>
      <c r="D284" s="57"/>
      <c r="E284" s="59"/>
      <c r="F284" s="60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1"/>
      <c r="B285" s="61"/>
      <c r="C285" s="57"/>
      <c r="D285" s="57"/>
      <c r="E285" s="59"/>
      <c r="F285" s="60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1"/>
      <c r="B286" s="61"/>
      <c r="C286" s="57"/>
      <c r="D286" s="57"/>
      <c r="E286" s="59"/>
      <c r="F286" s="60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1"/>
      <c r="B287" s="61"/>
      <c r="C287" s="57"/>
      <c r="D287" s="57"/>
      <c r="E287" s="59"/>
      <c r="F287" s="60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1"/>
      <c r="B288" s="61"/>
      <c r="C288" s="57"/>
      <c r="D288" s="57"/>
      <c r="E288" s="59"/>
      <c r="F288" s="60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1"/>
      <c r="B289" s="61"/>
      <c r="C289" s="57"/>
      <c r="D289" s="57"/>
      <c r="E289" s="59"/>
      <c r="F289" s="60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1"/>
      <c r="B290" s="61"/>
      <c r="C290" s="57"/>
      <c r="D290" s="57"/>
      <c r="E290" s="59"/>
      <c r="F290" s="60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1"/>
      <c r="B291" s="61"/>
      <c r="C291" s="57"/>
      <c r="D291" s="57"/>
      <c r="E291" s="59"/>
      <c r="F291" s="60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1"/>
      <c r="B292" s="61"/>
      <c r="C292" s="57"/>
      <c r="D292" s="57"/>
      <c r="E292" s="59"/>
      <c r="F292" s="60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1"/>
      <c r="B293" s="61"/>
      <c r="C293" s="57"/>
      <c r="D293" s="57"/>
      <c r="E293" s="59"/>
      <c r="F293" s="60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1"/>
      <c r="B294" s="61"/>
      <c r="C294" s="57"/>
      <c r="D294" s="57"/>
      <c r="E294" s="59"/>
      <c r="F294" s="60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1"/>
      <c r="B295" s="61"/>
      <c r="C295" s="57"/>
      <c r="D295" s="57"/>
      <c r="E295" s="59"/>
      <c r="F295" s="60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1"/>
      <c r="B296" s="61"/>
      <c r="C296" s="57"/>
      <c r="D296" s="57"/>
      <c r="E296" s="59"/>
      <c r="F296" s="60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1"/>
      <c r="B297" s="61"/>
      <c r="C297" s="57"/>
      <c r="D297" s="57"/>
      <c r="E297" s="59"/>
      <c r="F297" s="60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1"/>
      <c r="B298" s="61"/>
      <c r="C298" s="57"/>
      <c r="D298" s="57"/>
      <c r="E298" s="59"/>
      <c r="F298" s="60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1"/>
      <c r="B299" s="61"/>
      <c r="C299" s="57"/>
      <c r="D299" s="57"/>
      <c r="E299" s="59"/>
      <c r="F299" s="60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1"/>
      <c r="B300" s="61"/>
      <c r="C300" s="57"/>
      <c r="D300" s="57"/>
      <c r="E300" s="59"/>
      <c r="F300" s="60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1"/>
      <c r="B301" s="61"/>
      <c r="C301" s="57"/>
      <c r="D301" s="57"/>
      <c r="E301" s="59"/>
      <c r="F301" s="60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1"/>
      <c r="B302" s="61"/>
      <c r="C302" s="57"/>
      <c r="D302" s="57"/>
      <c r="E302" s="59"/>
      <c r="F302" s="60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1"/>
      <c r="B303" s="61"/>
      <c r="C303" s="57"/>
      <c r="D303" s="57"/>
      <c r="E303" s="59"/>
      <c r="F303" s="60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1"/>
      <c r="B304" s="61"/>
      <c r="C304" s="57"/>
      <c r="D304" s="57"/>
      <c r="E304" s="59"/>
      <c r="F304" s="60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1"/>
      <c r="B305" s="61"/>
      <c r="C305" s="57"/>
      <c r="D305" s="57"/>
      <c r="E305" s="59"/>
      <c r="F305" s="60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1"/>
      <c r="B306" s="61"/>
      <c r="C306" s="57"/>
      <c r="D306" s="57"/>
      <c r="E306" s="59"/>
      <c r="F306" s="60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1"/>
      <c r="B307" s="61"/>
      <c r="C307" s="57"/>
      <c r="D307" s="57"/>
      <c r="E307" s="59"/>
      <c r="F307" s="60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1"/>
      <c r="B308" s="61"/>
      <c r="C308" s="57"/>
      <c r="D308" s="57"/>
      <c r="E308" s="59"/>
      <c r="F308" s="60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1"/>
      <c r="B309" s="61"/>
      <c r="C309" s="57"/>
      <c r="D309" s="57"/>
      <c r="E309" s="59"/>
      <c r="F309" s="60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1"/>
      <c r="B310" s="61"/>
      <c r="C310" s="57"/>
      <c r="D310" s="57"/>
      <c r="E310" s="59"/>
      <c r="F310" s="60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1"/>
      <c r="B311" s="61"/>
      <c r="C311" s="57"/>
      <c r="D311" s="57"/>
      <c r="E311" s="59"/>
      <c r="F311" s="60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1"/>
      <c r="B312" s="61"/>
      <c r="C312" s="57"/>
      <c r="D312" s="57"/>
      <c r="E312" s="59"/>
      <c r="F312" s="60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1"/>
      <c r="B313" s="61"/>
      <c r="C313" s="57"/>
      <c r="D313" s="57"/>
      <c r="E313" s="59"/>
      <c r="F313" s="60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1"/>
      <c r="B314" s="61"/>
      <c r="C314" s="57"/>
      <c r="D314" s="57"/>
      <c r="E314" s="59"/>
      <c r="F314" s="60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1"/>
      <c r="B315" s="61"/>
      <c r="C315" s="57"/>
      <c r="D315" s="57"/>
      <c r="E315" s="59"/>
      <c r="F315" s="60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1"/>
      <c r="B316" s="61"/>
      <c r="C316" s="57"/>
      <c r="D316" s="57"/>
      <c r="E316" s="59"/>
      <c r="F316" s="60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1"/>
      <c r="B317" s="61"/>
      <c r="C317" s="57"/>
      <c r="D317" s="57"/>
      <c r="E317" s="59"/>
      <c r="F317" s="60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1"/>
      <c r="B318" s="61"/>
      <c r="C318" s="57"/>
      <c r="D318" s="57"/>
      <c r="E318" s="59"/>
      <c r="F318" s="60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1"/>
      <c r="B319" s="61"/>
      <c r="C319" s="57"/>
      <c r="D319" s="57"/>
      <c r="E319" s="59"/>
      <c r="F319" s="60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1"/>
      <c r="B320" s="61"/>
      <c r="C320" s="57"/>
      <c r="D320" s="57"/>
      <c r="E320" s="59"/>
      <c r="F320" s="60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1"/>
      <c r="B321" s="61"/>
      <c r="C321" s="57"/>
      <c r="D321" s="57"/>
      <c r="E321" s="59"/>
      <c r="F321" s="60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1"/>
      <c r="B322" s="61"/>
      <c r="C322" s="57"/>
      <c r="D322" s="57"/>
      <c r="E322" s="59"/>
      <c r="F322" s="60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1"/>
      <c r="B323" s="61"/>
      <c r="C323" s="57"/>
      <c r="D323" s="57"/>
      <c r="E323" s="59"/>
      <c r="F323" s="60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1"/>
      <c r="B324" s="61"/>
      <c r="C324" s="57"/>
      <c r="D324" s="57"/>
      <c r="E324" s="59"/>
      <c r="F324" s="60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1"/>
      <c r="B325" s="61"/>
      <c r="C325" s="57"/>
      <c r="D325" s="57"/>
      <c r="E325" s="59"/>
      <c r="F325" s="60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1"/>
      <c r="B326" s="61"/>
      <c r="C326" s="57"/>
      <c r="D326" s="57"/>
      <c r="E326" s="59"/>
      <c r="F326" s="60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1"/>
      <c r="B327" s="61"/>
      <c r="C327" s="57"/>
      <c r="D327" s="57"/>
      <c r="E327" s="59"/>
      <c r="F327" s="60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1"/>
      <c r="B328" s="61"/>
      <c r="C328" s="57"/>
      <c r="D328" s="57"/>
      <c r="E328" s="59"/>
      <c r="F328" s="60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1"/>
      <c r="B329" s="61"/>
      <c r="C329" s="57"/>
      <c r="D329" s="57"/>
      <c r="E329" s="59"/>
      <c r="F329" s="60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1"/>
      <c r="B330" s="61"/>
      <c r="C330" s="57"/>
      <c r="D330" s="57"/>
      <c r="E330" s="59"/>
      <c r="F330" s="60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1"/>
      <c r="B331" s="61"/>
      <c r="C331" s="57"/>
      <c r="D331" s="57"/>
      <c r="E331" s="59"/>
      <c r="F331" s="60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1"/>
      <c r="B332" s="61"/>
      <c r="C332" s="57"/>
      <c r="D332" s="57"/>
      <c r="E332" s="59"/>
      <c r="F332" s="60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1"/>
      <c r="B333" s="61"/>
      <c r="C333" s="57"/>
      <c r="D333" s="57"/>
      <c r="E333" s="59"/>
      <c r="F333" s="60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1"/>
      <c r="B334" s="61"/>
      <c r="C334" s="57"/>
      <c r="D334" s="57"/>
      <c r="E334" s="59"/>
      <c r="F334" s="60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1"/>
      <c r="B335" s="61"/>
      <c r="C335" s="57"/>
      <c r="D335" s="57"/>
      <c r="E335" s="59"/>
      <c r="F335" s="60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1"/>
      <c r="B336" s="61"/>
      <c r="C336" s="57"/>
      <c r="D336" s="57"/>
      <c r="E336" s="59"/>
      <c r="F336" s="60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1"/>
      <c r="B337" s="61"/>
      <c r="C337" s="57"/>
      <c r="D337" s="57"/>
      <c r="E337" s="59"/>
      <c r="F337" s="60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1"/>
      <c r="B338" s="61"/>
      <c r="C338" s="57"/>
      <c r="D338" s="57"/>
      <c r="E338" s="59"/>
      <c r="F338" s="60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1"/>
      <c r="B339" s="61"/>
      <c r="C339" s="57"/>
      <c r="D339" s="57"/>
      <c r="E339" s="59"/>
      <c r="F339" s="60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1"/>
      <c r="B340" s="61"/>
      <c r="C340" s="57"/>
      <c r="D340" s="57"/>
      <c r="E340" s="59"/>
      <c r="F340" s="60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1"/>
      <c r="B341" s="61"/>
      <c r="C341" s="57"/>
      <c r="D341" s="57"/>
      <c r="E341" s="59"/>
      <c r="F341" s="60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1"/>
      <c r="B342" s="61"/>
      <c r="C342" s="57"/>
      <c r="D342" s="57"/>
      <c r="E342" s="59"/>
      <c r="F342" s="60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1"/>
      <c r="B343" s="61"/>
      <c r="C343" s="57"/>
      <c r="D343" s="57"/>
      <c r="E343" s="59"/>
      <c r="F343" s="60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1"/>
      <c r="B344" s="61"/>
      <c r="C344" s="57"/>
      <c r="D344" s="57"/>
      <c r="E344" s="59"/>
      <c r="F344" s="60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1"/>
      <c r="B345" s="61"/>
      <c r="C345" s="57"/>
      <c r="D345" s="57"/>
      <c r="E345" s="59"/>
      <c r="F345" s="60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1"/>
      <c r="B346" s="61"/>
      <c r="C346" s="57"/>
      <c r="D346" s="57"/>
      <c r="E346" s="59"/>
      <c r="F346" s="60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1"/>
      <c r="B347" s="61"/>
      <c r="C347" s="57"/>
      <c r="D347" s="57"/>
      <c r="E347" s="59"/>
      <c r="F347" s="60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1"/>
      <c r="B348" s="61"/>
      <c r="C348" s="57"/>
      <c r="D348" s="57"/>
      <c r="E348" s="59"/>
      <c r="F348" s="60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1"/>
      <c r="B349" s="61"/>
      <c r="C349" s="57"/>
      <c r="D349" s="57"/>
      <c r="E349" s="59"/>
      <c r="F349" s="60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1"/>
      <c r="B350" s="61"/>
      <c r="C350" s="57"/>
      <c r="D350" s="57"/>
      <c r="E350" s="59"/>
      <c r="F350" s="60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1"/>
      <c r="B351" s="61"/>
      <c r="C351" s="57"/>
      <c r="D351" s="57"/>
      <c r="E351" s="59"/>
      <c r="F351" s="60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1"/>
      <c r="B352" s="61"/>
      <c r="C352" s="57"/>
      <c r="D352" s="57"/>
      <c r="E352" s="59"/>
      <c r="F352" s="60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1"/>
      <c r="B353" s="61"/>
      <c r="C353" s="57"/>
      <c r="D353" s="57"/>
      <c r="E353" s="59"/>
      <c r="F353" s="60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1"/>
      <c r="B354" s="61"/>
      <c r="C354" s="57"/>
      <c r="D354" s="57"/>
      <c r="E354" s="59"/>
      <c r="F354" s="60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1"/>
      <c r="B355" s="61"/>
      <c r="C355" s="57"/>
      <c r="D355" s="57"/>
      <c r="E355" s="59"/>
      <c r="F355" s="60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1"/>
      <c r="B356" s="61"/>
      <c r="C356" s="57"/>
      <c r="D356" s="57"/>
      <c r="E356" s="59"/>
      <c r="F356" s="60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1"/>
      <c r="B357" s="61"/>
      <c r="C357" s="57"/>
      <c r="D357" s="57"/>
      <c r="E357" s="59"/>
      <c r="F357" s="60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1"/>
      <c r="B358" s="61"/>
      <c r="C358" s="57"/>
      <c r="D358" s="57"/>
      <c r="E358" s="59"/>
      <c r="F358" s="60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1"/>
      <c r="B359" s="61"/>
      <c r="C359" s="57"/>
      <c r="D359" s="57"/>
      <c r="E359" s="59"/>
      <c r="F359" s="60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1"/>
      <c r="B360" s="61"/>
      <c r="C360" s="57"/>
      <c r="D360" s="57"/>
      <c r="E360" s="59"/>
      <c r="F360" s="60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1"/>
      <c r="B361" s="61"/>
      <c r="C361" s="57"/>
      <c r="D361" s="57"/>
      <c r="E361" s="59"/>
      <c r="F361" s="60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1"/>
      <c r="B362" s="61"/>
      <c r="C362" s="57"/>
      <c r="D362" s="57"/>
      <c r="E362" s="59"/>
      <c r="F362" s="60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1"/>
      <c r="B363" s="61"/>
      <c r="C363" s="57"/>
      <c r="D363" s="57"/>
      <c r="E363" s="59"/>
      <c r="F363" s="60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1"/>
      <c r="B364" s="61"/>
      <c r="C364" s="57"/>
      <c r="D364" s="57"/>
      <c r="E364" s="59"/>
      <c r="F364" s="60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1"/>
      <c r="B365" s="61"/>
      <c r="C365" s="57"/>
      <c r="D365" s="57"/>
      <c r="E365" s="59"/>
      <c r="F365" s="60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1"/>
      <c r="B366" s="61"/>
      <c r="C366" s="57"/>
      <c r="D366" s="57"/>
      <c r="E366" s="59"/>
      <c r="F366" s="60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1"/>
      <c r="B367" s="61"/>
      <c r="C367" s="57"/>
      <c r="D367" s="57"/>
      <c r="E367" s="59"/>
      <c r="F367" s="60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1"/>
      <c r="B368" s="61"/>
      <c r="C368" s="57"/>
      <c r="D368" s="57"/>
      <c r="E368" s="59"/>
      <c r="F368" s="60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1"/>
      <c r="B369" s="61"/>
      <c r="C369" s="57"/>
      <c r="D369" s="57"/>
      <c r="E369" s="59"/>
      <c r="F369" s="60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1"/>
      <c r="B370" s="61"/>
      <c r="C370" s="57"/>
      <c r="D370" s="57"/>
      <c r="E370" s="59"/>
      <c r="F370" s="60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1"/>
      <c r="B371" s="61"/>
      <c r="C371" s="57"/>
      <c r="D371" s="57"/>
      <c r="E371" s="59"/>
      <c r="F371" s="60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1"/>
      <c r="B372" s="61"/>
      <c r="C372" s="57"/>
      <c r="D372" s="57"/>
      <c r="E372" s="59"/>
      <c r="F372" s="60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1"/>
      <c r="B373" s="61"/>
      <c r="C373" s="57"/>
      <c r="D373" s="57"/>
      <c r="E373" s="59"/>
      <c r="F373" s="60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1"/>
      <c r="B374" s="61"/>
      <c r="C374" s="57"/>
      <c r="D374" s="57"/>
      <c r="E374" s="59"/>
      <c r="F374" s="60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1"/>
      <c r="B375" s="61"/>
      <c r="C375" s="57"/>
      <c r="D375" s="57"/>
      <c r="E375" s="59"/>
      <c r="F375" s="60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1"/>
      <c r="B376" s="61"/>
      <c r="C376" s="57"/>
      <c r="D376" s="57"/>
      <c r="E376" s="59"/>
      <c r="F376" s="60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1"/>
      <c r="B377" s="61"/>
      <c r="C377" s="57"/>
      <c r="D377" s="57"/>
      <c r="E377" s="59"/>
      <c r="F377" s="60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1"/>
      <c r="B378" s="61"/>
      <c r="C378" s="57"/>
      <c r="D378" s="57"/>
      <c r="E378" s="59"/>
      <c r="F378" s="60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1"/>
      <c r="B379" s="61"/>
      <c r="C379" s="57"/>
      <c r="D379" s="57"/>
      <c r="E379" s="59"/>
      <c r="F379" s="60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1"/>
      <c r="B380" s="61"/>
      <c r="C380" s="57"/>
      <c r="D380" s="57"/>
      <c r="E380" s="59"/>
      <c r="F380" s="60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1"/>
      <c r="B381" s="61"/>
      <c r="C381" s="57"/>
      <c r="D381" s="57"/>
      <c r="E381" s="59"/>
      <c r="F381" s="60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1"/>
      <c r="B382" s="61"/>
      <c r="C382" s="57"/>
      <c r="D382" s="57"/>
      <c r="E382" s="59"/>
      <c r="F382" s="60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1"/>
      <c r="B383" s="61"/>
      <c r="C383" s="57"/>
      <c r="D383" s="57"/>
      <c r="E383" s="59"/>
      <c r="F383" s="60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1"/>
      <c r="B384" s="61"/>
      <c r="C384" s="57"/>
      <c r="D384" s="57"/>
      <c r="E384" s="59"/>
      <c r="F384" s="60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1"/>
      <c r="B385" s="61"/>
      <c r="C385" s="57"/>
      <c r="D385" s="57"/>
      <c r="E385" s="59"/>
      <c r="F385" s="60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1"/>
      <c r="B386" s="61"/>
      <c r="C386" s="57"/>
      <c r="D386" s="57"/>
      <c r="E386" s="59"/>
      <c r="F386" s="60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1"/>
      <c r="B387" s="61"/>
      <c r="C387" s="57"/>
      <c r="D387" s="57"/>
      <c r="E387" s="59"/>
      <c r="F387" s="60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1"/>
      <c r="B388" s="61"/>
      <c r="C388" s="57"/>
      <c r="D388" s="57"/>
      <c r="E388" s="59"/>
      <c r="F388" s="60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1"/>
      <c r="B389" s="61"/>
      <c r="C389" s="57"/>
      <c r="D389" s="57"/>
      <c r="E389" s="59"/>
      <c r="F389" s="60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1"/>
      <c r="B390" s="61"/>
      <c r="C390" s="57"/>
      <c r="D390" s="57"/>
      <c r="E390" s="59"/>
      <c r="F390" s="60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1"/>
      <c r="B391" s="61"/>
      <c r="C391" s="57"/>
      <c r="D391" s="57"/>
      <c r="E391" s="59"/>
      <c r="F391" s="60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1"/>
      <c r="B392" s="61"/>
      <c r="C392" s="57"/>
      <c r="D392" s="57"/>
      <c r="E392" s="59"/>
      <c r="F392" s="60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1"/>
      <c r="B393" s="61"/>
      <c r="C393" s="57"/>
      <c r="D393" s="57"/>
      <c r="E393" s="59"/>
      <c r="F393" s="60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1"/>
      <c r="B394" s="61"/>
      <c r="C394" s="57"/>
      <c r="D394" s="57"/>
      <c r="E394" s="59"/>
      <c r="F394" s="60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1"/>
      <c r="B395" s="61"/>
      <c r="C395" s="57"/>
      <c r="D395" s="57"/>
      <c r="E395" s="59"/>
      <c r="F395" s="60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1"/>
      <c r="B396" s="61"/>
      <c r="C396" s="57"/>
      <c r="D396" s="57"/>
      <c r="E396" s="59"/>
      <c r="F396" s="60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1"/>
      <c r="B397" s="61"/>
      <c r="C397" s="57"/>
      <c r="D397" s="57"/>
      <c r="E397" s="59"/>
      <c r="F397" s="60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1"/>
      <c r="B398" s="61"/>
      <c r="C398" s="57"/>
      <c r="D398" s="57"/>
      <c r="E398" s="59"/>
      <c r="F398" s="60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1"/>
      <c r="B399" s="61"/>
      <c r="C399" s="57"/>
      <c r="D399" s="57"/>
      <c r="E399" s="59"/>
      <c r="F399" s="60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1"/>
      <c r="B400" s="61"/>
      <c r="C400" s="57"/>
      <c r="D400" s="57"/>
      <c r="E400" s="59"/>
      <c r="F400" s="60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1"/>
      <c r="B401" s="61"/>
      <c r="C401" s="57"/>
      <c r="D401" s="57"/>
      <c r="E401" s="59"/>
      <c r="F401" s="60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1"/>
      <c r="B402" s="61"/>
      <c r="C402" s="57"/>
      <c r="D402" s="57"/>
      <c r="E402" s="59"/>
      <c r="F402" s="60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1"/>
      <c r="B403" s="61"/>
      <c r="C403" s="57"/>
      <c r="D403" s="57"/>
      <c r="E403" s="59"/>
      <c r="F403" s="60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1"/>
      <c r="B404" s="61"/>
      <c r="C404" s="57"/>
      <c r="D404" s="57"/>
      <c r="E404" s="59"/>
      <c r="F404" s="60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1"/>
      <c r="B405" s="61"/>
      <c r="C405" s="57"/>
      <c r="D405" s="57"/>
      <c r="E405" s="59"/>
      <c r="F405" s="60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1"/>
      <c r="B406" s="61"/>
      <c r="C406" s="57"/>
      <c r="D406" s="57"/>
      <c r="E406" s="59"/>
      <c r="F406" s="60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1"/>
      <c r="B407" s="61"/>
      <c r="C407" s="57"/>
      <c r="D407" s="57"/>
      <c r="E407" s="59"/>
      <c r="F407" s="60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1"/>
      <c r="B408" s="61"/>
      <c r="C408" s="57"/>
      <c r="D408" s="57"/>
      <c r="E408" s="59"/>
      <c r="F408" s="60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1"/>
      <c r="B409" s="61"/>
      <c r="C409" s="57"/>
      <c r="D409" s="57"/>
      <c r="E409" s="59"/>
      <c r="F409" s="60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1"/>
      <c r="B410" s="61"/>
      <c r="C410" s="57"/>
      <c r="D410" s="57"/>
      <c r="E410" s="59"/>
      <c r="F410" s="60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1"/>
      <c r="B411" s="61"/>
      <c r="C411" s="57"/>
      <c r="D411" s="57"/>
      <c r="E411" s="59"/>
      <c r="F411" s="60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1"/>
      <c r="B412" s="61"/>
      <c r="C412" s="57"/>
      <c r="D412" s="57"/>
      <c r="E412" s="59"/>
      <c r="F412" s="60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1"/>
      <c r="B413" s="61"/>
      <c r="C413" s="57"/>
      <c r="D413" s="57"/>
      <c r="E413" s="59"/>
      <c r="F413" s="60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1"/>
      <c r="B414" s="61"/>
      <c r="C414" s="57"/>
      <c r="D414" s="57"/>
      <c r="E414" s="59"/>
      <c r="F414" s="60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1"/>
      <c r="B415" s="61"/>
      <c r="C415" s="57"/>
      <c r="D415" s="57"/>
      <c r="E415" s="59"/>
      <c r="F415" s="60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1"/>
      <c r="B416" s="61"/>
      <c r="C416" s="57"/>
      <c r="D416" s="57"/>
      <c r="E416" s="59"/>
      <c r="F416" s="60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1"/>
      <c r="B417" s="61"/>
      <c r="C417" s="57"/>
      <c r="D417" s="57"/>
      <c r="E417" s="59"/>
      <c r="F417" s="60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1"/>
      <c r="B418" s="61"/>
      <c r="C418" s="57"/>
      <c r="D418" s="57"/>
      <c r="E418" s="59"/>
      <c r="F418" s="60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1"/>
      <c r="B419" s="61"/>
      <c r="C419" s="57"/>
      <c r="D419" s="57"/>
      <c r="E419" s="59"/>
      <c r="F419" s="60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1"/>
      <c r="B420" s="61"/>
      <c r="C420" s="57"/>
      <c r="D420" s="57"/>
      <c r="E420" s="59"/>
      <c r="F420" s="60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1"/>
      <c r="B421" s="61"/>
      <c r="C421" s="57"/>
      <c r="D421" s="57"/>
      <c r="E421" s="59"/>
      <c r="F421" s="60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1"/>
      <c r="B422" s="61"/>
      <c r="C422" s="57"/>
      <c r="D422" s="57"/>
      <c r="E422" s="59"/>
      <c r="F422" s="60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1"/>
      <c r="B423" s="61"/>
      <c r="C423" s="57"/>
      <c r="D423" s="57"/>
      <c r="E423" s="59"/>
      <c r="F423" s="60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1"/>
      <c r="B424" s="61"/>
      <c r="C424" s="57"/>
      <c r="D424" s="57"/>
      <c r="E424" s="59"/>
      <c r="F424" s="60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1"/>
      <c r="B425" s="61"/>
      <c r="C425" s="57"/>
      <c r="D425" s="57"/>
      <c r="E425" s="59"/>
      <c r="F425" s="60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1"/>
      <c r="B426" s="61"/>
      <c r="C426" s="57"/>
      <c r="D426" s="57"/>
      <c r="E426" s="59"/>
      <c r="F426" s="60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1"/>
      <c r="B427" s="61"/>
      <c r="C427" s="57"/>
      <c r="D427" s="57"/>
      <c r="E427" s="59"/>
      <c r="F427" s="60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1"/>
      <c r="B428" s="61"/>
      <c r="C428" s="57"/>
      <c r="D428" s="57"/>
      <c r="E428" s="59"/>
      <c r="F428" s="60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1"/>
      <c r="B429" s="61"/>
      <c r="C429" s="57"/>
      <c r="D429" s="57"/>
      <c r="E429" s="59"/>
      <c r="F429" s="60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1"/>
      <c r="B430" s="61"/>
      <c r="C430" s="57"/>
      <c r="D430" s="57"/>
      <c r="E430" s="59"/>
      <c r="F430" s="60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1"/>
      <c r="B431" s="61"/>
      <c r="C431" s="57"/>
      <c r="D431" s="57"/>
      <c r="E431" s="59"/>
      <c r="F431" s="60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1"/>
      <c r="B432" s="61"/>
      <c r="C432" s="57"/>
      <c r="D432" s="57"/>
      <c r="E432" s="59"/>
      <c r="F432" s="60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1"/>
      <c r="B433" s="61"/>
      <c r="C433" s="57"/>
      <c r="D433" s="57"/>
      <c r="E433" s="59"/>
      <c r="F433" s="60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1"/>
      <c r="B434" s="61"/>
      <c r="C434" s="57"/>
      <c r="D434" s="57"/>
      <c r="E434" s="59"/>
      <c r="F434" s="60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1"/>
      <c r="B435" s="61"/>
      <c r="C435" s="57"/>
      <c r="D435" s="57"/>
      <c r="E435" s="59"/>
      <c r="F435" s="60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1"/>
      <c r="B436" s="61"/>
      <c r="C436" s="57"/>
      <c r="D436" s="57"/>
      <c r="E436" s="59"/>
      <c r="F436" s="60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1"/>
      <c r="B437" s="61"/>
      <c r="C437" s="57"/>
      <c r="D437" s="57"/>
      <c r="E437" s="59"/>
      <c r="F437" s="60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1"/>
      <c r="B438" s="61"/>
      <c r="C438" s="57"/>
      <c r="D438" s="57"/>
      <c r="E438" s="59"/>
      <c r="F438" s="60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1"/>
      <c r="B439" s="61"/>
      <c r="C439" s="57"/>
      <c r="D439" s="57"/>
      <c r="E439" s="59"/>
      <c r="F439" s="60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1"/>
      <c r="B440" s="61"/>
      <c r="C440" s="57"/>
      <c r="D440" s="57"/>
      <c r="E440" s="59"/>
      <c r="F440" s="60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1"/>
      <c r="B441" s="61"/>
      <c r="C441" s="57"/>
      <c r="D441" s="57"/>
      <c r="E441" s="59"/>
      <c r="F441" s="60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1"/>
      <c r="B442" s="61"/>
      <c r="C442" s="57"/>
      <c r="D442" s="57"/>
      <c r="E442" s="59"/>
      <c r="F442" s="60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1"/>
      <c r="B443" s="61"/>
      <c r="C443" s="57"/>
      <c r="D443" s="57"/>
      <c r="E443" s="59"/>
      <c r="F443" s="60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1"/>
      <c r="B444" s="61"/>
      <c r="C444" s="57"/>
      <c r="D444" s="57"/>
      <c r="E444" s="59"/>
      <c r="F444" s="60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1"/>
      <c r="B445" s="61"/>
      <c r="C445" s="57"/>
      <c r="D445" s="57"/>
      <c r="E445" s="59"/>
      <c r="F445" s="60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1"/>
      <c r="B446" s="61"/>
      <c r="C446" s="57"/>
      <c r="D446" s="57"/>
      <c r="E446" s="59"/>
      <c r="F446" s="60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1"/>
      <c r="B447" s="61"/>
      <c r="C447" s="57"/>
      <c r="D447" s="57"/>
      <c r="E447" s="59"/>
      <c r="F447" s="60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1"/>
      <c r="B448" s="61"/>
      <c r="C448" s="57"/>
      <c r="D448" s="57"/>
      <c r="E448" s="59"/>
      <c r="F448" s="60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1"/>
      <c r="B449" s="61"/>
      <c r="C449" s="57"/>
      <c r="D449" s="57"/>
      <c r="E449" s="59"/>
      <c r="F449" s="60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1"/>
      <c r="B450" s="61"/>
      <c r="C450" s="57"/>
      <c r="D450" s="57"/>
      <c r="E450" s="59"/>
      <c r="F450" s="60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1"/>
      <c r="B451" s="61"/>
      <c r="C451" s="57"/>
      <c r="D451" s="57"/>
      <c r="E451" s="59"/>
      <c r="F451" s="60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1"/>
      <c r="B452" s="61"/>
      <c r="C452" s="57"/>
      <c r="D452" s="57"/>
      <c r="E452" s="59"/>
      <c r="F452" s="60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1"/>
      <c r="B453" s="61"/>
      <c r="C453" s="57"/>
      <c r="D453" s="57"/>
      <c r="E453" s="59"/>
      <c r="F453" s="60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1"/>
      <c r="B454" s="61"/>
      <c r="C454" s="57"/>
      <c r="D454" s="57"/>
      <c r="E454" s="59"/>
      <c r="F454" s="60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1"/>
      <c r="B455" s="61"/>
      <c r="C455" s="57"/>
      <c r="D455" s="57"/>
      <c r="E455" s="59"/>
      <c r="F455" s="60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1"/>
      <c r="B456" s="61"/>
      <c r="C456" s="57"/>
      <c r="D456" s="57"/>
      <c r="E456" s="59"/>
      <c r="F456" s="60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1"/>
      <c r="B457" s="61"/>
      <c r="C457" s="57"/>
      <c r="D457" s="57"/>
      <c r="E457" s="59"/>
      <c r="F457" s="60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1"/>
      <c r="B458" s="61"/>
      <c r="C458" s="57"/>
      <c r="D458" s="57"/>
      <c r="E458" s="59"/>
      <c r="F458" s="60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1"/>
      <c r="B459" s="61"/>
      <c r="C459" s="57"/>
      <c r="D459" s="57"/>
      <c r="E459" s="59"/>
      <c r="F459" s="60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1"/>
      <c r="B460" s="61"/>
      <c r="C460" s="57"/>
      <c r="D460" s="57"/>
      <c r="E460" s="59"/>
      <c r="F460" s="60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1"/>
      <c r="B461" s="61"/>
      <c r="C461" s="57"/>
      <c r="D461" s="57"/>
      <c r="E461" s="59"/>
      <c r="F461" s="60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1"/>
      <c r="B462" s="61"/>
      <c r="C462" s="57"/>
      <c r="D462" s="57"/>
      <c r="E462" s="59"/>
      <c r="F462" s="60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1"/>
      <c r="B463" s="61"/>
      <c r="C463" s="57"/>
      <c r="D463" s="57"/>
      <c r="E463" s="59"/>
      <c r="F463" s="60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1"/>
      <c r="B464" s="61"/>
      <c r="C464" s="57"/>
      <c r="D464" s="57"/>
      <c r="E464" s="59"/>
      <c r="F464" s="60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1"/>
      <c r="B465" s="61"/>
      <c r="C465" s="57"/>
      <c r="D465" s="57"/>
      <c r="E465" s="59"/>
      <c r="F465" s="60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1"/>
      <c r="B466" s="61"/>
      <c r="C466" s="57"/>
      <c r="D466" s="57"/>
      <c r="E466" s="59"/>
      <c r="F466" s="60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1"/>
      <c r="B467" s="61"/>
      <c r="C467" s="57"/>
      <c r="D467" s="57"/>
      <c r="E467" s="59"/>
      <c r="F467" s="60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1"/>
      <c r="B468" s="61"/>
      <c r="C468" s="57"/>
      <c r="D468" s="57"/>
      <c r="E468" s="59"/>
      <c r="F468" s="60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1"/>
      <c r="B469" s="61"/>
      <c r="C469" s="57"/>
      <c r="D469" s="57"/>
      <c r="E469" s="59"/>
      <c r="F469" s="60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1"/>
      <c r="B470" s="61"/>
      <c r="C470" s="57"/>
      <c r="D470" s="57"/>
      <c r="E470" s="59"/>
      <c r="F470" s="60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1"/>
      <c r="B471" s="61"/>
      <c r="C471" s="57"/>
      <c r="D471" s="57"/>
      <c r="E471" s="59"/>
      <c r="F471" s="60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1"/>
      <c r="B472" s="61"/>
      <c r="C472" s="57"/>
      <c r="D472" s="57"/>
      <c r="E472" s="59"/>
      <c r="F472" s="60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1"/>
      <c r="B473" s="61"/>
      <c r="C473" s="57"/>
      <c r="D473" s="57"/>
      <c r="E473" s="59"/>
      <c r="F473" s="60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1"/>
      <c r="B474" s="61"/>
      <c r="C474" s="57"/>
      <c r="D474" s="57"/>
      <c r="E474" s="59"/>
      <c r="F474" s="60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1"/>
      <c r="B475" s="61"/>
      <c r="C475" s="57"/>
      <c r="D475" s="57"/>
      <c r="E475" s="59"/>
      <c r="F475" s="60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1"/>
      <c r="B476" s="61"/>
      <c r="C476" s="57"/>
      <c r="D476" s="57"/>
      <c r="E476" s="59"/>
      <c r="F476" s="60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1"/>
      <c r="B477" s="61"/>
      <c r="C477" s="57"/>
      <c r="D477" s="57"/>
      <c r="E477" s="59"/>
      <c r="F477" s="60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1"/>
      <c r="B478" s="61"/>
      <c r="C478" s="57"/>
      <c r="D478" s="57"/>
      <c r="E478" s="59"/>
      <c r="F478" s="60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1"/>
      <c r="B479" s="61"/>
      <c r="C479" s="57"/>
      <c r="D479" s="57"/>
      <c r="E479" s="59"/>
      <c r="F479" s="60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1"/>
      <c r="B480" s="61"/>
      <c r="C480" s="57"/>
      <c r="D480" s="57"/>
      <c r="E480" s="59"/>
      <c r="F480" s="60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1"/>
      <c r="B481" s="61"/>
      <c r="C481" s="57"/>
      <c r="D481" s="57"/>
      <c r="E481" s="59"/>
      <c r="F481" s="60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1"/>
      <c r="B482" s="61"/>
      <c r="C482" s="57"/>
      <c r="D482" s="57"/>
      <c r="E482" s="59"/>
      <c r="F482" s="60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1"/>
      <c r="B483" s="61"/>
      <c r="C483" s="57"/>
      <c r="D483" s="57"/>
      <c r="E483" s="59"/>
      <c r="F483" s="60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1"/>
      <c r="B484" s="61"/>
      <c r="C484" s="57"/>
      <c r="D484" s="57"/>
      <c r="E484" s="59"/>
      <c r="F484" s="60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1"/>
      <c r="B485" s="61"/>
      <c r="C485" s="57"/>
      <c r="D485" s="57"/>
      <c r="E485" s="59"/>
      <c r="F485" s="60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1"/>
      <c r="B486" s="61"/>
      <c r="C486" s="57"/>
      <c r="D486" s="57"/>
      <c r="E486" s="59"/>
      <c r="F486" s="60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1"/>
      <c r="B487" s="61"/>
      <c r="C487" s="57"/>
      <c r="D487" s="57"/>
      <c r="E487" s="59"/>
      <c r="F487" s="60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1"/>
      <c r="B488" s="61"/>
      <c r="C488" s="57"/>
      <c r="D488" s="57"/>
      <c r="E488" s="59"/>
      <c r="F488" s="60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1"/>
      <c r="B489" s="61"/>
      <c r="C489" s="57"/>
      <c r="D489" s="57"/>
      <c r="E489" s="59"/>
      <c r="F489" s="60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1"/>
      <c r="B490" s="61"/>
      <c r="C490" s="57"/>
      <c r="D490" s="57"/>
      <c r="E490" s="59"/>
      <c r="F490" s="60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1"/>
      <c r="B491" s="61"/>
      <c r="C491" s="57"/>
      <c r="D491" s="57"/>
      <c r="E491" s="59"/>
      <c r="F491" s="60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1"/>
      <c r="B492" s="61"/>
      <c r="C492" s="57"/>
      <c r="D492" s="57"/>
      <c r="E492" s="59"/>
      <c r="F492" s="60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1"/>
      <c r="B493" s="61"/>
      <c r="C493" s="57"/>
      <c r="D493" s="57"/>
      <c r="E493" s="59"/>
      <c r="F493" s="60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1"/>
      <c r="B494" s="61"/>
      <c r="C494" s="57"/>
      <c r="D494" s="57"/>
      <c r="E494" s="59"/>
      <c r="F494" s="60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1"/>
      <c r="B495" s="61"/>
      <c r="C495" s="57"/>
      <c r="D495" s="57"/>
      <c r="E495" s="59"/>
      <c r="F495" s="60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1"/>
      <c r="B496" s="61"/>
      <c r="C496" s="57"/>
      <c r="D496" s="57"/>
      <c r="E496" s="59"/>
      <c r="F496" s="60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1"/>
      <c r="B497" s="61"/>
      <c r="C497" s="57"/>
      <c r="D497" s="57"/>
      <c r="E497" s="59"/>
      <c r="F497" s="60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1"/>
      <c r="B498" s="61"/>
      <c r="C498" s="57"/>
      <c r="D498" s="57"/>
      <c r="E498" s="59"/>
      <c r="F498" s="60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1"/>
      <c r="B499" s="61"/>
      <c r="C499" s="57"/>
      <c r="D499" s="57"/>
      <c r="E499" s="59"/>
      <c r="F499" s="60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1"/>
      <c r="B500" s="61"/>
      <c r="C500" s="57"/>
      <c r="D500" s="57"/>
      <c r="E500" s="59"/>
      <c r="F500" s="60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1"/>
      <c r="B501" s="61"/>
      <c r="C501" s="57"/>
      <c r="D501" s="57"/>
      <c r="E501" s="59"/>
      <c r="F501" s="60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1"/>
      <c r="B502" s="61"/>
      <c r="C502" s="57"/>
      <c r="D502" s="57"/>
      <c r="E502" s="59"/>
      <c r="F502" s="60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1"/>
      <c r="B503" s="61"/>
      <c r="C503" s="57"/>
      <c r="D503" s="57"/>
      <c r="E503" s="59"/>
      <c r="F503" s="60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1"/>
      <c r="B504" s="61"/>
      <c r="C504" s="57"/>
      <c r="D504" s="57"/>
      <c r="E504" s="59"/>
      <c r="F504" s="60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1"/>
      <c r="B505" s="61"/>
      <c r="C505" s="57"/>
      <c r="D505" s="57"/>
      <c r="E505" s="59"/>
      <c r="F505" s="60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1"/>
      <c r="B506" s="61"/>
      <c r="C506" s="57"/>
      <c r="D506" s="57"/>
      <c r="E506" s="59"/>
      <c r="F506" s="60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1"/>
      <c r="B507" s="61"/>
      <c r="C507" s="57"/>
      <c r="D507" s="57"/>
      <c r="E507" s="59"/>
      <c r="F507" s="60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1"/>
      <c r="B508" s="61"/>
      <c r="C508" s="57"/>
      <c r="D508" s="57"/>
      <c r="E508" s="59"/>
      <c r="F508" s="60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1"/>
      <c r="B509" s="61"/>
      <c r="C509" s="57"/>
      <c r="D509" s="57"/>
      <c r="E509" s="59"/>
      <c r="F509" s="60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1"/>
      <c r="B510" s="61"/>
      <c r="C510" s="57"/>
      <c r="D510" s="57"/>
      <c r="E510" s="59"/>
      <c r="F510" s="60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1"/>
      <c r="B511" s="61"/>
      <c r="C511" s="57"/>
      <c r="D511" s="57"/>
      <c r="E511" s="59"/>
      <c r="F511" s="60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1"/>
      <c r="B512" s="61"/>
      <c r="C512" s="57"/>
      <c r="D512" s="57"/>
      <c r="E512" s="59"/>
      <c r="F512" s="60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1"/>
      <c r="B513" s="61"/>
      <c r="C513" s="57"/>
      <c r="D513" s="57"/>
      <c r="E513" s="59"/>
      <c r="F513" s="60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1"/>
      <c r="B514" s="61"/>
      <c r="C514" s="57"/>
      <c r="D514" s="57"/>
      <c r="E514" s="59"/>
      <c r="F514" s="60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1"/>
      <c r="B515" s="61"/>
      <c r="C515" s="57"/>
      <c r="D515" s="57"/>
      <c r="E515" s="59"/>
      <c r="F515" s="60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1"/>
      <c r="B516" s="61"/>
      <c r="C516" s="57"/>
      <c r="D516" s="57"/>
      <c r="E516" s="59"/>
      <c r="F516" s="60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1"/>
      <c r="B517" s="61"/>
      <c r="C517" s="57"/>
      <c r="D517" s="57"/>
      <c r="E517" s="59"/>
      <c r="F517" s="60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1"/>
      <c r="B518" s="61"/>
      <c r="C518" s="57"/>
      <c r="D518" s="57"/>
      <c r="E518" s="59"/>
      <c r="F518" s="60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1"/>
      <c r="B519" s="61"/>
      <c r="C519" s="57"/>
      <c r="D519" s="57"/>
      <c r="E519" s="59"/>
      <c r="F519" s="60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1"/>
      <c r="B520" s="61"/>
      <c r="C520" s="57"/>
      <c r="D520" s="57"/>
      <c r="E520" s="59"/>
      <c r="F520" s="60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1"/>
      <c r="B521" s="61"/>
      <c r="C521" s="57"/>
      <c r="D521" s="57"/>
      <c r="E521" s="59"/>
      <c r="F521" s="60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1"/>
      <c r="B522" s="61"/>
      <c r="C522" s="57"/>
      <c r="D522" s="57"/>
      <c r="E522" s="59"/>
      <c r="F522" s="60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1"/>
      <c r="B523" s="61"/>
      <c r="C523" s="57"/>
      <c r="D523" s="57"/>
      <c r="E523" s="59"/>
      <c r="F523" s="60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1"/>
      <c r="B524" s="61"/>
      <c r="C524" s="57"/>
      <c r="D524" s="57"/>
      <c r="E524" s="59"/>
      <c r="F524" s="60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1"/>
      <c r="B525" s="61"/>
      <c r="C525" s="57"/>
      <c r="D525" s="57"/>
      <c r="E525" s="59"/>
      <c r="F525" s="60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1"/>
      <c r="B526" s="61"/>
      <c r="C526" s="57"/>
      <c r="D526" s="57"/>
      <c r="E526" s="59"/>
      <c r="F526" s="60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1"/>
      <c r="B527" s="61"/>
      <c r="C527" s="57"/>
      <c r="D527" s="57"/>
      <c r="E527" s="59"/>
      <c r="F527" s="60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1"/>
      <c r="B528" s="61"/>
      <c r="C528" s="57"/>
      <c r="D528" s="57"/>
      <c r="E528" s="59"/>
      <c r="F528" s="60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1"/>
      <c r="B529" s="61"/>
      <c r="C529" s="57"/>
      <c r="D529" s="57"/>
      <c r="E529" s="59"/>
      <c r="F529" s="60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1"/>
      <c r="B530" s="61"/>
      <c r="C530" s="57"/>
      <c r="D530" s="57"/>
      <c r="E530" s="59"/>
      <c r="F530" s="60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1"/>
      <c r="B531" s="61"/>
      <c r="C531" s="57"/>
      <c r="D531" s="57"/>
      <c r="E531" s="59"/>
      <c r="F531" s="60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1"/>
      <c r="B532" s="61"/>
      <c r="C532" s="57"/>
      <c r="D532" s="57"/>
      <c r="E532" s="59"/>
      <c r="F532" s="60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1"/>
      <c r="B533" s="61"/>
      <c r="C533" s="57"/>
      <c r="D533" s="57"/>
      <c r="E533" s="59"/>
      <c r="F533" s="60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1"/>
      <c r="B534" s="61"/>
      <c r="C534" s="57"/>
      <c r="D534" s="57"/>
      <c r="E534" s="59"/>
      <c r="F534" s="60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1"/>
      <c r="B535" s="61"/>
      <c r="C535" s="57"/>
      <c r="D535" s="57"/>
      <c r="E535" s="59"/>
      <c r="F535" s="60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1"/>
      <c r="B536" s="61"/>
      <c r="C536" s="57"/>
      <c r="D536" s="57"/>
      <c r="E536" s="59"/>
      <c r="F536" s="60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1"/>
      <c r="B537" s="61"/>
      <c r="C537" s="57"/>
      <c r="D537" s="57"/>
      <c r="E537" s="59"/>
      <c r="F537" s="60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1"/>
      <c r="B538" s="61"/>
      <c r="C538" s="57"/>
      <c r="D538" s="57"/>
      <c r="E538" s="59"/>
      <c r="F538" s="60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1"/>
      <c r="B539" s="61"/>
      <c r="C539" s="57"/>
      <c r="D539" s="57"/>
      <c r="E539" s="59"/>
      <c r="F539" s="60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1"/>
      <c r="B540" s="61"/>
      <c r="C540" s="57"/>
      <c r="D540" s="57"/>
      <c r="E540" s="59"/>
      <c r="F540" s="60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1"/>
      <c r="B541" s="61"/>
      <c r="C541" s="57"/>
      <c r="D541" s="57"/>
      <c r="E541" s="59"/>
      <c r="F541" s="60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1"/>
      <c r="B542" s="61"/>
      <c r="C542" s="57"/>
      <c r="D542" s="57"/>
      <c r="E542" s="59"/>
      <c r="F542" s="60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1"/>
      <c r="B543" s="61"/>
      <c r="C543" s="57"/>
      <c r="D543" s="57"/>
      <c r="E543" s="59"/>
      <c r="F543" s="60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1"/>
      <c r="B544" s="61"/>
      <c r="C544" s="57"/>
      <c r="D544" s="57"/>
      <c r="E544" s="59"/>
      <c r="F544" s="60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1"/>
      <c r="B545" s="61"/>
      <c r="C545" s="57"/>
      <c r="D545" s="57"/>
      <c r="E545" s="59"/>
      <c r="F545" s="60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1"/>
      <c r="B546" s="61"/>
      <c r="C546" s="57"/>
      <c r="D546" s="57"/>
      <c r="E546" s="59"/>
      <c r="F546" s="60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1"/>
      <c r="B547" s="61"/>
      <c r="C547" s="57"/>
      <c r="D547" s="57"/>
      <c r="E547" s="59"/>
      <c r="F547" s="60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1"/>
      <c r="B548" s="61"/>
      <c r="C548" s="57"/>
      <c r="D548" s="57"/>
      <c r="E548" s="59"/>
      <c r="F548" s="60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1"/>
      <c r="B549" s="61"/>
      <c r="C549" s="57"/>
      <c r="D549" s="57"/>
      <c r="E549" s="59"/>
      <c r="F549" s="60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1"/>
      <c r="B550" s="61"/>
      <c r="C550" s="57"/>
      <c r="D550" s="57"/>
      <c r="E550" s="59"/>
      <c r="F550" s="60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1"/>
      <c r="B551" s="61"/>
      <c r="C551" s="57"/>
      <c r="D551" s="57"/>
      <c r="E551" s="59"/>
      <c r="F551" s="60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1"/>
      <c r="B552" s="61"/>
      <c r="C552" s="57"/>
      <c r="D552" s="57"/>
      <c r="E552" s="59"/>
      <c r="F552" s="60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1"/>
      <c r="B553" s="61"/>
      <c r="C553" s="57"/>
      <c r="D553" s="57"/>
      <c r="E553" s="59"/>
      <c r="F553" s="60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1"/>
      <c r="B554" s="61"/>
      <c r="C554" s="57"/>
      <c r="D554" s="57"/>
      <c r="E554" s="59"/>
      <c r="F554" s="60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1"/>
      <c r="B555" s="61"/>
      <c r="C555" s="57"/>
      <c r="D555" s="57"/>
      <c r="E555" s="59"/>
      <c r="F555" s="60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1"/>
      <c r="B556" s="61"/>
      <c r="C556" s="57"/>
      <c r="D556" s="57"/>
      <c r="E556" s="59"/>
      <c r="F556" s="60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1"/>
      <c r="B557" s="61"/>
      <c r="C557" s="57"/>
      <c r="D557" s="57"/>
      <c r="E557" s="59"/>
      <c r="F557" s="60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1"/>
      <c r="B558" s="61"/>
      <c r="C558" s="57"/>
      <c r="D558" s="57"/>
      <c r="E558" s="59"/>
      <c r="F558" s="60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1"/>
      <c r="B559" s="61"/>
      <c r="C559" s="57"/>
      <c r="D559" s="57"/>
      <c r="E559" s="59"/>
      <c r="F559" s="60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1"/>
      <c r="B560" s="61"/>
      <c r="C560" s="57"/>
      <c r="D560" s="57"/>
      <c r="E560" s="59"/>
      <c r="F560" s="60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1"/>
      <c r="B561" s="61"/>
      <c r="C561" s="57"/>
      <c r="D561" s="57"/>
      <c r="E561" s="59"/>
      <c r="F561" s="60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1"/>
      <c r="B562" s="61"/>
      <c r="C562" s="57"/>
      <c r="D562" s="57"/>
      <c r="E562" s="59"/>
      <c r="F562" s="60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1"/>
      <c r="B563" s="61"/>
      <c r="C563" s="57"/>
      <c r="D563" s="57"/>
      <c r="E563" s="59"/>
      <c r="F563" s="60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1"/>
      <c r="B564" s="61"/>
      <c r="C564" s="57"/>
      <c r="D564" s="57"/>
      <c r="E564" s="59"/>
      <c r="F564" s="60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1"/>
      <c r="B565" s="61"/>
      <c r="C565" s="57"/>
      <c r="D565" s="57"/>
      <c r="E565" s="59"/>
      <c r="F565" s="60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1"/>
      <c r="B566" s="61"/>
      <c r="C566" s="57"/>
      <c r="D566" s="57"/>
      <c r="E566" s="59"/>
      <c r="F566" s="60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1"/>
      <c r="B567" s="61"/>
      <c r="C567" s="57"/>
      <c r="D567" s="57"/>
      <c r="E567" s="59"/>
      <c r="F567" s="60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1"/>
      <c r="B568" s="61"/>
      <c r="C568" s="57"/>
      <c r="D568" s="57"/>
      <c r="E568" s="59"/>
      <c r="F568" s="60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1"/>
      <c r="B569" s="61"/>
      <c r="C569" s="57"/>
      <c r="D569" s="57"/>
      <c r="E569" s="59"/>
      <c r="F569" s="60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1"/>
      <c r="B570" s="61"/>
      <c r="C570" s="57"/>
      <c r="D570" s="57"/>
      <c r="E570" s="59"/>
      <c r="F570" s="60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1"/>
      <c r="B571" s="61"/>
      <c r="C571" s="57"/>
      <c r="D571" s="57"/>
      <c r="E571" s="59"/>
      <c r="F571" s="60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1"/>
      <c r="B572" s="61"/>
      <c r="C572" s="57"/>
      <c r="D572" s="57"/>
      <c r="E572" s="59"/>
      <c r="F572" s="60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1"/>
      <c r="B573" s="61"/>
      <c r="C573" s="57"/>
      <c r="D573" s="57"/>
      <c r="E573" s="59"/>
      <c r="F573" s="60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1"/>
      <c r="B574" s="61"/>
      <c r="C574" s="57"/>
      <c r="D574" s="57"/>
      <c r="E574" s="59"/>
      <c r="F574" s="60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1"/>
      <c r="B575" s="61"/>
      <c r="C575" s="57"/>
      <c r="D575" s="57"/>
      <c r="E575" s="59"/>
      <c r="F575" s="60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1"/>
      <c r="B576" s="61"/>
      <c r="C576" s="57"/>
      <c r="D576" s="57"/>
      <c r="E576" s="59"/>
      <c r="F576" s="60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1"/>
      <c r="B577" s="61"/>
      <c r="C577" s="57"/>
      <c r="D577" s="57"/>
      <c r="E577" s="59"/>
      <c r="F577" s="60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1"/>
      <c r="B578" s="61"/>
      <c r="C578" s="57"/>
      <c r="D578" s="57"/>
      <c r="E578" s="59"/>
      <c r="F578" s="60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1"/>
      <c r="B579" s="61"/>
      <c r="C579" s="57"/>
      <c r="D579" s="57"/>
      <c r="E579" s="59"/>
      <c r="F579" s="60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1"/>
      <c r="B580" s="61"/>
      <c r="C580" s="57"/>
      <c r="D580" s="57"/>
      <c r="E580" s="59"/>
      <c r="F580" s="60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1"/>
      <c r="B581" s="61"/>
      <c r="C581" s="57"/>
      <c r="D581" s="57"/>
      <c r="E581" s="59"/>
      <c r="F581" s="60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1"/>
      <c r="B582" s="61"/>
      <c r="C582" s="57"/>
      <c r="D582" s="57"/>
      <c r="E582" s="59"/>
      <c r="F582" s="60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1"/>
      <c r="B583" s="61"/>
      <c r="C583" s="57"/>
      <c r="D583" s="57"/>
      <c r="E583" s="59"/>
      <c r="F583" s="60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1"/>
      <c r="B584" s="61"/>
      <c r="C584" s="57"/>
      <c r="D584" s="57"/>
      <c r="E584" s="59"/>
      <c r="F584" s="60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1"/>
      <c r="B585" s="61"/>
      <c r="C585" s="57"/>
      <c r="D585" s="57"/>
      <c r="E585" s="59"/>
      <c r="F585" s="60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1"/>
      <c r="B586" s="61"/>
      <c r="C586" s="57"/>
      <c r="D586" s="57"/>
      <c r="E586" s="59"/>
      <c r="F586" s="60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1"/>
      <c r="B587" s="61"/>
      <c r="C587" s="57"/>
      <c r="D587" s="57"/>
      <c r="E587" s="59"/>
      <c r="F587" s="60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1"/>
      <c r="B588" s="61"/>
      <c r="C588" s="57"/>
      <c r="D588" s="57"/>
      <c r="E588" s="59"/>
      <c r="F588" s="60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1"/>
      <c r="B589" s="61"/>
      <c r="C589" s="57"/>
      <c r="D589" s="57"/>
      <c r="E589" s="59"/>
      <c r="F589" s="60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1"/>
      <c r="B590" s="61"/>
      <c r="C590" s="57"/>
      <c r="D590" s="57"/>
      <c r="E590" s="59"/>
      <c r="F590" s="60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1"/>
      <c r="B591" s="61"/>
      <c r="C591" s="57"/>
      <c r="D591" s="57"/>
      <c r="E591" s="59"/>
      <c r="F591" s="60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1"/>
      <c r="B592" s="61"/>
      <c r="C592" s="57"/>
      <c r="D592" s="57"/>
      <c r="E592" s="59"/>
      <c r="F592" s="60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1"/>
      <c r="B593" s="61"/>
      <c r="C593" s="57"/>
      <c r="D593" s="57"/>
      <c r="E593" s="59"/>
      <c r="F593" s="60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1"/>
      <c r="B594" s="61"/>
      <c r="C594" s="57"/>
      <c r="D594" s="57"/>
      <c r="E594" s="59"/>
      <c r="F594" s="60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1"/>
      <c r="B595" s="61"/>
      <c r="C595" s="57"/>
      <c r="D595" s="57"/>
      <c r="E595" s="59"/>
      <c r="F595" s="60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1"/>
      <c r="B596" s="61"/>
      <c r="C596" s="57"/>
      <c r="D596" s="57"/>
      <c r="E596" s="59"/>
      <c r="F596" s="60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1"/>
      <c r="B597" s="61"/>
      <c r="C597" s="57"/>
      <c r="D597" s="57"/>
      <c r="E597" s="59"/>
      <c r="F597" s="60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1"/>
      <c r="B598" s="61"/>
      <c r="C598" s="57"/>
      <c r="D598" s="57"/>
      <c r="E598" s="59"/>
      <c r="F598" s="60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1"/>
      <c r="B599" s="61"/>
      <c r="C599" s="57"/>
      <c r="D599" s="57"/>
      <c r="E599" s="59"/>
      <c r="F599" s="60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1"/>
      <c r="B600" s="61"/>
      <c r="C600" s="57"/>
      <c r="D600" s="57"/>
      <c r="E600" s="59"/>
      <c r="F600" s="60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1"/>
      <c r="B601" s="61"/>
      <c r="C601" s="57"/>
      <c r="D601" s="57"/>
      <c r="E601" s="59"/>
      <c r="F601" s="60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1"/>
      <c r="B602" s="61"/>
      <c r="C602" s="57"/>
      <c r="D602" s="57"/>
      <c r="E602" s="59"/>
      <c r="F602" s="60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1"/>
      <c r="B603" s="61"/>
      <c r="C603" s="57"/>
      <c r="D603" s="57"/>
      <c r="E603" s="59"/>
      <c r="F603" s="60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1"/>
      <c r="B604" s="61"/>
      <c r="C604" s="57"/>
      <c r="D604" s="57"/>
      <c r="E604" s="59"/>
      <c r="F604" s="60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1"/>
      <c r="B605" s="61"/>
      <c r="C605" s="57"/>
      <c r="D605" s="57"/>
      <c r="E605" s="59"/>
      <c r="F605" s="60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1"/>
      <c r="B606" s="61"/>
      <c r="C606" s="57"/>
      <c r="D606" s="57"/>
      <c r="E606" s="59"/>
      <c r="F606" s="60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1"/>
      <c r="B607" s="61"/>
      <c r="C607" s="57"/>
      <c r="D607" s="57"/>
      <c r="E607" s="59"/>
      <c r="F607" s="60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1"/>
      <c r="B608" s="61"/>
      <c r="C608" s="57"/>
      <c r="D608" s="57"/>
      <c r="E608" s="59"/>
      <c r="F608" s="60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1"/>
      <c r="B609" s="61"/>
      <c r="C609" s="57"/>
      <c r="D609" s="57"/>
      <c r="E609" s="59"/>
      <c r="F609" s="60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1"/>
      <c r="B610" s="61"/>
      <c r="C610" s="57"/>
      <c r="D610" s="57"/>
      <c r="E610" s="59"/>
      <c r="F610" s="60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1"/>
      <c r="B611" s="61"/>
      <c r="C611" s="57"/>
      <c r="D611" s="57"/>
      <c r="E611" s="59"/>
      <c r="F611" s="60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1"/>
      <c r="B612" s="61"/>
      <c r="C612" s="57"/>
      <c r="D612" s="57"/>
      <c r="E612" s="59"/>
      <c r="F612" s="60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1"/>
      <c r="B613" s="61"/>
      <c r="C613" s="57"/>
      <c r="D613" s="57"/>
      <c r="E613" s="59"/>
      <c r="F613" s="60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1"/>
      <c r="B614" s="61"/>
      <c r="C614" s="57"/>
      <c r="D614" s="57"/>
      <c r="E614" s="59"/>
      <c r="F614" s="60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1"/>
      <c r="B615" s="61"/>
      <c r="C615" s="57"/>
      <c r="D615" s="57"/>
      <c r="E615" s="59"/>
      <c r="F615" s="60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1"/>
      <c r="B616" s="61"/>
      <c r="C616" s="57"/>
      <c r="D616" s="57"/>
      <c r="E616" s="59"/>
      <c r="F616" s="60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1"/>
      <c r="B617" s="61"/>
      <c r="C617" s="57"/>
      <c r="D617" s="57"/>
      <c r="E617" s="59"/>
      <c r="F617" s="60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1"/>
      <c r="B618" s="61"/>
      <c r="C618" s="57"/>
      <c r="D618" s="57"/>
      <c r="E618" s="59"/>
      <c r="F618" s="60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1"/>
      <c r="B619" s="61"/>
      <c r="C619" s="57"/>
      <c r="D619" s="57"/>
      <c r="E619" s="59"/>
      <c r="F619" s="60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1"/>
      <c r="B620" s="61"/>
      <c r="C620" s="57"/>
      <c r="D620" s="57"/>
      <c r="E620" s="59"/>
      <c r="F620" s="60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1"/>
      <c r="B621" s="61"/>
      <c r="C621" s="57"/>
      <c r="D621" s="57"/>
      <c r="E621" s="59"/>
      <c r="F621" s="60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1"/>
      <c r="B622" s="61"/>
      <c r="C622" s="57"/>
      <c r="D622" s="57"/>
      <c r="E622" s="59"/>
      <c r="F622" s="60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1"/>
      <c r="B623" s="61"/>
      <c r="C623" s="57"/>
      <c r="D623" s="57"/>
      <c r="E623" s="59"/>
      <c r="F623" s="60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1"/>
      <c r="B624" s="61"/>
      <c r="C624" s="57"/>
      <c r="D624" s="57"/>
      <c r="E624" s="59"/>
      <c r="F624" s="60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1"/>
      <c r="B625" s="61"/>
      <c r="C625" s="57"/>
      <c r="D625" s="57"/>
      <c r="E625" s="59"/>
      <c r="F625" s="60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1"/>
      <c r="B626" s="61"/>
      <c r="C626" s="57"/>
      <c r="D626" s="57"/>
      <c r="E626" s="59"/>
      <c r="F626" s="60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1"/>
      <c r="B627" s="61"/>
      <c r="C627" s="57"/>
      <c r="D627" s="57"/>
      <c r="E627" s="59"/>
      <c r="F627" s="60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1"/>
      <c r="B628" s="61"/>
      <c r="C628" s="57"/>
      <c r="D628" s="57"/>
      <c r="E628" s="59"/>
      <c r="F628" s="60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1"/>
      <c r="B629" s="61"/>
      <c r="C629" s="57"/>
      <c r="D629" s="57"/>
      <c r="E629" s="59"/>
      <c r="F629" s="60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1"/>
      <c r="B630" s="61"/>
      <c r="C630" s="57"/>
      <c r="D630" s="57"/>
      <c r="E630" s="59"/>
      <c r="F630" s="60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1"/>
      <c r="B631" s="61"/>
      <c r="C631" s="57"/>
      <c r="D631" s="57"/>
      <c r="E631" s="59"/>
      <c r="F631" s="60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1"/>
      <c r="B632" s="61"/>
      <c r="C632" s="57"/>
      <c r="D632" s="57"/>
      <c r="E632" s="59"/>
      <c r="F632" s="60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1"/>
      <c r="B633" s="61"/>
      <c r="C633" s="57"/>
      <c r="D633" s="57"/>
      <c r="E633" s="59"/>
      <c r="F633" s="60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1"/>
      <c r="B634" s="61"/>
      <c r="C634" s="57"/>
      <c r="D634" s="57"/>
      <c r="E634" s="59"/>
      <c r="F634" s="60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1"/>
      <c r="B635" s="61"/>
      <c r="C635" s="57"/>
      <c r="D635" s="57"/>
      <c r="E635" s="59"/>
      <c r="F635" s="60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1"/>
      <c r="B636" s="61"/>
      <c r="C636" s="57"/>
      <c r="D636" s="57"/>
      <c r="E636" s="59"/>
      <c r="F636" s="60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1"/>
      <c r="B637" s="61"/>
      <c r="C637" s="57"/>
      <c r="D637" s="57"/>
      <c r="E637" s="59"/>
      <c r="F637" s="60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1"/>
      <c r="B638" s="61"/>
      <c r="C638" s="57"/>
      <c r="D638" s="57"/>
      <c r="E638" s="59"/>
      <c r="F638" s="60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1"/>
      <c r="B639" s="61"/>
      <c r="C639" s="57"/>
      <c r="D639" s="57"/>
      <c r="E639" s="59"/>
      <c r="F639" s="60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1"/>
      <c r="B640" s="61"/>
      <c r="C640" s="57"/>
      <c r="D640" s="57"/>
      <c r="E640" s="59"/>
      <c r="F640" s="60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1"/>
      <c r="B641" s="61"/>
      <c r="C641" s="57"/>
      <c r="D641" s="57"/>
      <c r="E641" s="59"/>
      <c r="F641" s="60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1"/>
      <c r="B642" s="61"/>
      <c r="C642" s="57"/>
      <c r="D642" s="57"/>
      <c r="E642" s="59"/>
      <c r="F642" s="60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1"/>
      <c r="B643" s="61"/>
      <c r="C643" s="57"/>
      <c r="D643" s="57"/>
      <c r="E643" s="59"/>
      <c r="F643" s="60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1"/>
      <c r="B644" s="61"/>
      <c r="C644" s="57"/>
      <c r="D644" s="57"/>
      <c r="E644" s="59"/>
      <c r="F644" s="60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1"/>
      <c r="B645" s="61"/>
      <c r="C645" s="57"/>
      <c r="D645" s="57"/>
      <c r="E645" s="59"/>
      <c r="F645" s="60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1"/>
      <c r="B646" s="61"/>
      <c r="C646" s="57"/>
      <c r="D646" s="57"/>
      <c r="E646" s="59"/>
      <c r="F646" s="60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1"/>
      <c r="B647" s="61"/>
      <c r="C647" s="57"/>
      <c r="D647" s="57"/>
      <c r="E647" s="59"/>
      <c r="F647" s="60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1"/>
      <c r="B648" s="61"/>
      <c r="C648" s="57"/>
      <c r="D648" s="57"/>
      <c r="E648" s="59"/>
      <c r="F648" s="60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1"/>
      <c r="B649" s="61"/>
      <c r="C649" s="57"/>
      <c r="D649" s="57"/>
      <c r="E649" s="59"/>
      <c r="F649" s="60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1"/>
      <c r="B650" s="61"/>
      <c r="C650" s="57"/>
      <c r="D650" s="57"/>
      <c r="E650" s="59"/>
      <c r="F650" s="60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1"/>
      <c r="B651" s="61"/>
      <c r="C651" s="57"/>
      <c r="D651" s="57"/>
      <c r="E651" s="59"/>
      <c r="F651" s="60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1"/>
      <c r="B652" s="61"/>
      <c r="C652" s="57"/>
      <c r="D652" s="57"/>
      <c r="E652" s="59"/>
      <c r="F652" s="60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1"/>
      <c r="B653" s="61"/>
      <c r="C653" s="57"/>
      <c r="D653" s="57"/>
      <c r="E653" s="59"/>
      <c r="F653" s="60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1"/>
      <c r="B654" s="61"/>
      <c r="C654" s="57"/>
      <c r="D654" s="57"/>
      <c r="E654" s="59"/>
      <c r="F654" s="60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1"/>
      <c r="B655" s="61"/>
      <c r="C655" s="57"/>
      <c r="D655" s="57"/>
      <c r="E655" s="59"/>
      <c r="F655" s="60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1"/>
      <c r="B656" s="61"/>
      <c r="C656" s="57"/>
      <c r="D656" s="57"/>
      <c r="E656" s="59"/>
      <c r="F656" s="60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1"/>
      <c r="B657" s="61"/>
      <c r="C657" s="57"/>
      <c r="D657" s="57"/>
      <c r="E657" s="59"/>
      <c r="F657" s="60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1"/>
      <c r="B658" s="61"/>
      <c r="C658" s="57"/>
      <c r="D658" s="57"/>
      <c r="E658" s="59"/>
      <c r="F658" s="60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1"/>
      <c r="B659" s="61"/>
      <c r="C659" s="57"/>
      <c r="D659" s="57"/>
      <c r="E659" s="59"/>
      <c r="F659" s="60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1"/>
      <c r="B660" s="61"/>
      <c r="C660" s="57"/>
      <c r="D660" s="57"/>
      <c r="E660" s="59"/>
      <c r="F660" s="60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1"/>
      <c r="B661" s="61"/>
      <c r="C661" s="57"/>
      <c r="D661" s="57"/>
      <c r="E661" s="59"/>
      <c r="F661" s="60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1"/>
      <c r="B662" s="61"/>
      <c r="C662" s="57"/>
      <c r="D662" s="57"/>
      <c r="E662" s="59"/>
      <c r="F662" s="60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1"/>
      <c r="B663" s="61"/>
      <c r="C663" s="57"/>
      <c r="D663" s="57"/>
      <c r="E663" s="59"/>
      <c r="F663" s="60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1"/>
      <c r="B664" s="61"/>
      <c r="C664" s="57"/>
      <c r="D664" s="57"/>
      <c r="E664" s="59"/>
      <c r="F664" s="60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1"/>
      <c r="B665" s="61"/>
      <c r="C665" s="57"/>
      <c r="D665" s="57"/>
      <c r="E665" s="59"/>
      <c r="F665" s="60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1"/>
      <c r="B666" s="61"/>
      <c r="C666" s="57"/>
      <c r="D666" s="57"/>
      <c r="E666" s="59"/>
      <c r="F666" s="60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1"/>
      <c r="B667" s="61"/>
      <c r="C667" s="57"/>
      <c r="D667" s="57"/>
      <c r="E667" s="59"/>
      <c r="F667" s="60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1"/>
      <c r="B668" s="61"/>
      <c r="C668" s="57"/>
      <c r="D668" s="57"/>
      <c r="E668" s="59"/>
      <c r="F668" s="60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1"/>
      <c r="B669" s="61"/>
      <c r="C669" s="57"/>
      <c r="D669" s="57"/>
      <c r="E669" s="59"/>
      <c r="F669" s="60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1"/>
      <c r="B670" s="61"/>
      <c r="C670" s="57"/>
      <c r="D670" s="57"/>
      <c r="E670" s="59"/>
      <c r="F670" s="60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1"/>
      <c r="B671" s="61"/>
      <c r="C671" s="57"/>
      <c r="D671" s="57"/>
      <c r="E671" s="59"/>
      <c r="F671" s="60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1"/>
      <c r="B672" s="61"/>
      <c r="C672" s="57"/>
      <c r="D672" s="57"/>
      <c r="E672" s="59"/>
      <c r="F672" s="60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1"/>
      <c r="B673" s="61"/>
      <c r="C673" s="57"/>
      <c r="D673" s="57"/>
      <c r="E673" s="59"/>
      <c r="F673" s="60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1"/>
      <c r="B674" s="61"/>
      <c r="C674" s="57"/>
      <c r="D674" s="57"/>
      <c r="E674" s="59"/>
      <c r="F674" s="60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1"/>
      <c r="B675" s="61"/>
      <c r="C675" s="57"/>
      <c r="D675" s="57"/>
      <c r="E675" s="59"/>
      <c r="F675" s="60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1"/>
      <c r="B676" s="61"/>
      <c r="C676" s="57"/>
      <c r="D676" s="57"/>
      <c r="E676" s="59"/>
      <c r="F676" s="60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1"/>
      <c r="B677" s="61"/>
      <c r="C677" s="57"/>
      <c r="D677" s="57"/>
      <c r="E677" s="59"/>
      <c r="F677" s="60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1"/>
      <c r="B678" s="61"/>
      <c r="C678" s="57"/>
      <c r="D678" s="57"/>
      <c r="E678" s="59"/>
      <c r="F678" s="60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1"/>
      <c r="B679" s="61"/>
      <c r="C679" s="57"/>
      <c r="D679" s="57"/>
      <c r="E679" s="59"/>
      <c r="F679" s="60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1"/>
      <c r="B680" s="61"/>
      <c r="C680" s="57"/>
      <c r="D680" s="57"/>
      <c r="E680" s="59"/>
      <c r="F680" s="60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1"/>
      <c r="B681" s="61"/>
      <c r="C681" s="57"/>
      <c r="D681" s="57"/>
      <c r="E681" s="59"/>
      <c r="F681" s="60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1"/>
      <c r="B682" s="61"/>
      <c r="C682" s="57"/>
      <c r="D682" s="57"/>
      <c r="E682" s="59"/>
      <c r="F682" s="60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1"/>
      <c r="B683" s="61"/>
      <c r="C683" s="57"/>
      <c r="D683" s="57"/>
      <c r="E683" s="59"/>
      <c r="F683" s="60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1"/>
      <c r="B684" s="61"/>
      <c r="C684" s="57"/>
      <c r="D684" s="57"/>
      <c r="E684" s="59"/>
      <c r="F684" s="60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1"/>
      <c r="B685" s="61"/>
      <c r="C685" s="57"/>
      <c r="D685" s="57"/>
      <c r="E685" s="59"/>
      <c r="F685" s="60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1"/>
      <c r="B686" s="61"/>
      <c r="C686" s="57"/>
      <c r="D686" s="57"/>
      <c r="E686" s="59"/>
      <c r="F686" s="60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1"/>
      <c r="B687" s="61"/>
      <c r="C687" s="57"/>
      <c r="D687" s="57"/>
      <c r="E687" s="59"/>
      <c r="F687" s="60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1"/>
      <c r="B688" s="61"/>
      <c r="C688" s="57"/>
      <c r="D688" s="57"/>
      <c r="E688" s="59"/>
      <c r="F688" s="60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1"/>
      <c r="B689" s="61"/>
      <c r="C689" s="57"/>
      <c r="D689" s="57"/>
      <c r="E689" s="59"/>
      <c r="F689" s="60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1"/>
      <c r="B690" s="61"/>
      <c r="C690" s="57"/>
      <c r="D690" s="57"/>
      <c r="E690" s="59"/>
      <c r="F690" s="60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1"/>
      <c r="B691" s="61"/>
      <c r="C691" s="57"/>
      <c r="D691" s="57"/>
      <c r="E691" s="59"/>
      <c r="F691" s="60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57"/>
      <c r="D692" s="57"/>
      <c r="E692" s="59"/>
      <c r="F692" s="60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57"/>
      <c r="D693" s="57"/>
      <c r="E693" s="59"/>
      <c r="F693" s="60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57"/>
      <c r="D694" s="57"/>
      <c r="E694" s="59"/>
      <c r="F694" s="60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57"/>
      <c r="D695" s="57"/>
      <c r="E695" s="59"/>
      <c r="F695" s="60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57"/>
      <c r="D696" s="57"/>
      <c r="E696" s="59"/>
      <c r="F696" s="60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57"/>
      <c r="D697" s="57"/>
      <c r="E697" s="59"/>
      <c r="F697" s="60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57"/>
      <c r="D698" s="57"/>
      <c r="E698" s="59"/>
      <c r="F698" s="60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57"/>
      <c r="D699" s="57"/>
      <c r="E699" s="59"/>
      <c r="F699" s="60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57"/>
      <c r="D700" s="57"/>
      <c r="E700" s="59"/>
      <c r="F700" s="60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57"/>
      <c r="D701" s="57"/>
      <c r="E701" s="59"/>
      <c r="F701" s="60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57"/>
      <c r="D702" s="57"/>
      <c r="E702" s="59"/>
      <c r="F702" s="60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57"/>
      <c r="D703" s="57"/>
      <c r="E703" s="59"/>
      <c r="F703" s="60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57"/>
      <c r="D704" s="57"/>
      <c r="E704" s="59"/>
      <c r="F704" s="60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57"/>
      <c r="D705" s="57"/>
      <c r="E705" s="59"/>
      <c r="F705" s="60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57"/>
      <c r="D706" s="57"/>
      <c r="E706" s="59"/>
      <c r="F706" s="60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57"/>
      <c r="D707" s="57"/>
      <c r="E707" s="59"/>
      <c r="F707" s="60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57"/>
      <c r="D708" s="57"/>
      <c r="E708" s="59"/>
      <c r="F708" s="60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57"/>
      <c r="D709" s="57"/>
      <c r="E709" s="59"/>
      <c r="F709" s="60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57"/>
      <c r="D710" s="57"/>
      <c r="E710" s="59"/>
      <c r="F710" s="60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57"/>
      <c r="D711" s="57"/>
      <c r="E711" s="59"/>
      <c r="F711" s="60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57"/>
      <c r="D712" s="57"/>
      <c r="E712" s="59"/>
      <c r="F712" s="60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57"/>
      <c r="D713" s="57"/>
      <c r="E713" s="59"/>
      <c r="F713" s="60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57"/>
      <c r="D714" s="57"/>
      <c r="E714" s="59"/>
      <c r="F714" s="60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57"/>
      <c r="D715" s="57"/>
      <c r="E715" s="59"/>
      <c r="F715" s="60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57"/>
      <c r="D716" s="57"/>
      <c r="E716" s="59"/>
      <c r="F716" s="60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57"/>
      <c r="D717" s="57"/>
      <c r="E717" s="59"/>
      <c r="F717" s="60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57"/>
      <c r="D718" s="57"/>
      <c r="E718" s="59"/>
      <c r="F718" s="60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57"/>
      <c r="D719" s="57"/>
      <c r="E719" s="59"/>
      <c r="F719" s="60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57"/>
      <c r="D720" s="57"/>
      <c r="E720" s="59"/>
      <c r="F720" s="60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57"/>
      <c r="D721" s="57"/>
      <c r="E721" s="59"/>
      <c r="F721" s="60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57"/>
      <c r="D722" s="57"/>
      <c r="E722" s="59"/>
      <c r="F722" s="60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57"/>
      <c r="D723" s="57"/>
      <c r="E723" s="59"/>
      <c r="F723" s="60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57"/>
      <c r="D724" s="57"/>
      <c r="E724" s="59"/>
      <c r="F724" s="60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57"/>
      <c r="D725" s="57"/>
      <c r="E725" s="59"/>
      <c r="F725" s="60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57"/>
      <c r="D726" s="57"/>
      <c r="E726" s="59"/>
      <c r="F726" s="60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57"/>
      <c r="D727" s="57"/>
      <c r="E727" s="59"/>
      <c r="F727" s="60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57"/>
      <c r="D728" s="57"/>
      <c r="E728" s="59"/>
      <c r="F728" s="60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57"/>
      <c r="D729" s="57"/>
      <c r="E729" s="59"/>
      <c r="F729" s="60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57"/>
      <c r="D730" s="57"/>
      <c r="E730" s="59"/>
      <c r="F730" s="60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57"/>
      <c r="D731" s="57"/>
      <c r="E731" s="59"/>
      <c r="F731" s="60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57"/>
      <c r="D732" s="57"/>
      <c r="E732" s="59"/>
      <c r="F732" s="60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57"/>
      <c r="D733" s="57"/>
      <c r="E733" s="59"/>
      <c r="F733" s="60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57"/>
      <c r="D734" s="57"/>
      <c r="E734" s="59"/>
      <c r="F734" s="60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57"/>
      <c r="D735" s="57"/>
      <c r="E735" s="59"/>
      <c r="F735" s="60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57"/>
      <c r="D736" s="57"/>
      <c r="E736" s="59"/>
      <c r="F736" s="60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57"/>
      <c r="D737" s="57"/>
      <c r="E737" s="59"/>
      <c r="F737" s="60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57"/>
      <c r="D738" s="57"/>
      <c r="E738" s="59"/>
      <c r="F738" s="60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57"/>
      <c r="D739" s="57"/>
      <c r="E739" s="59"/>
      <c r="F739" s="60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57"/>
      <c r="D740" s="57"/>
      <c r="E740" s="59"/>
      <c r="F740" s="60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57"/>
      <c r="D741" s="57"/>
      <c r="E741" s="59"/>
      <c r="F741" s="60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57"/>
      <c r="D742" s="57"/>
      <c r="E742" s="59"/>
      <c r="F742" s="60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57"/>
      <c r="D743" s="57"/>
      <c r="E743" s="59"/>
      <c r="F743" s="60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1"/>
      <c r="B744" s="61"/>
      <c r="C744" s="57"/>
      <c r="D744" s="57"/>
      <c r="E744" s="59"/>
      <c r="F744" s="60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1"/>
      <c r="B745" s="61"/>
      <c r="C745" s="57"/>
      <c r="D745" s="57"/>
      <c r="E745" s="59"/>
      <c r="F745" s="60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1"/>
      <c r="B746" s="61"/>
      <c r="C746" s="57"/>
      <c r="D746" s="57"/>
      <c r="E746" s="59"/>
      <c r="F746" s="60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1"/>
      <c r="B747" s="61"/>
      <c r="C747" s="57"/>
      <c r="D747" s="57"/>
      <c r="E747" s="59"/>
      <c r="F747" s="60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1"/>
      <c r="B748" s="61"/>
      <c r="C748" s="57"/>
      <c r="D748" s="57"/>
      <c r="E748" s="59"/>
      <c r="F748" s="60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1"/>
      <c r="B749" s="61"/>
      <c r="C749" s="57"/>
      <c r="D749" s="57"/>
      <c r="E749" s="59"/>
      <c r="F749" s="60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1"/>
      <c r="B750" s="61"/>
      <c r="C750" s="57"/>
      <c r="D750" s="57"/>
      <c r="E750" s="59"/>
      <c r="F750" s="60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1"/>
      <c r="B751" s="61"/>
      <c r="C751" s="57"/>
      <c r="D751" s="57"/>
      <c r="E751" s="59"/>
      <c r="F751" s="60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1"/>
      <c r="B752" s="61"/>
      <c r="C752" s="57"/>
      <c r="D752" s="57"/>
      <c r="E752" s="59"/>
      <c r="F752" s="60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1"/>
      <c r="B753" s="61"/>
      <c r="C753" s="57"/>
      <c r="D753" s="57"/>
      <c r="E753" s="59"/>
      <c r="F753" s="60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1"/>
      <c r="B754" s="61"/>
      <c r="C754" s="57"/>
      <c r="D754" s="57"/>
      <c r="E754" s="59"/>
      <c r="F754" s="60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1"/>
      <c r="B755" s="61"/>
      <c r="C755" s="57"/>
      <c r="D755" s="57"/>
      <c r="E755" s="59"/>
      <c r="F755" s="60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1"/>
      <c r="B756" s="61"/>
      <c r="C756" s="57"/>
      <c r="D756" s="57"/>
      <c r="E756" s="59"/>
      <c r="F756" s="60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1"/>
      <c r="B757" s="61"/>
      <c r="C757" s="57"/>
      <c r="D757" s="57"/>
      <c r="E757" s="59"/>
      <c r="F757" s="60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1"/>
      <c r="B758" s="61"/>
      <c r="C758" s="57"/>
      <c r="D758" s="57"/>
      <c r="E758" s="59"/>
      <c r="F758" s="60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1"/>
      <c r="B759" s="61"/>
      <c r="C759" s="57"/>
      <c r="D759" s="57"/>
      <c r="E759" s="59"/>
      <c r="F759" s="60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1"/>
      <c r="B760" s="61"/>
      <c r="C760" s="57"/>
      <c r="D760" s="57"/>
      <c r="E760" s="59"/>
      <c r="F760" s="60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1"/>
      <c r="B761" s="61"/>
      <c r="C761" s="57"/>
      <c r="D761" s="57"/>
      <c r="E761" s="59"/>
      <c r="F761" s="60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1"/>
      <c r="B762" s="61"/>
      <c r="C762" s="57"/>
      <c r="D762" s="57"/>
      <c r="E762" s="59"/>
      <c r="F762" s="60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1"/>
      <c r="B763" s="61"/>
      <c r="C763" s="57"/>
      <c r="D763" s="57"/>
      <c r="E763" s="59"/>
      <c r="F763" s="60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1"/>
      <c r="B764" s="61"/>
      <c r="C764" s="57"/>
      <c r="D764" s="57"/>
      <c r="E764" s="59"/>
      <c r="F764" s="60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1"/>
      <c r="B765" s="61"/>
      <c r="C765" s="57"/>
      <c r="D765" s="57"/>
      <c r="E765" s="59"/>
      <c r="F765" s="60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1"/>
      <c r="B766" s="61"/>
      <c r="C766" s="57"/>
      <c r="D766" s="57"/>
      <c r="E766" s="59"/>
      <c r="F766" s="60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1"/>
      <c r="B767" s="61"/>
      <c r="C767" s="57"/>
      <c r="D767" s="57"/>
      <c r="E767" s="59"/>
      <c r="F767" s="60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1"/>
      <c r="B768" s="61"/>
      <c r="C768" s="57"/>
      <c r="D768" s="57"/>
      <c r="E768" s="59"/>
      <c r="F768" s="60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1"/>
      <c r="B769" s="61"/>
      <c r="C769" s="57"/>
      <c r="D769" s="57"/>
      <c r="E769" s="59"/>
      <c r="F769" s="60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1"/>
      <c r="B770" s="61"/>
      <c r="C770" s="57"/>
      <c r="D770" s="57"/>
      <c r="E770" s="59"/>
      <c r="F770" s="60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1"/>
      <c r="B771" s="61"/>
      <c r="C771" s="57"/>
      <c r="D771" s="57"/>
      <c r="E771" s="59"/>
      <c r="F771" s="60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1"/>
      <c r="B772" s="61"/>
      <c r="C772" s="57"/>
      <c r="D772" s="57"/>
      <c r="E772" s="59"/>
      <c r="F772" s="60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1"/>
      <c r="B773" s="61"/>
      <c r="C773" s="57"/>
      <c r="D773" s="57"/>
      <c r="E773" s="59"/>
      <c r="F773" s="60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1"/>
      <c r="B774" s="61"/>
      <c r="C774" s="57"/>
      <c r="D774" s="57"/>
      <c r="E774" s="59"/>
      <c r="F774" s="60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1"/>
      <c r="B775" s="61"/>
      <c r="C775" s="57"/>
      <c r="D775" s="57"/>
      <c r="E775" s="59"/>
      <c r="F775" s="60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1"/>
      <c r="B776" s="61"/>
      <c r="C776" s="57"/>
      <c r="D776" s="57"/>
      <c r="E776" s="59"/>
      <c r="F776" s="60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1"/>
      <c r="B777" s="61"/>
      <c r="C777" s="57"/>
      <c r="D777" s="57"/>
      <c r="E777" s="59"/>
      <c r="F777" s="60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1"/>
      <c r="B778" s="61"/>
      <c r="C778" s="57"/>
      <c r="D778" s="57"/>
      <c r="E778" s="59"/>
      <c r="F778" s="60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1"/>
      <c r="B779" s="61"/>
      <c r="C779" s="57"/>
      <c r="D779" s="57"/>
      <c r="E779" s="59"/>
      <c r="F779" s="60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1"/>
      <c r="B780" s="61"/>
      <c r="C780" s="57"/>
      <c r="D780" s="57"/>
      <c r="E780" s="59"/>
      <c r="F780" s="60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1"/>
      <c r="B781" s="61"/>
      <c r="C781" s="57"/>
      <c r="D781" s="57"/>
      <c r="E781" s="59"/>
      <c r="F781" s="60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1"/>
      <c r="B782" s="61"/>
      <c r="C782" s="57"/>
      <c r="D782" s="57"/>
      <c r="E782" s="59"/>
      <c r="F782" s="60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1"/>
      <c r="B783" s="61"/>
      <c r="C783" s="57"/>
      <c r="D783" s="57"/>
      <c r="E783" s="59"/>
      <c r="F783" s="60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1"/>
      <c r="B784" s="61"/>
      <c r="C784" s="57"/>
      <c r="D784" s="57"/>
      <c r="E784" s="59"/>
      <c r="F784" s="60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1"/>
      <c r="B785" s="61"/>
      <c r="C785" s="57"/>
      <c r="D785" s="57"/>
      <c r="E785" s="59"/>
      <c r="F785" s="60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1"/>
      <c r="B786" s="61"/>
      <c r="C786" s="57"/>
      <c r="D786" s="57"/>
      <c r="E786" s="59"/>
      <c r="F786" s="60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1"/>
      <c r="B787" s="61"/>
      <c r="C787" s="57"/>
      <c r="D787" s="57"/>
      <c r="E787" s="59"/>
      <c r="F787" s="60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1"/>
      <c r="B788" s="61"/>
      <c r="C788" s="57"/>
      <c r="D788" s="57"/>
      <c r="E788" s="59"/>
      <c r="F788" s="60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1"/>
      <c r="B789" s="61"/>
      <c r="C789" s="57"/>
      <c r="D789" s="57"/>
      <c r="E789" s="59"/>
      <c r="F789" s="60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1"/>
      <c r="B790" s="61"/>
      <c r="C790" s="57"/>
      <c r="D790" s="57"/>
      <c r="E790" s="59"/>
      <c r="F790" s="60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1"/>
      <c r="B791" s="61"/>
      <c r="C791" s="57"/>
      <c r="D791" s="57"/>
      <c r="E791" s="59"/>
      <c r="F791" s="60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1"/>
      <c r="B792" s="61"/>
      <c r="C792" s="57"/>
      <c r="D792" s="57"/>
      <c r="E792" s="59"/>
      <c r="F792" s="60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1"/>
      <c r="B793" s="61"/>
      <c r="C793" s="57"/>
      <c r="D793" s="57"/>
      <c r="E793" s="59"/>
      <c r="F793" s="60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1"/>
      <c r="B794" s="61"/>
      <c r="C794" s="57"/>
      <c r="D794" s="57"/>
      <c r="E794" s="59"/>
      <c r="F794" s="60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1"/>
      <c r="B795" s="61"/>
      <c r="C795" s="57"/>
      <c r="D795" s="57"/>
      <c r="E795" s="59"/>
      <c r="F795" s="60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1"/>
      <c r="B796" s="61"/>
      <c r="C796" s="57"/>
      <c r="D796" s="57"/>
      <c r="E796" s="59"/>
      <c r="F796" s="60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1"/>
      <c r="B797" s="61"/>
      <c r="C797" s="57"/>
      <c r="D797" s="57"/>
      <c r="E797" s="59"/>
      <c r="F797" s="60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1"/>
      <c r="B798" s="61"/>
      <c r="C798" s="57"/>
      <c r="D798" s="57"/>
      <c r="E798" s="59"/>
      <c r="F798" s="60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1"/>
      <c r="B799" s="61"/>
      <c r="C799" s="57"/>
      <c r="D799" s="57"/>
      <c r="E799" s="59"/>
      <c r="F799" s="60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1"/>
      <c r="B800" s="61"/>
      <c r="C800" s="57"/>
      <c r="D800" s="57"/>
      <c r="E800" s="59"/>
      <c r="F800" s="60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1"/>
      <c r="B801" s="61"/>
      <c r="C801" s="57"/>
      <c r="D801" s="57"/>
      <c r="E801" s="59"/>
      <c r="F801" s="60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1"/>
      <c r="B802" s="61"/>
      <c r="C802" s="57"/>
      <c r="D802" s="57"/>
      <c r="E802" s="59"/>
      <c r="F802" s="60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1"/>
      <c r="B803" s="61"/>
      <c r="C803" s="57"/>
      <c r="D803" s="57"/>
      <c r="E803" s="59"/>
      <c r="F803" s="60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1"/>
      <c r="B804" s="61"/>
      <c r="C804" s="57"/>
      <c r="D804" s="57"/>
      <c r="E804" s="59"/>
      <c r="F804" s="60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1"/>
      <c r="B805" s="61"/>
      <c r="C805" s="57"/>
      <c r="D805" s="57"/>
      <c r="E805" s="59"/>
      <c r="F805" s="60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1"/>
      <c r="B806" s="61"/>
      <c r="C806" s="57"/>
      <c r="D806" s="57"/>
      <c r="E806" s="59"/>
      <c r="F806" s="60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1"/>
      <c r="B807" s="61"/>
      <c r="C807" s="57"/>
      <c r="D807" s="57"/>
      <c r="E807" s="59"/>
      <c r="F807" s="60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1"/>
      <c r="B808" s="61"/>
      <c r="C808" s="57"/>
      <c r="D808" s="57"/>
      <c r="E808" s="59"/>
      <c r="F808" s="60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1"/>
      <c r="B809" s="61"/>
      <c r="C809" s="57"/>
      <c r="D809" s="57"/>
      <c r="E809" s="59"/>
      <c r="F809" s="60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1"/>
      <c r="B810" s="61"/>
      <c r="C810" s="57"/>
      <c r="D810" s="57"/>
      <c r="E810" s="59"/>
      <c r="F810" s="60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1"/>
      <c r="B811" s="61"/>
      <c r="C811" s="57"/>
      <c r="D811" s="57"/>
      <c r="E811" s="59"/>
      <c r="F811" s="60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1"/>
      <c r="B812" s="61"/>
      <c r="C812" s="57"/>
      <c r="D812" s="57"/>
      <c r="E812" s="59"/>
      <c r="F812" s="60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1"/>
      <c r="B813" s="61"/>
      <c r="C813" s="57"/>
      <c r="D813" s="57"/>
      <c r="E813" s="59"/>
      <c r="F813" s="60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1"/>
      <c r="B814" s="61"/>
      <c r="C814" s="57"/>
      <c r="D814" s="57"/>
      <c r="E814" s="59"/>
      <c r="F814" s="60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1"/>
      <c r="B815" s="61"/>
      <c r="C815" s="57"/>
      <c r="D815" s="57"/>
      <c r="E815" s="59"/>
      <c r="F815" s="60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1"/>
      <c r="B816" s="61"/>
      <c r="C816" s="57"/>
      <c r="D816" s="57"/>
      <c r="E816" s="59"/>
      <c r="F816" s="60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1"/>
      <c r="B817" s="61"/>
      <c r="C817" s="57"/>
      <c r="D817" s="57"/>
      <c r="E817" s="59"/>
      <c r="F817" s="60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1"/>
      <c r="B818" s="61"/>
      <c r="C818" s="57"/>
      <c r="D818" s="57"/>
      <c r="E818" s="59"/>
      <c r="F818" s="60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1"/>
      <c r="B819" s="61"/>
      <c r="C819" s="57"/>
      <c r="D819" s="57"/>
      <c r="E819" s="59"/>
      <c r="F819" s="60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1"/>
      <c r="B820" s="61"/>
      <c r="C820" s="57"/>
      <c r="D820" s="57"/>
      <c r="E820" s="59"/>
      <c r="F820" s="60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1"/>
      <c r="B821" s="61"/>
      <c r="C821" s="57"/>
      <c r="D821" s="57"/>
      <c r="E821" s="59"/>
      <c r="F821" s="60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1"/>
      <c r="B822" s="61"/>
      <c r="C822" s="57"/>
      <c r="D822" s="57"/>
      <c r="E822" s="59"/>
      <c r="F822" s="60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1"/>
      <c r="B823" s="61"/>
      <c r="C823" s="57"/>
      <c r="D823" s="57"/>
      <c r="E823" s="59"/>
      <c r="F823" s="60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1"/>
      <c r="B824" s="61"/>
      <c r="C824" s="57"/>
      <c r="D824" s="57"/>
      <c r="E824" s="59"/>
      <c r="F824" s="60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1"/>
      <c r="B825" s="61"/>
      <c r="C825" s="57"/>
      <c r="D825" s="57"/>
      <c r="E825" s="59"/>
      <c r="F825" s="60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1"/>
      <c r="B826" s="61"/>
      <c r="C826" s="57"/>
      <c r="D826" s="57"/>
      <c r="E826" s="59"/>
      <c r="F826" s="60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1"/>
      <c r="B827" s="61"/>
      <c r="C827" s="57"/>
      <c r="D827" s="57"/>
      <c r="E827" s="59"/>
      <c r="F827" s="60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1"/>
      <c r="B828" s="61"/>
      <c r="C828" s="57"/>
      <c r="D828" s="57"/>
      <c r="E828" s="59"/>
      <c r="F828" s="60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1"/>
      <c r="B829" s="61"/>
      <c r="C829" s="57"/>
      <c r="D829" s="57"/>
      <c r="E829" s="59"/>
      <c r="F829" s="60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1"/>
      <c r="B830" s="61"/>
      <c r="C830" s="57"/>
      <c r="D830" s="57"/>
      <c r="E830" s="59"/>
      <c r="F830" s="60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1"/>
      <c r="B831" s="61"/>
      <c r="C831" s="57"/>
      <c r="D831" s="57"/>
      <c r="E831" s="59"/>
      <c r="F831" s="60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1"/>
      <c r="B832" s="61"/>
      <c r="C832" s="57"/>
      <c r="D832" s="57"/>
      <c r="E832" s="59"/>
      <c r="F832" s="60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1"/>
      <c r="B833" s="61"/>
      <c r="C833" s="57"/>
      <c r="D833" s="57"/>
      <c r="E833" s="59"/>
      <c r="F833" s="60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1"/>
      <c r="B834" s="61"/>
      <c r="C834" s="57"/>
      <c r="D834" s="57"/>
      <c r="E834" s="59"/>
      <c r="F834" s="60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1"/>
      <c r="B835" s="61"/>
      <c r="C835" s="57"/>
      <c r="D835" s="57"/>
      <c r="E835" s="59"/>
      <c r="F835" s="60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1"/>
      <c r="B836" s="61"/>
      <c r="C836" s="57"/>
      <c r="D836" s="57"/>
      <c r="E836" s="59"/>
      <c r="F836" s="60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1"/>
      <c r="B837" s="61"/>
      <c r="C837" s="57"/>
      <c r="D837" s="57"/>
      <c r="E837" s="59"/>
      <c r="F837" s="60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1"/>
      <c r="B838" s="61"/>
      <c r="C838" s="57"/>
      <c r="D838" s="57"/>
      <c r="E838" s="59"/>
      <c r="F838" s="60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1"/>
      <c r="B839" s="61"/>
      <c r="C839" s="57"/>
      <c r="D839" s="57"/>
      <c r="E839" s="59"/>
      <c r="F839" s="60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1"/>
      <c r="B840" s="61"/>
      <c r="C840" s="57"/>
      <c r="D840" s="57"/>
      <c r="E840" s="59"/>
      <c r="F840" s="60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1"/>
      <c r="B841" s="61"/>
      <c r="C841" s="57"/>
      <c r="D841" s="57"/>
      <c r="E841" s="59"/>
      <c r="F841" s="60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1"/>
      <c r="B842" s="61"/>
      <c r="C842" s="57"/>
      <c r="D842" s="57"/>
      <c r="E842" s="59"/>
      <c r="F842" s="60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1"/>
      <c r="B843" s="61"/>
      <c r="C843" s="57"/>
      <c r="D843" s="57"/>
      <c r="E843" s="59"/>
      <c r="F843" s="60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1"/>
      <c r="B844" s="61"/>
      <c r="C844" s="57"/>
      <c r="D844" s="57"/>
      <c r="E844" s="59"/>
      <c r="F844" s="60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1"/>
      <c r="B845" s="61"/>
      <c r="C845" s="57"/>
      <c r="D845" s="57"/>
      <c r="E845" s="59"/>
      <c r="F845" s="60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1"/>
      <c r="B846" s="61"/>
      <c r="C846" s="57"/>
      <c r="D846" s="57"/>
      <c r="E846" s="59"/>
      <c r="F846" s="60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1"/>
      <c r="B847" s="61"/>
      <c r="C847" s="57"/>
      <c r="D847" s="57"/>
      <c r="E847" s="59"/>
      <c r="F847" s="60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1"/>
      <c r="B848" s="61"/>
      <c r="C848" s="57"/>
      <c r="D848" s="57"/>
      <c r="E848" s="59"/>
      <c r="F848" s="60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1"/>
      <c r="B849" s="61"/>
      <c r="C849" s="57"/>
      <c r="D849" s="57"/>
      <c r="E849" s="59"/>
      <c r="F849" s="60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1"/>
      <c r="B850" s="61"/>
      <c r="C850" s="57"/>
      <c r="D850" s="57"/>
      <c r="E850" s="59"/>
      <c r="F850" s="60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1"/>
      <c r="B851" s="61"/>
      <c r="C851" s="57"/>
      <c r="D851" s="57"/>
      <c r="E851" s="59"/>
      <c r="F851" s="60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1"/>
      <c r="B852" s="61"/>
      <c r="C852" s="57"/>
      <c r="D852" s="57"/>
      <c r="E852" s="59"/>
      <c r="F852" s="60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1"/>
      <c r="B853" s="61"/>
      <c r="C853" s="57"/>
      <c r="D853" s="57"/>
      <c r="E853" s="59"/>
      <c r="F853" s="60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1"/>
      <c r="B854" s="61"/>
      <c r="C854" s="57"/>
      <c r="D854" s="57"/>
      <c r="E854" s="59"/>
      <c r="F854" s="60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1"/>
      <c r="B855" s="61"/>
      <c r="C855" s="57"/>
      <c r="D855" s="57"/>
      <c r="E855" s="59"/>
      <c r="F855" s="60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1"/>
      <c r="B856" s="61"/>
      <c r="C856" s="57"/>
      <c r="D856" s="57"/>
      <c r="E856" s="59"/>
      <c r="F856" s="60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1"/>
      <c r="B857" s="61"/>
      <c r="C857" s="57"/>
      <c r="D857" s="57"/>
      <c r="E857" s="59"/>
      <c r="F857" s="60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1"/>
      <c r="B858" s="61"/>
      <c r="C858" s="57"/>
      <c r="D858" s="57"/>
      <c r="E858" s="59"/>
      <c r="F858" s="60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1"/>
      <c r="B859" s="61"/>
      <c r="C859" s="57"/>
      <c r="D859" s="57"/>
      <c r="E859" s="59"/>
      <c r="F859" s="60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1"/>
      <c r="B860" s="61"/>
      <c r="C860" s="57"/>
      <c r="D860" s="57"/>
      <c r="E860" s="59"/>
      <c r="F860" s="60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1"/>
      <c r="B861" s="61"/>
      <c r="C861" s="57"/>
      <c r="D861" s="57"/>
      <c r="E861" s="59"/>
      <c r="F861" s="60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1"/>
      <c r="B862" s="61"/>
      <c r="C862" s="57"/>
      <c r="D862" s="57"/>
      <c r="E862" s="59"/>
      <c r="F862" s="60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1"/>
      <c r="B863" s="61"/>
      <c r="C863" s="57"/>
      <c r="D863" s="57"/>
      <c r="E863" s="59"/>
      <c r="F863" s="60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1"/>
      <c r="B864" s="61"/>
      <c r="C864" s="57"/>
      <c r="D864" s="57"/>
      <c r="E864" s="59"/>
      <c r="F864" s="60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1"/>
      <c r="B865" s="61"/>
      <c r="C865" s="57"/>
      <c r="D865" s="57"/>
      <c r="E865" s="59"/>
      <c r="F865" s="60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1"/>
      <c r="B866" s="61"/>
      <c r="C866" s="57"/>
      <c r="D866" s="57"/>
      <c r="E866" s="59"/>
      <c r="F866" s="60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1"/>
      <c r="B867" s="61"/>
      <c r="C867" s="57"/>
      <c r="D867" s="57"/>
      <c r="E867" s="59"/>
      <c r="F867" s="60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1"/>
      <c r="B868" s="61"/>
      <c r="C868" s="57"/>
      <c r="D868" s="57"/>
      <c r="E868" s="59"/>
      <c r="F868" s="60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1"/>
      <c r="B869" s="61"/>
      <c r="C869" s="57"/>
      <c r="D869" s="57"/>
      <c r="E869" s="59"/>
      <c r="F869" s="60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1"/>
      <c r="B870" s="61"/>
      <c r="C870" s="57"/>
      <c r="D870" s="57"/>
      <c r="E870" s="59"/>
      <c r="F870" s="60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1"/>
      <c r="B871" s="61"/>
      <c r="C871" s="57"/>
      <c r="D871" s="57"/>
      <c r="E871" s="59"/>
      <c r="F871" s="60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1"/>
      <c r="B872" s="61"/>
      <c r="C872" s="57"/>
      <c r="D872" s="57"/>
      <c r="E872" s="59"/>
      <c r="F872" s="60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1"/>
      <c r="B873" s="61"/>
      <c r="C873" s="57"/>
      <c r="D873" s="57"/>
      <c r="E873" s="59"/>
      <c r="F873" s="60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1"/>
      <c r="B874" s="61"/>
      <c r="C874" s="57"/>
      <c r="D874" s="57"/>
      <c r="E874" s="59"/>
      <c r="F874" s="60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1"/>
      <c r="B875" s="61"/>
      <c r="C875" s="57"/>
      <c r="D875" s="57"/>
      <c r="E875" s="59"/>
      <c r="F875" s="60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1"/>
      <c r="B876" s="61"/>
      <c r="C876" s="57"/>
      <c r="D876" s="57"/>
      <c r="E876" s="59"/>
      <c r="F876" s="60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1"/>
      <c r="B877" s="61"/>
      <c r="C877" s="57"/>
      <c r="D877" s="57"/>
      <c r="E877" s="59"/>
      <c r="F877" s="60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1"/>
      <c r="B878" s="61"/>
      <c r="C878" s="57"/>
      <c r="D878" s="57"/>
      <c r="E878" s="59"/>
      <c r="F878" s="60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1"/>
      <c r="B879" s="61"/>
      <c r="C879" s="57"/>
      <c r="D879" s="57"/>
      <c r="E879" s="59"/>
      <c r="F879" s="60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1"/>
      <c r="B880" s="61"/>
      <c r="C880" s="57"/>
      <c r="D880" s="57"/>
      <c r="E880" s="59"/>
      <c r="F880" s="60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1"/>
      <c r="B881" s="61"/>
      <c r="C881" s="57"/>
      <c r="D881" s="57"/>
      <c r="E881" s="59"/>
      <c r="F881" s="60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1"/>
      <c r="B882" s="61"/>
      <c r="C882" s="57"/>
      <c r="D882" s="57"/>
      <c r="E882" s="59"/>
      <c r="F882" s="60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1"/>
      <c r="B883" s="61"/>
      <c r="C883" s="57"/>
      <c r="D883" s="57"/>
      <c r="E883" s="59"/>
      <c r="F883" s="60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1"/>
      <c r="B884" s="61"/>
      <c r="C884" s="57"/>
      <c r="D884" s="57"/>
      <c r="E884" s="59"/>
      <c r="F884" s="60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1"/>
      <c r="B885" s="61"/>
      <c r="C885" s="57"/>
      <c r="D885" s="57"/>
      <c r="E885" s="59"/>
      <c r="F885" s="60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1"/>
      <c r="B886" s="61"/>
      <c r="C886" s="57"/>
      <c r="D886" s="57"/>
      <c r="E886" s="59"/>
      <c r="F886" s="60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1"/>
      <c r="B887" s="61"/>
      <c r="C887" s="57"/>
      <c r="D887" s="57"/>
      <c r="E887" s="59"/>
      <c r="F887" s="60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1"/>
      <c r="B888" s="61"/>
      <c r="C888" s="57"/>
      <c r="D888" s="57"/>
      <c r="E888" s="59"/>
      <c r="F888" s="60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1"/>
      <c r="B889" s="61"/>
      <c r="C889" s="57"/>
      <c r="D889" s="57"/>
      <c r="E889" s="59"/>
      <c r="F889" s="60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1"/>
      <c r="B890" s="61"/>
      <c r="C890" s="57"/>
      <c r="D890" s="57"/>
      <c r="E890" s="59"/>
      <c r="F890" s="60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1"/>
      <c r="B891" s="61"/>
      <c r="C891" s="57"/>
      <c r="D891" s="57"/>
      <c r="E891" s="59"/>
      <c r="F891" s="60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1"/>
      <c r="B892" s="61"/>
      <c r="C892" s="57"/>
      <c r="D892" s="57"/>
      <c r="E892" s="59"/>
      <c r="F892" s="60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1"/>
      <c r="B893" s="61"/>
      <c r="C893" s="57"/>
      <c r="D893" s="57"/>
      <c r="E893" s="59"/>
      <c r="F893" s="60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1"/>
      <c r="B894" s="61"/>
      <c r="C894" s="57"/>
      <c r="D894" s="57"/>
      <c r="E894" s="59"/>
      <c r="F894" s="60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1"/>
      <c r="B895" s="61"/>
      <c r="C895" s="57"/>
      <c r="D895" s="57"/>
      <c r="E895" s="59"/>
      <c r="F895" s="60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1"/>
      <c r="B896" s="61"/>
      <c r="C896" s="57"/>
      <c r="D896" s="57"/>
      <c r="E896" s="59"/>
      <c r="F896" s="60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1"/>
      <c r="B897" s="61"/>
      <c r="C897" s="57"/>
      <c r="D897" s="57"/>
      <c r="E897" s="59"/>
      <c r="F897" s="60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1"/>
      <c r="B898" s="61"/>
      <c r="C898" s="57"/>
      <c r="D898" s="57"/>
      <c r="E898" s="59"/>
      <c r="F898" s="60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1"/>
      <c r="B899" s="61"/>
      <c r="C899" s="57"/>
      <c r="D899" s="57"/>
      <c r="E899" s="59"/>
      <c r="F899" s="60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1"/>
      <c r="B900" s="61"/>
      <c r="C900" s="57"/>
      <c r="D900" s="57"/>
      <c r="E900" s="59"/>
      <c r="F900" s="60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1"/>
      <c r="B901" s="61"/>
      <c r="C901" s="57"/>
      <c r="D901" s="57"/>
      <c r="E901" s="59"/>
      <c r="F901" s="60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1"/>
      <c r="B902" s="61"/>
      <c r="C902" s="57"/>
      <c r="D902" s="57"/>
      <c r="E902" s="59"/>
      <c r="F902" s="60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1"/>
      <c r="B903" s="61"/>
      <c r="C903" s="57"/>
      <c r="D903" s="57"/>
      <c r="E903" s="59"/>
      <c r="F903" s="60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1"/>
      <c r="B904" s="61"/>
      <c r="C904" s="57"/>
      <c r="D904" s="57"/>
      <c r="E904" s="59"/>
      <c r="F904" s="60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1"/>
      <c r="B905" s="61"/>
      <c r="C905" s="57"/>
      <c r="D905" s="57"/>
      <c r="E905" s="59"/>
      <c r="F905" s="60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1"/>
      <c r="B906" s="61"/>
      <c r="C906" s="57"/>
      <c r="D906" s="57"/>
      <c r="E906" s="59"/>
      <c r="F906" s="60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1"/>
      <c r="B907" s="61"/>
      <c r="C907" s="57"/>
      <c r="D907" s="57"/>
      <c r="E907" s="59"/>
      <c r="F907" s="60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1"/>
      <c r="B908" s="61"/>
      <c r="C908" s="57"/>
      <c r="D908" s="57"/>
      <c r="E908" s="59"/>
      <c r="F908" s="60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1"/>
      <c r="B909" s="61"/>
      <c r="C909" s="57"/>
      <c r="D909" s="57"/>
      <c r="E909" s="59"/>
      <c r="F909" s="60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1"/>
      <c r="B910" s="61"/>
      <c r="C910" s="57"/>
      <c r="D910" s="57"/>
      <c r="E910" s="59"/>
      <c r="F910" s="60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1"/>
      <c r="B911" s="61"/>
      <c r="C911" s="57"/>
      <c r="D911" s="57"/>
      <c r="E911" s="59"/>
      <c r="F911" s="60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1"/>
      <c r="B912" s="61"/>
      <c r="C912" s="57"/>
      <c r="D912" s="57"/>
      <c r="E912" s="59"/>
      <c r="F912" s="60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1"/>
      <c r="B913" s="61"/>
      <c r="C913" s="57"/>
      <c r="D913" s="57"/>
      <c r="E913" s="59"/>
      <c r="F913" s="60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1"/>
      <c r="B914" s="61"/>
      <c r="C914" s="57"/>
      <c r="D914" s="57"/>
      <c r="E914" s="59"/>
      <c r="F914" s="60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1"/>
      <c r="B915" s="61"/>
      <c r="C915" s="57"/>
      <c r="D915" s="57"/>
      <c r="E915" s="59"/>
      <c r="F915" s="60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1"/>
      <c r="B916" s="61"/>
      <c r="C916" s="57"/>
      <c r="D916" s="57"/>
      <c r="E916" s="59"/>
      <c r="F916" s="60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1"/>
      <c r="B917" s="61"/>
      <c r="C917" s="57"/>
      <c r="D917" s="57"/>
      <c r="E917" s="59"/>
      <c r="F917" s="60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1"/>
      <c r="B918" s="61"/>
      <c r="C918" s="57"/>
      <c r="D918" s="57"/>
      <c r="E918" s="59"/>
      <c r="F918" s="60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1"/>
      <c r="B919" s="61"/>
      <c r="C919" s="57"/>
      <c r="D919" s="57"/>
      <c r="E919" s="59"/>
      <c r="F919" s="60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1"/>
      <c r="B920" s="61"/>
      <c r="C920" s="57"/>
      <c r="D920" s="57"/>
      <c r="E920" s="59"/>
      <c r="F920" s="60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1"/>
      <c r="B921" s="61"/>
      <c r="C921" s="57"/>
      <c r="D921" s="57"/>
      <c r="E921" s="59"/>
      <c r="F921" s="60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1"/>
      <c r="B922" s="61"/>
      <c r="C922" s="57"/>
      <c r="D922" s="57"/>
      <c r="E922" s="59"/>
      <c r="F922" s="60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1"/>
      <c r="B923" s="61"/>
      <c r="C923" s="57"/>
      <c r="D923" s="57"/>
      <c r="E923" s="59"/>
      <c r="F923" s="60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1"/>
      <c r="B924" s="61"/>
      <c r="C924" s="57"/>
      <c r="D924" s="57"/>
      <c r="E924" s="59"/>
      <c r="F924" s="60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1"/>
      <c r="B925" s="61"/>
      <c r="C925" s="57"/>
      <c r="D925" s="57"/>
      <c r="E925" s="59"/>
      <c r="F925" s="60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1"/>
      <c r="B926" s="61"/>
      <c r="C926" s="57"/>
      <c r="D926" s="57"/>
      <c r="E926" s="59"/>
      <c r="F926" s="60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1"/>
      <c r="B927" s="61"/>
      <c r="C927" s="57"/>
      <c r="D927" s="57"/>
      <c r="E927" s="59"/>
      <c r="F927" s="60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1"/>
      <c r="B928" s="61"/>
      <c r="C928" s="57"/>
      <c r="D928" s="57"/>
      <c r="E928" s="59"/>
      <c r="F928" s="60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1"/>
      <c r="B929" s="61"/>
      <c r="C929" s="57"/>
      <c r="D929" s="57"/>
      <c r="E929" s="59"/>
      <c r="F929" s="60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1"/>
      <c r="B930" s="61"/>
      <c r="C930" s="57"/>
      <c r="D930" s="57"/>
      <c r="E930" s="59"/>
      <c r="F930" s="60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1"/>
      <c r="B931" s="61"/>
      <c r="C931" s="57"/>
      <c r="D931" s="57"/>
      <c r="E931" s="59"/>
      <c r="F931" s="60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1"/>
      <c r="B932" s="61"/>
      <c r="C932" s="57"/>
      <c r="D932" s="57"/>
      <c r="E932" s="59"/>
      <c r="F932" s="60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1"/>
      <c r="B933" s="61"/>
      <c r="C933" s="57"/>
      <c r="D933" s="57"/>
      <c r="E933" s="59"/>
      <c r="F933" s="60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1"/>
      <c r="B934" s="61"/>
      <c r="C934" s="57"/>
      <c r="D934" s="57"/>
      <c r="E934" s="59"/>
      <c r="F934" s="60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1"/>
      <c r="B935" s="61"/>
      <c r="C935" s="57"/>
      <c r="D935" s="57"/>
      <c r="E935" s="59"/>
      <c r="F935" s="60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1"/>
      <c r="B936" s="61"/>
      <c r="C936" s="57"/>
      <c r="D936" s="57"/>
      <c r="E936" s="59"/>
      <c r="F936" s="60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1"/>
      <c r="B937" s="61"/>
      <c r="C937" s="57"/>
      <c r="D937" s="57"/>
      <c r="E937" s="59"/>
      <c r="F937" s="60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1"/>
      <c r="B938" s="61"/>
      <c r="C938" s="57"/>
      <c r="D938" s="57"/>
      <c r="E938" s="59"/>
      <c r="F938" s="60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1"/>
      <c r="B939" s="61"/>
      <c r="C939" s="57"/>
      <c r="D939" s="57"/>
      <c r="E939" s="59"/>
      <c r="F939" s="60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1"/>
      <c r="B940" s="61"/>
      <c r="C940" s="57"/>
      <c r="D940" s="57"/>
      <c r="E940" s="59"/>
      <c r="F940" s="60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1"/>
      <c r="B941" s="61"/>
      <c r="C941" s="57"/>
      <c r="D941" s="57"/>
      <c r="E941" s="59"/>
      <c r="F941" s="60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1"/>
      <c r="B942" s="61"/>
      <c r="C942" s="57"/>
      <c r="D942" s="57"/>
      <c r="E942" s="59"/>
      <c r="F942" s="60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1"/>
      <c r="B943" s="61"/>
      <c r="C943" s="57"/>
      <c r="D943" s="57"/>
      <c r="E943" s="59"/>
      <c r="F943" s="60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1"/>
      <c r="B944" s="61"/>
      <c r="C944" s="57"/>
      <c r="D944" s="57"/>
      <c r="E944" s="59"/>
      <c r="F944" s="60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1"/>
      <c r="B945" s="61"/>
      <c r="C945" s="57"/>
      <c r="D945" s="57"/>
      <c r="E945" s="59"/>
      <c r="F945" s="60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1"/>
      <c r="B946" s="61"/>
      <c r="C946" s="57"/>
      <c r="D946" s="57"/>
      <c r="E946" s="59"/>
      <c r="F946" s="60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1"/>
      <c r="B947" s="61"/>
      <c r="C947" s="57"/>
      <c r="D947" s="57"/>
      <c r="E947" s="59"/>
      <c r="F947" s="60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1"/>
      <c r="B948" s="61"/>
      <c r="C948" s="57"/>
      <c r="D948" s="57"/>
      <c r="E948" s="59"/>
      <c r="F948" s="60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1"/>
      <c r="B949" s="61"/>
      <c r="C949" s="57"/>
      <c r="D949" s="57"/>
      <c r="E949" s="59"/>
      <c r="F949" s="60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1"/>
      <c r="B950" s="61"/>
      <c r="C950" s="57"/>
      <c r="D950" s="57"/>
      <c r="E950" s="59"/>
      <c r="F950" s="60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1"/>
      <c r="B951" s="61"/>
      <c r="C951" s="57"/>
      <c r="D951" s="57"/>
      <c r="E951" s="59"/>
      <c r="F951" s="60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1"/>
      <c r="B952" s="61"/>
      <c r="C952" s="57"/>
      <c r="D952" s="57"/>
      <c r="E952" s="59"/>
      <c r="F952" s="60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1"/>
      <c r="B953" s="61"/>
      <c r="C953" s="57"/>
      <c r="D953" s="57"/>
      <c r="E953" s="59"/>
      <c r="F953" s="60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1"/>
      <c r="B954" s="61"/>
      <c r="C954" s="57"/>
      <c r="D954" s="57"/>
      <c r="E954" s="59"/>
      <c r="F954" s="60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1"/>
      <c r="B955" s="61"/>
      <c r="C955" s="57"/>
      <c r="D955" s="57"/>
      <c r="E955" s="59"/>
      <c r="F955" s="60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1"/>
      <c r="B956" s="61"/>
      <c r="C956" s="57"/>
      <c r="D956" s="57"/>
      <c r="E956" s="59"/>
      <c r="F956" s="60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1"/>
      <c r="B957" s="61"/>
      <c r="C957" s="57"/>
      <c r="D957" s="57"/>
      <c r="E957" s="59"/>
      <c r="F957" s="60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1"/>
      <c r="B958" s="61"/>
      <c r="C958" s="57"/>
      <c r="D958" s="57"/>
      <c r="E958" s="59"/>
      <c r="F958" s="60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1"/>
      <c r="B959" s="61"/>
      <c r="C959" s="57"/>
      <c r="D959" s="57"/>
      <c r="E959" s="59"/>
      <c r="F959" s="60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61"/>
      <c r="B960" s="61"/>
      <c r="C960" s="57"/>
      <c r="D960" s="57"/>
      <c r="E960" s="59"/>
      <c r="F960" s="60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61"/>
      <c r="B961" s="61"/>
      <c r="C961" s="57"/>
      <c r="D961" s="57"/>
      <c r="E961" s="59"/>
      <c r="F961" s="60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61"/>
      <c r="B962" s="61"/>
      <c r="C962" s="57"/>
      <c r="D962" s="57"/>
      <c r="E962" s="59"/>
      <c r="F962" s="60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61"/>
      <c r="B963" s="61"/>
      <c r="C963" s="57"/>
      <c r="D963" s="57"/>
      <c r="E963" s="59"/>
      <c r="F963" s="60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61"/>
      <c r="B964" s="61"/>
      <c r="C964" s="57"/>
      <c r="D964" s="57"/>
      <c r="E964" s="59"/>
      <c r="F964" s="60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61"/>
      <c r="B965" s="61"/>
      <c r="C965" s="57"/>
      <c r="D965" s="57"/>
      <c r="E965" s="59"/>
      <c r="F965" s="60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61"/>
      <c r="B966" s="61"/>
      <c r="C966" s="57"/>
      <c r="D966" s="57"/>
      <c r="E966" s="59"/>
      <c r="F966" s="60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61"/>
      <c r="B967" s="61"/>
      <c r="C967" s="57"/>
      <c r="D967" s="57"/>
      <c r="E967" s="59"/>
      <c r="F967" s="60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61"/>
      <c r="B968" s="61"/>
      <c r="C968" s="57"/>
      <c r="D968" s="57"/>
      <c r="E968" s="59"/>
      <c r="F968" s="60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61"/>
      <c r="B969" s="61"/>
      <c r="C969" s="57"/>
      <c r="D969" s="57"/>
      <c r="E969" s="59"/>
      <c r="F969" s="60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61"/>
      <c r="B970" s="61"/>
      <c r="C970" s="57"/>
      <c r="D970" s="57"/>
      <c r="E970" s="59"/>
      <c r="F970" s="60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61"/>
      <c r="B971" s="61"/>
      <c r="C971" s="57"/>
      <c r="D971" s="57"/>
      <c r="E971" s="59"/>
      <c r="F971" s="60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61"/>
      <c r="B972" s="61"/>
      <c r="C972" s="57"/>
      <c r="D972" s="57"/>
      <c r="E972" s="59"/>
      <c r="F972" s="60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61"/>
      <c r="B973" s="61"/>
      <c r="C973" s="57"/>
      <c r="D973" s="57"/>
      <c r="E973" s="59"/>
      <c r="F973" s="60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61"/>
      <c r="B974" s="61"/>
      <c r="C974" s="57"/>
      <c r="D974" s="57"/>
      <c r="E974" s="59"/>
      <c r="F974" s="60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61"/>
      <c r="B975" s="61"/>
      <c r="C975" s="57"/>
      <c r="D975" s="57"/>
      <c r="E975" s="59"/>
      <c r="F975" s="60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61"/>
      <c r="B976" s="61"/>
      <c r="C976" s="57"/>
      <c r="D976" s="57"/>
      <c r="E976" s="59"/>
      <c r="F976" s="60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61"/>
      <c r="B977" s="61"/>
      <c r="C977" s="57"/>
      <c r="D977" s="57"/>
      <c r="E977" s="59"/>
      <c r="F977" s="60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61"/>
      <c r="B978" s="61"/>
      <c r="C978" s="57"/>
      <c r="D978" s="57"/>
      <c r="E978" s="59"/>
      <c r="F978" s="60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61"/>
      <c r="B979" s="61"/>
      <c r="C979" s="57"/>
      <c r="D979" s="57"/>
      <c r="E979" s="59"/>
      <c r="F979" s="60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61"/>
      <c r="B980" s="61"/>
      <c r="C980" s="57"/>
      <c r="D980" s="57"/>
      <c r="E980" s="59"/>
      <c r="F980" s="60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61"/>
      <c r="B981" s="61"/>
      <c r="C981" s="57"/>
      <c r="D981" s="57"/>
      <c r="E981" s="59"/>
      <c r="F981" s="60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61"/>
      <c r="B982" s="61"/>
      <c r="C982" s="57"/>
      <c r="D982" s="57"/>
      <c r="E982" s="59"/>
      <c r="F982" s="60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61"/>
      <c r="B983" s="61"/>
      <c r="C983" s="57"/>
      <c r="D983" s="57"/>
      <c r="E983" s="59"/>
      <c r="F983" s="60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61"/>
      <c r="B984" s="61"/>
      <c r="C984" s="57"/>
      <c r="D984" s="57"/>
      <c r="E984" s="59"/>
      <c r="F984" s="60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61"/>
      <c r="B985" s="61"/>
      <c r="C985" s="57"/>
      <c r="D985" s="57"/>
      <c r="E985" s="59"/>
      <c r="F985" s="60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61"/>
      <c r="B986" s="61"/>
      <c r="C986" s="57"/>
      <c r="D986" s="57"/>
      <c r="E986" s="59"/>
      <c r="F986" s="60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61"/>
      <c r="B987" s="61"/>
      <c r="C987" s="57"/>
      <c r="D987" s="57"/>
      <c r="E987" s="59"/>
      <c r="F987" s="60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61"/>
      <c r="B988" s="61"/>
      <c r="C988" s="57"/>
      <c r="D988" s="57"/>
      <c r="E988" s="59"/>
      <c r="F988" s="60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61"/>
      <c r="B989" s="61"/>
      <c r="C989" s="57"/>
      <c r="D989" s="57"/>
      <c r="E989" s="59"/>
      <c r="F989" s="60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61"/>
      <c r="B990" s="61"/>
      <c r="C990" s="57"/>
      <c r="D990" s="57"/>
      <c r="E990" s="59"/>
      <c r="F990" s="60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61"/>
      <c r="B991" s="61"/>
      <c r="C991" s="57"/>
      <c r="D991" s="57"/>
      <c r="E991" s="59"/>
      <c r="F991" s="60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61"/>
      <c r="B992" s="61"/>
      <c r="C992" s="57"/>
      <c r="D992" s="57"/>
      <c r="E992" s="59"/>
      <c r="F992" s="60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61"/>
      <c r="B993" s="61"/>
      <c r="C993" s="57"/>
      <c r="D993" s="57"/>
      <c r="E993" s="59"/>
      <c r="F993" s="60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61"/>
      <c r="B994" s="61"/>
      <c r="C994" s="57"/>
      <c r="D994" s="57"/>
      <c r="E994" s="59"/>
      <c r="F994" s="60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61"/>
      <c r="B995" s="61"/>
      <c r="C995" s="57"/>
      <c r="D995" s="57"/>
      <c r="E995" s="59"/>
      <c r="F995" s="60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61"/>
      <c r="B996" s="61"/>
      <c r="C996" s="57"/>
      <c r="D996" s="57"/>
      <c r="E996" s="59"/>
      <c r="F996" s="60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61"/>
      <c r="B997" s="61"/>
      <c r="C997" s="57"/>
      <c r="D997" s="57"/>
      <c r="E997" s="59"/>
      <c r="F997" s="60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61"/>
      <c r="B998" s="61"/>
      <c r="C998" s="57"/>
      <c r="D998" s="57"/>
      <c r="E998" s="59"/>
      <c r="F998" s="60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61"/>
      <c r="B999" s="61"/>
      <c r="C999" s="57"/>
      <c r="D999" s="57"/>
      <c r="E999" s="59"/>
      <c r="F999" s="60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61"/>
      <c r="B1000" s="61"/>
      <c r="C1000" s="57"/>
      <c r="D1000" s="57"/>
      <c r="E1000" s="59"/>
      <c r="F1000" s="60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  <row r="1001">
      <c r="A1001" s="61"/>
      <c r="B1001" s="61"/>
      <c r="C1001" s="57"/>
      <c r="D1001" s="57"/>
      <c r="E1001" s="59"/>
      <c r="F1001" s="60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</row>
  </sheetData>
  <mergeCells count="8">
    <mergeCell ref="A1:B1"/>
    <mergeCell ref="A18:B18"/>
    <mergeCell ref="A36:B36"/>
    <mergeCell ref="A53:B53"/>
    <mergeCell ref="A70:B70"/>
    <mergeCell ref="A87:B87"/>
    <mergeCell ref="A104:B104"/>
    <mergeCell ref="A121:B1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4"/>
      <c r="D1" s="1" t="s">
        <v>2</v>
      </c>
      <c r="E1" s="68"/>
      <c r="I1" s="69"/>
      <c r="J1" s="68"/>
    </row>
    <row r="2">
      <c r="A2" s="1" t="s">
        <v>4</v>
      </c>
      <c r="B2" s="9" t="s">
        <v>143</v>
      </c>
      <c r="C2" s="4"/>
      <c r="D2" s="1" t="s">
        <v>6</v>
      </c>
      <c r="E2" s="68"/>
      <c r="I2" s="69"/>
      <c r="J2" s="68"/>
    </row>
    <row r="3">
      <c r="A3" s="70" t="s">
        <v>144</v>
      </c>
      <c r="B3" s="71" t="s">
        <v>145</v>
      </c>
      <c r="C3" s="70"/>
      <c r="D3" s="72" t="s">
        <v>146</v>
      </c>
      <c r="E3" s="68"/>
      <c r="I3" s="69"/>
      <c r="J3" s="68"/>
    </row>
    <row r="4">
      <c r="A4" s="16"/>
      <c r="B4" s="73"/>
      <c r="C4" s="16"/>
      <c r="D4" s="1" t="s">
        <v>147</v>
      </c>
      <c r="E4" s="68"/>
      <c r="I4" s="69"/>
      <c r="J4" s="68"/>
    </row>
    <row r="5">
      <c r="A5" s="74">
        <v>13.0</v>
      </c>
      <c r="B5" s="75">
        <v>0.0</v>
      </c>
      <c r="C5" s="74"/>
      <c r="D5" s="74">
        <v>0.0</v>
      </c>
      <c r="E5" s="68"/>
      <c r="I5" s="69"/>
      <c r="J5" s="68"/>
    </row>
    <row r="6">
      <c r="A6" s="19"/>
      <c r="B6" s="3"/>
      <c r="C6" s="3"/>
      <c r="D6" s="3"/>
      <c r="E6" s="68"/>
      <c r="I6" s="69"/>
      <c r="J6" s="68"/>
    </row>
    <row r="7">
      <c r="A7" s="11" t="s">
        <v>7</v>
      </c>
      <c r="B7" s="3"/>
      <c r="C7" s="3"/>
      <c r="D7" s="4"/>
      <c r="E7" s="68"/>
      <c r="I7" s="69"/>
      <c r="J7" s="68"/>
    </row>
    <row r="8">
      <c r="A8" s="15" t="s">
        <v>11</v>
      </c>
      <c r="B8" s="2" t="s">
        <v>12</v>
      </c>
      <c r="C8" s="4"/>
      <c r="D8" s="2"/>
      <c r="E8" s="68"/>
      <c r="I8" s="69"/>
      <c r="J8" s="68"/>
    </row>
    <row r="9">
      <c r="A9" s="16"/>
      <c r="B9" s="76" t="s">
        <v>15</v>
      </c>
      <c r="C9" s="76" t="s">
        <v>16</v>
      </c>
      <c r="D9" s="76" t="s">
        <v>16</v>
      </c>
      <c r="E9" s="68"/>
      <c r="I9" s="69"/>
      <c r="J9" s="68"/>
    </row>
    <row r="10">
      <c r="A10" s="18" t="s">
        <v>148</v>
      </c>
      <c r="B10" s="54">
        <v>0.19375</v>
      </c>
      <c r="C10" s="77"/>
      <c r="D10" s="77"/>
      <c r="E10" s="68"/>
      <c r="I10" s="69"/>
      <c r="J10" s="68"/>
    </row>
    <row r="11">
      <c r="A11" s="18" t="s">
        <v>149</v>
      </c>
      <c r="B11" s="54">
        <v>0.18680555555555556</v>
      </c>
      <c r="C11" s="77"/>
      <c r="D11" s="54">
        <v>0.6680555555555555</v>
      </c>
      <c r="E11" s="78">
        <v>0.3541666666666667</v>
      </c>
      <c r="F11" s="50" t="str">
        <f>#REF!-E11</f>
        <v>#REF!</v>
      </c>
      <c r="I11" s="69"/>
      <c r="J11" s="68"/>
    </row>
    <row r="12">
      <c r="A12" s="18" t="s">
        <v>150</v>
      </c>
      <c r="B12" s="54">
        <v>0.19375</v>
      </c>
      <c r="C12" s="77"/>
      <c r="D12" s="77"/>
      <c r="E12" s="68"/>
      <c r="I12" s="69"/>
      <c r="J12" s="68"/>
    </row>
    <row r="13">
      <c r="A13" s="18" t="s">
        <v>151</v>
      </c>
      <c r="B13" s="54">
        <v>0.18819444444444444</v>
      </c>
      <c r="C13" s="77"/>
      <c r="D13" s="77"/>
      <c r="E13" s="68"/>
      <c r="I13" s="69"/>
      <c r="J13" s="68"/>
    </row>
    <row r="14">
      <c r="A14" s="22" t="s">
        <v>152</v>
      </c>
      <c r="B14" s="54">
        <v>0.19305555555555556</v>
      </c>
      <c r="C14" s="54">
        <v>0.6618055555555555</v>
      </c>
      <c r="D14" s="77"/>
      <c r="E14" s="78">
        <v>0.3541666666666667</v>
      </c>
      <c r="F14" s="50" t="str">
        <f>#REF!-E14</f>
        <v>#REF!</v>
      </c>
      <c r="I14" s="69"/>
      <c r="J14" s="68"/>
    </row>
    <row r="15">
      <c r="A15" s="22" t="s">
        <v>153</v>
      </c>
      <c r="B15" s="77"/>
      <c r="C15" s="77"/>
      <c r="D15" s="77"/>
      <c r="E15" s="68"/>
      <c r="I15" s="69"/>
      <c r="J15" s="68"/>
    </row>
    <row r="16">
      <c r="A16" s="18" t="s">
        <v>154</v>
      </c>
      <c r="B16" s="54">
        <v>0.17430555555555555</v>
      </c>
      <c r="C16" s="77"/>
      <c r="D16" s="77"/>
      <c r="E16" s="68"/>
      <c r="I16" s="69"/>
      <c r="J16" s="68"/>
    </row>
    <row r="17">
      <c r="A17" s="18" t="s">
        <v>155</v>
      </c>
      <c r="B17" s="54">
        <v>0.18819444444444444</v>
      </c>
      <c r="C17" s="77"/>
      <c r="D17" s="77"/>
      <c r="E17" s="68"/>
      <c r="I17" s="69"/>
      <c r="J17" s="68"/>
    </row>
    <row r="18">
      <c r="A18" s="18" t="s">
        <v>156</v>
      </c>
      <c r="B18" s="54">
        <v>0.1951388888888889</v>
      </c>
      <c r="C18" s="77"/>
      <c r="D18" s="77"/>
      <c r="E18" s="68"/>
      <c r="I18" s="69"/>
      <c r="J18" s="68"/>
    </row>
    <row r="19">
      <c r="A19" s="18" t="s">
        <v>157</v>
      </c>
      <c r="B19" s="54">
        <v>0.1951388888888889</v>
      </c>
      <c r="C19" s="77"/>
      <c r="D19" s="77"/>
      <c r="E19" s="68"/>
      <c r="I19" s="69"/>
      <c r="J19" s="68"/>
    </row>
    <row r="20">
      <c r="A20" s="18" t="s">
        <v>158</v>
      </c>
      <c r="B20" s="79"/>
      <c r="C20" s="24"/>
      <c r="D20" s="26"/>
      <c r="E20" s="68"/>
      <c r="I20" s="69"/>
      <c r="J20" s="68"/>
    </row>
    <row r="21">
      <c r="A21" s="22" t="s">
        <v>159</v>
      </c>
      <c r="B21" s="77"/>
      <c r="C21" s="77"/>
      <c r="D21" s="77"/>
      <c r="E21" s="68"/>
      <c r="I21" s="69"/>
      <c r="J21" s="68"/>
    </row>
    <row r="22">
      <c r="A22" s="22" t="s">
        <v>160</v>
      </c>
      <c r="B22" s="77"/>
      <c r="C22" s="77"/>
      <c r="D22" s="77"/>
      <c r="E22" s="68"/>
      <c r="I22" s="69"/>
      <c r="J22" s="68"/>
    </row>
    <row r="23">
      <c r="A23" s="18" t="s">
        <v>161</v>
      </c>
      <c r="B23" s="79"/>
      <c r="C23" s="24"/>
      <c r="D23" s="26"/>
      <c r="E23" s="68"/>
      <c r="I23" s="69"/>
      <c r="J23" s="68"/>
    </row>
    <row r="24">
      <c r="A24" s="18" t="s">
        <v>162</v>
      </c>
      <c r="B24" s="54">
        <v>0.20416666666666666</v>
      </c>
      <c r="C24" s="77"/>
      <c r="D24" s="77"/>
      <c r="E24" s="68"/>
      <c r="I24" s="69"/>
      <c r="J24" s="68"/>
    </row>
    <row r="25">
      <c r="A25" s="18" t="s">
        <v>163</v>
      </c>
      <c r="B25" s="54">
        <v>0.20208333333333334</v>
      </c>
      <c r="C25" s="77"/>
      <c r="D25" s="77"/>
      <c r="E25" s="68"/>
      <c r="I25" s="69"/>
      <c r="J25" s="68"/>
    </row>
    <row r="26">
      <c r="A26" s="18" t="s">
        <v>164</v>
      </c>
      <c r="B26" s="54">
        <v>0.20416666666666666</v>
      </c>
      <c r="C26" s="77"/>
      <c r="D26" s="77"/>
      <c r="E26" s="68"/>
      <c r="I26" s="69"/>
      <c r="J26" s="68"/>
    </row>
    <row r="27">
      <c r="E27" s="68"/>
      <c r="I27" s="69"/>
      <c r="J27" s="68"/>
    </row>
    <row r="28">
      <c r="E28" s="68"/>
      <c r="I28" s="69"/>
      <c r="J28" s="68"/>
    </row>
    <row r="29">
      <c r="A29" s="1" t="s">
        <v>0</v>
      </c>
      <c r="B29" s="2" t="s">
        <v>1</v>
      </c>
      <c r="C29" s="4"/>
      <c r="D29" s="1" t="s">
        <v>2</v>
      </c>
      <c r="E29" s="68"/>
      <c r="I29" s="69"/>
      <c r="J29" s="68"/>
    </row>
    <row r="30">
      <c r="A30" s="1" t="s">
        <v>4</v>
      </c>
      <c r="B30" s="9" t="s">
        <v>143</v>
      </c>
      <c r="C30" s="4"/>
      <c r="D30" s="1" t="s">
        <v>6</v>
      </c>
      <c r="E30" s="68"/>
      <c r="I30" s="69"/>
      <c r="J30" s="68"/>
    </row>
    <row r="31">
      <c r="A31" s="70" t="s">
        <v>144</v>
      </c>
      <c r="B31" s="71" t="s">
        <v>145</v>
      </c>
      <c r="C31" s="70"/>
      <c r="D31" s="72" t="s">
        <v>146</v>
      </c>
      <c r="E31" s="68"/>
      <c r="I31" s="69"/>
      <c r="J31" s="68"/>
    </row>
    <row r="32">
      <c r="A32" s="16"/>
      <c r="B32" s="73"/>
      <c r="C32" s="16"/>
      <c r="D32" s="1" t="s">
        <v>147</v>
      </c>
      <c r="E32" s="68"/>
      <c r="I32" s="69"/>
      <c r="J32" s="68"/>
    </row>
    <row r="33">
      <c r="A33" s="74">
        <v>13.0</v>
      </c>
      <c r="B33" s="75">
        <v>0.0</v>
      </c>
      <c r="C33" s="74"/>
      <c r="D33" s="74">
        <v>0.0</v>
      </c>
      <c r="E33" s="68"/>
      <c r="I33" s="69"/>
      <c r="J33" s="68"/>
    </row>
    <row r="34">
      <c r="A34" s="19"/>
      <c r="B34" s="3"/>
      <c r="C34" s="3"/>
      <c r="D34" s="3"/>
      <c r="E34" s="68"/>
      <c r="I34" s="69"/>
      <c r="J34" s="68"/>
    </row>
    <row r="35">
      <c r="A35" s="11" t="s">
        <v>7</v>
      </c>
      <c r="B35" s="3"/>
      <c r="C35" s="3"/>
      <c r="D35" s="4"/>
      <c r="E35" s="68"/>
      <c r="I35" s="69"/>
      <c r="J35" s="68"/>
    </row>
    <row r="36">
      <c r="A36" s="15" t="s">
        <v>11</v>
      </c>
      <c r="B36" s="2" t="s">
        <v>12</v>
      </c>
      <c r="C36" s="4"/>
      <c r="D36" s="2"/>
      <c r="E36" s="68"/>
      <c r="I36" s="69"/>
      <c r="J36" s="68"/>
    </row>
    <row r="37">
      <c r="A37" s="16"/>
      <c r="B37" s="76" t="s">
        <v>15</v>
      </c>
      <c r="C37" s="76" t="s">
        <v>16</v>
      </c>
      <c r="D37" s="76" t="s">
        <v>16</v>
      </c>
      <c r="E37" s="68"/>
      <c r="I37" s="69"/>
      <c r="J37" s="68"/>
    </row>
    <row r="38">
      <c r="A38" s="18" t="s">
        <v>148</v>
      </c>
      <c r="B38" s="54">
        <v>0.30694444444444446</v>
      </c>
      <c r="C38" s="77"/>
      <c r="D38" s="54">
        <v>0.7541666666666667</v>
      </c>
      <c r="E38" s="78">
        <v>0.375</v>
      </c>
      <c r="F38" s="50" t="str">
        <f t="shared" ref="F38:F39" si="1">#REF!-E38</f>
        <v>#REF!</v>
      </c>
      <c r="I38" s="69"/>
      <c r="J38" s="68"/>
    </row>
    <row r="39">
      <c r="A39" s="18" t="s">
        <v>149</v>
      </c>
      <c r="B39" s="54">
        <v>0.3972222222222222</v>
      </c>
      <c r="C39" s="77"/>
      <c r="D39" s="77"/>
      <c r="E39" s="78">
        <v>0.375</v>
      </c>
      <c r="F39" s="50" t="str">
        <f t="shared" si="1"/>
        <v>#REF!</v>
      </c>
      <c r="I39" s="69"/>
      <c r="J39" s="68"/>
    </row>
    <row r="40">
      <c r="A40" s="18" t="s">
        <v>150</v>
      </c>
      <c r="B40" s="54">
        <v>0.37430555555555556</v>
      </c>
      <c r="C40" s="77"/>
      <c r="D40" s="54">
        <v>0.7527777777777778</v>
      </c>
      <c r="E40" s="78">
        <v>0.375</v>
      </c>
      <c r="I40" s="69"/>
      <c r="J40" s="68"/>
    </row>
    <row r="41">
      <c r="A41" s="18" t="s">
        <v>151</v>
      </c>
      <c r="B41" s="54">
        <v>0.38958333333333334</v>
      </c>
      <c r="C41" s="77"/>
      <c r="D41" s="77"/>
      <c r="E41" s="78">
        <v>0.375</v>
      </c>
      <c r="F41" s="50" t="str">
        <f>#REF!-E41</f>
        <v>#REF!</v>
      </c>
      <c r="I41" s="69"/>
      <c r="J41" s="68"/>
    </row>
    <row r="42">
      <c r="A42" s="22" t="s">
        <v>152</v>
      </c>
      <c r="B42" s="54">
        <v>0.40625</v>
      </c>
      <c r="C42" s="77"/>
      <c r="D42" s="77"/>
      <c r="E42" s="68"/>
      <c r="F42" s="50" t="str">
        <f>#REF!</f>
        <v>#REF!</v>
      </c>
      <c r="I42" s="69"/>
      <c r="J42" s="68"/>
    </row>
    <row r="43">
      <c r="A43" s="22" t="s">
        <v>153</v>
      </c>
      <c r="B43" s="77"/>
      <c r="C43" s="77"/>
      <c r="D43" s="77"/>
      <c r="E43" s="68"/>
      <c r="I43" s="69"/>
      <c r="J43" s="68"/>
    </row>
    <row r="44">
      <c r="A44" s="18" t="s">
        <v>154</v>
      </c>
      <c r="B44" s="54">
        <v>0.3576388888888889</v>
      </c>
      <c r="C44" s="77"/>
      <c r="D44" s="77"/>
      <c r="E44" s="78">
        <v>0.375</v>
      </c>
      <c r="F44" s="50" t="str">
        <f t="shared" ref="F44:F48" si="2">#REF!-E44</f>
        <v>#REF!</v>
      </c>
      <c r="I44" s="69"/>
      <c r="J44" s="68"/>
    </row>
    <row r="45">
      <c r="A45" s="18" t="s">
        <v>155</v>
      </c>
      <c r="B45" s="54">
        <v>0.38333333333333336</v>
      </c>
      <c r="C45" s="77"/>
      <c r="D45" s="77"/>
      <c r="E45" s="78">
        <v>0.375</v>
      </c>
      <c r="F45" s="50" t="str">
        <f t="shared" si="2"/>
        <v>#REF!</v>
      </c>
      <c r="I45" s="69"/>
      <c r="J45" s="68"/>
    </row>
    <row r="46">
      <c r="A46" s="18" t="s">
        <v>156</v>
      </c>
      <c r="B46" s="54">
        <v>0.38819444444444445</v>
      </c>
      <c r="C46" s="77"/>
      <c r="D46" s="77"/>
      <c r="E46" s="78">
        <v>0.375</v>
      </c>
      <c r="F46" s="50" t="str">
        <f t="shared" si="2"/>
        <v>#REF!</v>
      </c>
      <c r="I46" s="69"/>
      <c r="J46" s="68"/>
    </row>
    <row r="47">
      <c r="A47" s="18" t="s">
        <v>157</v>
      </c>
      <c r="B47" s="54">
        <v>0.3104166666666667</v>
      </c>
      <c r="C47" s="77"/>
      <c r="D47" s="54">
        <v>0.7319444444444444</v>
      </c>
      <c r="E47" s="78">
        <v>0.375</v>
      </c>
      <c r="F47" s="50" t="str">
        <f t="shared" si="2"/>
        <v>#REF!</v>
      </c>
      <c r="I47" s="69"/>
      <c r="J47" s="68"/>
    </row>
    <row r="48">
      <c r="A48" s="18" t="s">
        <v>158</v>
      </c>
      <c r="B48" s="54">
        <v>0.39375</v>
      </c>
      <c r="C48" s="77"/>
      <c r="D48" s="77"/>
      <c r="E48" s="78">
        <v>0.375</v>
      </c>
      <c r="F48" s="50" t="str">
        <f t="shared" si="2"/>
        <v>#REF!</v>
      </c>
      <c r="I48" s="69"/>
      <c r="J48" s="68"/>
    </row>
    <row r="49">
      <c r="A49" s="22" t="s">
        <v>159</v>
      </c>
      <c r="B49" s="54">
        <v>0.36666666666666664</v>
      </c>
      <c r="C49" s="54">
        <v>0.7173611111111111</v>
      </c>
      <c r="D49" s="77"/>
      <c r="E49" s="68"/>
      <c r="F49" s="50" t="str">
        <f>#REF!</f>
        <v>#REF!</v>
      </c>
      <c r="I49" s="69"/>
      <c r="J49" s="68"/>
    </row>
    <row r="50">
      <c r="A50" s="22" t="s">
        <v>160</v>
      </c>
      <c r="B50" s="77"/>
      <c r="C50" s="77"/>
      <c r="D50" s="77"/>
      <c r="E50" s="68"/>
      <c r="I50" s="69"/>
      <c r="J50" s="68"/>
    </row>
    <row r="51">
      <c r="A51" s="18" t="s">
        <v>161</v>
      </c>
      <c r="B51" s="54">
        <v>0.3416666666666667</v>
      </c>
      <c r="C51" s="77"/>
      <c r="D51" s="77"/>
      <c r="E51" s="78">
        <v>0.375</v>
      </c>
      <c r="F51" s="50" t="str">
        <f t="shared" ref="F51:F54" si="3">#REF!-E51</f>
        <v>#REF!</v>
      </c>
      <c r="I51" s="69"/>
      <c r="J51" s="68"/>
    </row>
    <row r="52">
      <c r="A52" s="18" t="s">
        <v>162</v>
      </c>
      <c r="B52" s="54">
        <v>0.3798611111111111</v>
      </c>
      <c r="C52" s="77"/>
      <c r="D52" s="77"/>
      <c r="E52" s="78">
        <v>0.375</v>
      </c>
      <c r="F52" s="50" t="str">
        <f t="shared" si="3"/>
        <v>#REF!</v>
      </c>
      <c r="I52" s="69"/>
      <c r="J52" s="68"/>
    </row>
    <row r="53">
      <c r="A53" s="18" t="s">
        <v>163</v>
      </c>
      <c r="B53" s="54">
        <v>0.3701388888888889</v>
      </c>
      <c r="C53" s="77"/>
      <c r="D53" s="77"/>
      <c r="E53" s="78">
        <v>0.375</v>
      </c>
      <c r="F53" s="50" t="str">
        <f t="shared" si="3"/>
        <v>#REF!</v>
      </c>
      <c r="I53" s="69"/>
      <c r="J53" s="68"/>
    </row>
    <row r="54">
      <c r="A54" s="18" t="s">
        <v>164</v>
      </c>
      <c r="B54" s="54">
        <v>0.3541666666666667</v>
      </c>
      <c r="C54" s="77"/>
      <c r="D54" s="77"/>
      <c r="E54" s="78">
        <v>0.375</v>
      </c>
      <c r="F54" s="50" t="str">
        <f t="shared" si="3"/>
        <v>#REF!</v>
      </c>
      <c r="I54" s="69"/>
      <c r="J54" s="68"/>
    </row>
    <row r="55">
      <c r="E55" s="68"/>
      <c r="F55" s="52" t="str">
        <f>F38+F39+F41+F42+F44+F45+F46+F47+F48+F49+F51+F52+F53+F54</f>
        <v>#REF!</v>
      </c>
      <c r="I55" s="69"/>
      <c r="J55" s="68"/>
    </row>
    <row r="56">
      <c r="E56" s="68"/>
      <c r="I56" s="69"/>
      <c r="J56" s="68"/>
    </row>
    <row r="57">
      <c r="E57" s="68"/>
      <c r="I57" s="69"/>
      <c r="J57" s="68"/>
    </row>
    <row r="58">
      <c r="A58" s="1" t="s">
        <v>0</v>
      </c>
      <c r="B58" s="2" t="s">
        <v>1</v>
      </c>
      <c r="C58" s="3"/>
      <c r="D58" s="4"/>
      <c r="E58" s="1" t="s">
        <v>2</v>
      </c>
      <c r="F58" s="10" t="s">
        <v>101</v>
      </c>
      <c r="G58" s="3"/>
      <c r="H58" s="4"/>
      <c r="I58" s="69"/>
      <c r="J58" s="68"/>
    </row>
    <row r="59">
      <c r="A59" s="1" t="s">
        <v>4</v>
      </c>
      <c r="B59" s="9" t="s">
        <v>143</v>
      </c>
      <c r="C59" s="3"/>
      <c r="D59" s="4"/>
      <c r="E59" s="1" t="s">
        <v>6</v>
      </c>
      <c r="F59" s="10">
        <v>16.0</v>
      </c>
      <c r="G59" s="3"/>
      <c r="H59" s="4"/>
      <c r="I59" s="69"/>
      <c r="J59" s="68"/>
    </row>
    <row r="60">
      <c r="A60" s="70" t="s">
        <v>144</v>
      </c>
      <c r="B60" s="71" t="s">
        <v>145</v>
      </c>
      <c r="C60" s="80" t="s">
        <v>165</v>
      </c>
      <c r="D60" s="39"/>
      <c r="E60" s="81" t="s">
        <v>146</v>
      </c>
      <c r="F60" s="4"/>
      <c r="G60" s="81"/>
      <c r="H60" s="4"/>
      <c r="I60" s="69"/>
      <c r="J60" s="68"/>
    </row>
    <row r="61">
      <c r="A61" s="16"/>
      <c r="B61" s="73"/>
      <c r="C61" s="73"/>
      <c r="D61" s="46"/>
      <c r="E61" s="1" t="s">
        <v>147</v>
      </c>
      <c r="F61" s="82" t="s">
        <v>166</v>
      </c>
      <c r="G61" s="82"/>
      <c r="H61" s="1" t="s">
        <v>166</v>
      </c>
      <c r="I61" s="69"/>
      <c r="J61" s="68"/>
    </row>
    <row r="62">
      <c r="A62" s="74">
        <v>13.0</v>
      </c>
      <c r="B62" s="75">
        <v>0.0</v>
      </c>
      <c r="C62" s="83">
        <v>0.0</v>
      </c>
      <c r="D62" s="4"/>
      <c r="E62" s="74">
        <v>0.0</v>
      </c>
      <c r="F62" s="84">
        <v>0.0</v>
      </c>
      <c r="G62" s="84"/>
      <c r="H62" s="74">
        <v>0.0</v>
      </c>
      <c r="I62" s="69"/>
      <c r="J62" s="68"/>
    </row>
    <row r="63">
      <c r="A63" s="19"/>
      <c r="B63" s="3"/>
      <c r="C63" s="3"/>
      <c r="D63" s="3"/>
      <c r="E63" s="3"/>
      <c r="F63" s="3"/>
      <c r="G63" s="3"/>
      <c r="H63" s="3"/>
      <c r="I63" s="69"/>
      <c r="J63" s="68"/>
    </row>
    <row r="64">
      <c r="A64" s="11" t="s">
        <v>7</v>
      </c>
      <c r="B64" s="3"/>
      <c r="C64" s="3"/>
      <c r="D64" s="3"/>
      <c r="E64" s="3"/>
      <c r="F64" s="3"/>
      <c r="G64" s="3"/>
      <c r="H64" s="4"/>
      <c r="I64" s="69"/>
      <c r="J64" s="68"/>
    </row>
    <row r="65">
      <c r="A65" s="15" t="s">
        <v>11</v>
      </c>
      <c r="B65" s="2" t="s">
        <v>12</v>
      </c>
      <c r="C65" s="3"/>
      <c r="D65" s="4"/>
      <c r="E65" s="2"/>
      <c r="F65" s="3"/>
      <c r="G65" s="10"/>
      <c r="H65" s="4"/>
      <c r="I65" s="69"/>
      <c r="J65" s="68"/>
    </row>
    <row r="66">
      <c r="A66" s="16"/>
      <c r="B66" s="17" t="s">
        <v>15</v>
      </c>
      <c r="C66" s="4"/>
      <c r="D66" s="76" t="s">
        <v>16</v>
      </c>
      <c r="E66" s="17" t="s">
        <v>16</v>
      </c>
      <c r="F66" s="4"/>
      <c r="G66" s="17" t="s">
        <v>16</v>
      </c>
      <c r="H66" s="4"/>
      <c r="I66" s="69"/>
      <c r="J66" s="68"/>
    </row>
    <row r="67">
      <c r="A67" s="18" t="s">
        <v>148</v>
      </c>
      <c r="B67" s="20">
        <v>0.36736111111111114</v>
      </c>
      <c r="C67" s="4"/>
      <c r="D67" s="77"/>
      <c r="E67" s="85">
        <v>0.71875</v>
      </c>
      <c r="F67" s="4"/>
      <c r="G67" s="19"/>
      <c r="H67" s="4"/>
      <c r="I67" s="69"/>
      <c r="J67" s="78"/>
    </row>
    <row r="68">
      <c r="A68" s="18" t="s">
        <v>149</v>
      </c>
      <c r="B68" s="20">
        <v>0.3645833333333333</v>
      </c>
      <c r="C68" s="4"/>
      <c r="D68" s="77"/>
      <c r="E68" s="86"/>
      <c r="F68" s="4"/>
      <c r="G68" s="20">
        <v>0.8715277777777778</v>
      </c>
      <c r="H68" s="4"/>
      <c r="I68" s="69">
        <f>G68-B68</f>
        <v>0.5069444444</v>
      </c>
      <c r="J68" s="78">
        <v>0.3541666666666667</v>
      </c>
      <c r="K68" s="69">
        <f>I68-J68</f>
        <v>0.1527777778</v>
      </c>
    </row>
    <row r="69">
      <c r="A69" s="18" t="s">
        <v>150</v>
      </c>
      <c r="B69" s="20">
        <v>0.36736111111111114</v>
      </c>
      <c r="C69" s="4"/>
      <c r="D69" s="77"/>
      <c r="E69" s="85">
        <v>0.7138888888888889</v>
      </c>
      <c r="F69" s="4"/>
      <c r="G69" s="19"/>
      <c r="H69" s="4"/>
      <c r="I69" s="69">
        <f>E69-B69</f>
        <v>0.3465277778</v>
      </c>
      <c r="J69" s="78">
        <v>0.3541666666666667</v>
      </c>
    </row>
    <row r="70">
      <c r="A70" s="18" t="s">
        <v>151</v>
      </c>
      <c r="B70" s="20">
        <v>0.36875</v>
      </c>
      <c r="C70" s="4"/>
      <c r="D70" s="77"/>
      <c r="E70" s="86"/>
      <c r="F70" s="4"/>
      <c r="G70" s="20">
        <v>0.8729166666666667</v>
      </c>
      <c r="H70" s="4"/>
      <c r="I70" s="69">
        <f>G70-B70</f>
        <v>0.5041666667</v>
      </c>
      <c r="J70" s="78">
        <v>0.3541666666666667</v>
      </c>
      <c r="K70" s="69">
        <f>I70-J70</f>
        <v>0.15</v>
      </c>
    </row>
    <row r="71">
      <c r="A71" s="22" t="s">
        <v>152</v>
      </c>
      <c r="B71" s="19"/>
      <c r="C71" s="4"/>
      <c r="D71" s="77"/>
      <c r="E71" s="86"/>
      <c r="F71" s="4"/>
      <c r="G71" s="19"/>
      <c r="H71" s="4"/>
      <c r="I71" s="69"/>
      <c r="J71" s="68"/>
    </row>
    <row r="72">
      <c r="A72" s="22" t="s">
        <v>153</v>
      </c>
      <c r="B72" s="19"/>
      <c r="C72" s="4"/>
      <c r="D72" s="77"/>
      <c r="E72" s="86"/>
      <c r="F72" s="4"/>
      <c r="G72" s="19"/>
      <c r="H72" s="4"/>
      <c r="I72" s="69"/>
      <c r="J72" s="68"/>
    </row>
    <row r="73">
      <c r="A73" s="18" t="s">
        <v>154</v>
      </c>
      <c r="B73" s="20">
        <v>0.3576388888888889</v>
      </c>
      <c r="C73" s="4"/>
      <c r="D73" s="77"/>
      <c r="E73" s="86"/>
      <c r="F73" s="4"/>
      <c r="G73" s="20">
        <v>0.9027777777777778</v>
      </c>
      <c r="H73" s="4"/>
      <c r="I73" s="69">
        <f>G73-B73</f>
        <v>0.5451388889</v>
      </c>
      <c r="J73" s="78">
        <v>0.3541666666666667</v>
      </c>
      <c r="K73" s="69">
        <f>I73-J73</f>
        <v>0.1909722222</v>
      </c>
    </row>
    <row r="74">
      <c r="A74" s="18" t="s">
        <v>155</v>
      </c>
      <c r="B74" s="20">
        <v>0.36319444444444443</v>
      </c>
      <c r="C74" s="4"/>
      <c r="D74" s="77"/>
      <c r="E74" s="85">
        <v>0.6729166666666667</v>
      </c>
      <c r="F74" s="4"/>
      <c r="G74" s="19"/>
      <c r="H74" s="4"/>
      <c r="I74" s="69">
        <f>E74-B74</f>
        <v>0.3097222222</v>
      </c>
      <c r="J74" s="78">
        <v>0.3541666666666667</v>
      </c>
    </row>
    <row r="75">
      <c r="A75" s="18" t="s">
        <v>156</v>
      </c>
      <c r="B75" s="20">
        <v>0.36527777777777776</v>
      </c>
      <c r="C75" s="4"/>
      <c r="D75" s="77"/>
      <c r="E75" s="86"/>
      <c r="F75" s="4"/>
      <c r="G75" s="20">
        <v>0.875</v>
      </c>
      <c r="H75" s="4"/>
      <c r="I75" s="69">
        <f>G75-B75</f>
        <v>0.5097222222</v>
      </c>
      <c r="J75" s="78">
        <v>0.3541666666666667</v>
      </c>
      <c r="K75" s="69">
        <f>I75-J75</f>
        <v>0.1555555556</v>
      </c>
    </row>
    <row r="76">
      <c r="A76" s="18" t="s">
        <v>157</v>
      </c>
      <c r="B76" s="20">
        <v>0.36527777777777776</v>
      </c>
      <c r="C76" s="4"/>
      <c r="D76" s="77"/>
      <c r="E76" s="85">
        <v>0.6770833333333334</v>
      </c>
      <c r="F76" s="4"/>
      <c r="G76" s="19"/>
      <c r="H76" s="4"/>
      <c r="I76" s="69">
        <f>E76-B76</f>
        <v>0.3118055556</v>
      </c>
      <c r="J76" s="78">
        <v>0.3541666666666667</v>
      </c>
    </row>
    <row r="77">
      <c r="A77" s="18" t="s">
        <v>158</v>
      </c>
      <c r="B77" s="20">
        <v>0.18611111111111112</v>
      </c>
      <c r="C77" s="4"/>
      <c r="D77" s="77"/>
      <c r="E77" s="86"/>
      <c r="F77" s="4"/>
      <c r="G77" s="20">
        <v>0.8701388888888889</v>
      </c>
      <c r="H77" s="4"/>
      <c r="I77" s="69">
        <f>G77-B77</f>
        <v>0.6840277778</v>
      </c>
      <c r="J77" s="78">
        <v>0.3541666666666667</v>
      </c>
      <c r="K77" s="69">
        <f>I77-J77</f>
        <v>0.3298611111</v>
      </c>
    </row>
    <row r="78">
      <c r="A78" s="22" t="s">
        <v>159</v>
      </c>
      <c r="B78" s="20">
        <v>0.18680555555555556</v>
      </c>
      <c r="C78" s="4"/>
      <c r="D78" s="54">
        <v>0.7034722222222223</v>
      </c>
      <c r="E78" s="86"/>
      <c r="F78" s="4"/>
      <c r="G78" s="19"/>
      <c r="H78" s="4"/>
      <c r="I78" s="69">
        <f t="shared" ref="I78:I79" si="4">D78-B78</f>
        <v>0.5166666667</v>
      </c>
      <c r="J78" s="68"/>
      <c r="K78" s="69">
        <f t="shared" ref="K78:K79" si="5">I78</f>
        <v>0.5166666667</v>
      </c>
    </row>
    <row r="79">
      <c r="A79" s="22" t="s">
        <v>160</v>
      </c>
      <c r="B79" s="20">
        <v>0.35625</v>
      </c>
      <c r="C79" s="4"/>
      <c r="D79" s="54">
        <v>0.6666666666666666</v>
      </c>
      <c r="E79" s="86"/>
      <c r="F79" s="4"/>
      <c r="G79" s="19"/>
      <c r="H79" s="4"/>
      <c r="I79" s="69">
        <f t="shared" si="4"/>
        <v>0.3104166667</v>
      </c>
      <c r="J79" s="68"/>
      <c r="K79" s="69">
        <f t="shared" si="5"/>
        <v>0.3104166667</v>
      </c>
    </row>
    <row r="80">
      <c r="A80" s="18" t="s">
        <v>161</v>
      </c>
      <c r="B80" s="20"/>
      <c r="C80" s="4"/>
      <c r="D80" s="54">
        <v>0.4847222222222222</v>
      </c>
      <c r="E80" s="86"/>
      <c r="F80" s="4"/>
      <c r="G80" s="20">
        <v>0.9583333333333334</v>
      </c>
      <c r="H80" s="4"/>
      <c r="I80" s="69">
        <f>G80-D80</f>
        <v>0.4736111111</v>
      </c>
      <c r="J80" s="78">
        <v>0.3541666666666667</v>
      </c>
      <c r="K80" s="69">
        <f t="shared" ref="K80:K82" si="6">I80-J80</f>
        <v>0.1194444444</v>
      </c>
    </row>
    <row r="81">
      <c r="A81" s="18" t="s">
        <v>162</v>
      </c>
      <c r="B81" s="20">
        <v>0.3680555555555556</v>
      </c>
      <c r="C81" s="4"/>
      <c r="D81" s="77"/>
      <c r="E81" s="86"/>
      <c r="F81" s="4"/>
      <c r="G81" s="20">
        <v>0.7298611111111111</v>
      </c>
      <c r="H81" s="4"/>
      <c r="I81" s="69">
        <f t="shared" ref="I81:I82" si="7">G81-B81</f>
        <v>0.3618055556</v>
      </c>
      <c r="J81" s="78">
        <v>0.3541666666666667</v>
      </c>
      <c r="K81" s="69">
        <f t="shared" si="6"/>
        <v>0.007638888889</v>
      </c>
    </row>
    <row r="82">
      <c r="A82" s="18" t="s">
        <v>163</v>
      </c>
      <c r="B82" s="20">
        <v>0.36527777777777776</v>
      </c>
      <c r="C82" s="4"/>
      <c r="D82" s="77"/>
      <c r="E82" s="86"/>
      <c r="F82" s="4"/>
      <c r="G82" s="20">
        <v>0.8729166666666667</v>
      </c>
      <c r="H82" s="4"/>
      <c r="I82" s="69">
        <f t="shared" si="7"/>
        <v>0.5076388889</v>
      </c>
      <c r="J82" s="78">
        <v>0.3541666666666667</v>
      </c>
      <c r="K82" s="69">
        <f t="shared" si="6"/>
        <v>0.1534722222</v>
      </c>
    </row>
    <row r="83">
      <c r="A83" s="18" t="s">
        <v>164</v>
      </c>
      <c r="B83" s="20">
        <v>0.3659722222222222</v>
      </c>
      <c r="C83" s="4"/>
      <c r="D83" s="54">
        <v>0.6770833333333334</v>
      </c>
      <c r="E83" s="86"/>
      <c r="F83" s="4"/>
      <c r="G83" s="19"/>
      <c r="H83" s="4"/>
      <c r="I83" s="69">
        <f>D83-B83</f>
        <v>0.3111111111</v>
      </c>
      <c r="J83" s="78">
        <v>0.3541666666666667</v>
      </c>
    </row>
    <row r="84">
      <c r="E84" s="68"/>
      <c r="I84" s="69"/>
      <c r="J84" s="68"/>
      <c r="K84" s="87">
        <f>K68+K70+K73+K75+K77+K78+K79+K80+K81+K82</f>
        <v>2.086805556</v>
      </c>
    </row>
    <row r="85">
      <c r="E85" s="68"/>
      <c r="I85" s="69"/>
      <c r="J85" s="68"/>
    </row>
    <row r="86">
      <c r="E86" s="68"/>
      <c r="I86" s="69"/>
      <c r="J86" s="68"/>
    </row>
    <row r="87">
      <c r="E87" s="68"/>
      <c r="I87" s="69"/>
      <c r="J87" s="68"/>
    </row>
    <row r="88">
      <c r="E88" s="68"/>
      <c r="I88" s="69"/>
      <c r="J88" s="68"/>
    </row>
    <row r="89">
      <c r="E89" s="68"/>
      <c r="I89" s="69"/>
      <c r="J89" s="68"/>
    </row>
    <row r="90">
      <c r="E90" s="68"/>
      <c r="I90" s="69"/>
      <c r="J90" s="68"/>
    </row>
    <row r="91">
      <c r="E91" s="68"/>
      <c r="I91" s="69"/>
      <c r="J91" s="68"/>
    </row>
    <row r="92">
      <c r="E92" s="68"/>
      <c r="I92" s="69"/>
      <c r="J92" s="68"/>
    </row>
    <row r="93">
      <c r="E93" s="68"/>
      <c r="I93" s="69"/>
      <c r="J93" s="68"/>
    </row>
    <row r="94">
      <c r="E94" s="68"/>
      <c r="I94" s="69"/>
      <c r="J94" s="68"/>
    </row>
    <row r="95">
      <c r="E95" s="68"/>
      <c r="I95" s="69"/>
      <c r="J95" s="68"/>
    </row>
    <row r="96">
      <c r="E96" s="68"/>
      <c r="I96" s="69"/>
      <c r="J96" s="68"/>
    </row>
    <row r="97">
      <c r="E97" s="68"/>
      <c r="I97" s="69"/>
      <c r="J97" s="68"/>
    </row>
    <row r="98">
      <c r="E98" s="68"/>
      <c r="I98" s="69"/>
      <c r="J98" s="68"/>
    </row>
    <row r="99">
      <c r="E99" s="68"/>
      <c r="I99" s="69"/>
      <c r="J99" s="68"/>
    </row>
    <row r="100">
      <c r="E100" s="68"/>
      <c r="I100" s="69"/>
      <c r="J100" s="68"/>
    </row>
    <row r="101">
      <c r="E101" s="68"/>
      <c r="I101" s="69"/>
      <c r="J101" s="68"/>
    </row>
    <row r="102">
      <c r="E102" s="68"/>
      <c r="I102" s="69"/>
      <c r="J102" s="68"/>
    </row>
    <row r="103">
      <c r="E103" s="68"/>
      <c r="I103" s="69"/>
      <c r="J103" s="68"/>
    </row>
    <row r="104">
      <c r="E104" s="68"/>
      <c r="I104" s="69"/>
      <c r="J104" s="68"/>
    </row>
    <row r="105">
      <c r="E105" s="68"/>
      <c r="I105" s="69"/>
      <c r="J105" s="68"/>
    </row>
    <row r="106">
      <c r="E106" s="68"/>
      <c r="I106" s="69"/>
      <c r="J106" s="68"/>
    </row>
    <row r="107">
      <c r="E107" s="68"/>
      <c r="I107" s="69"/>
      <c r="J107" s="68"/>
    </row>
    <row r="108">
      <c r="E108" s="68"/>
      <c r="I108" s="69"/>
      <c r="J108" s="68"/>
    </row>
    <row r="109">
      <c r="E109" s="68"/>
      <c r="I109" s="69"/>
      <c r="J109" s="68"/>
    </row>
    <row r="110">
      <c r="E110" s="68"/>
      <c r="I110" s="69"/>
      <c r="J110" s="68"/>
    </row>
    <row r="111">
      <c r="E111" s="68"/>
      <c r="I111" s="69"/>
      <c r="J111" s="68"/>
    </row>
    <row r="112">
      <c r="E112" s="68"/>
      <c r="I112" s="69"/>
      <c r="J112" s="68"/>
    </row>
    <row r="113">
      <c r="E113" s="68"/>
      <c r="I113" s="69"/>
      <c r="J113" s="68"/>
    </row>
    <row r="114">
      <c r="E114" s="68"/>
      <c r="I114" s="69"/>
      <c r="J114" s="68"/>
    </row>
    <row r="115">
      <c r="E115" s="68"/>
      <c r="I115" s="69"/>
      <c r="J115" s="68"/>
    </row>
    <row r="116">
      <c r="E116" s="68"/>
      <c r="I116" s="69"/>
      <c r="J116" s="68"/>
    </row>
    <row r="117">
      <c r="E117" s="68"/>
      <c r="I117" s="69"/>
      <c r="J117" s="68"/>
    </row>
    <row r="118">
      <c r="E118" s="68"/>
      <c r="I118" s="69"/>
      <c r="J118" s="68"/>
    </row>
    <row r="119">
      <c r="E119" s="68"/>
      <c r="I119" s="69"/>
      <c r="J119" s="68"/>
    </row>
    <row r="120">
      <c r="E120" s="68"/>
      <c r="I120" s="69"/>
      <c r="J120" s="68"/>
    </row>
    <row r="121">
      <c r="E121" s="68"/>
      <c r="I121" s="69"/>
      <c r="J121" s="68"/>
    </row>
    <row r="122">
      <c r="E122" s="68"/>
      <c r="I122" s="69"/>
      <c r="J122" s="68"/>
    </row>
    <row r="123">
      <c r="E123" s="68"/>
      <c r="I123" s="69"/>
      <c r="J123" s="68"/>
    </row>
    <row r="124">
      <c r="E124" s="68"/>
      <c r="I124" s="69"/>
      <c r="J124" s="68"/>
    </row>
    <row r="125">
      <c r="E125" s="68"/>
      <c r="I125" s="69"/>
      <c r="J125" s="68"/>
    </row>
    <row r="126">
      <c r="E126" s="68"/>
      <c r="I126" s="69"/>
      <c r="J126" s="68"/>
    </row>
    <row r="127">
      <c r="E127" s="68"/>
      <c r="I127" s="69"/>
      <c r="J127" s="68"/>
    </row>
    <row r="128">
      <c r="E128" s="68"/>
      <c r="I128" s="69"/>
      <c r="J128" s="68"/>
    </row>
    <row r="129">
      <c r="E129" s="68"/>
      <c r="I129" s="69"/>
      <c r="J129" s="68"/>
    </row>
    <row r="130">
      <c r="E130" s="68"/>
      <c r="I130" s="69"/>
      <c r="J130" s="68"/>
    </row>
    <row r="131">
      <c r="E131" s="68"/>
      <c r="I131" s="69"/>
      <c r="J131" s="68"/>
    </row>
    <row r="132">
      <c r="E132" s="68"/>
      <c r="I132" s="69"/>
      <c r="J132" s="68"/>
    </row>
    <row r="133">
      <c r="E133" s="68"/>
      <c r="I133" s="69"/>
      <c r="J133" s="68"/>
    </row>
    <row r="134">
      <c r="E134" s="68"/>
      <c r="I134" s="69"/>
      <c r="J134" s="68"/>
    </row>
    <row r="135">
      <c r="E135" s="68"/>
      <c r="I135" s="69"/>
      <c r="J135" s="68"/>
    </row>
    <row r="136">
      <c r="E136" s="68"/>
      <c r="I136" s="69"/>
      <c r="J136" s="68"/>
    </row>
    <row r="137">
      <c r="E137" s="68"/>
      <c r="I137" s="69"/>
      <c r="J137" s="68"/>
    </row>
    <row r="138">
      <c r="E138" s="68"/>
      <c r="I138" s="69"/>
      <c r="J138" s="68"/>
    </row>
    <row r="139">
      <c r="E139" s="68"/>
      <c r="I139" s="69"/>
      <c r="J139" s="68"/>
    </row>
    <row r="140">
      <c r="E140" s="68"/>
      <c r="I140" s="69"/>
      <c r="J140" s="68"/>
    </row>
    <row r="141">
      <c r="E141" s="68"/>
      <c r="I141" s="69"/>
      <c r="J141" s="68"/>
    </row>
    <row r="142">
      <c r="E142" s="68"/>
      <c r="I142" s="69"/>
      <c r="J142" s="68"/>
    </row>
    <row r="143">
      <c r="E143" s="68"/>
      <c r="I143" s="69"/>
      <c r="J143" s="68"/>
    </row>
    <row r="144">
      <c r="E144" s="68"/>
      <c r="I144" s="69"/>
      <c r="J144" s="68"/>
    </row>
    <row r="145">
      <c r="E145" s="68"/>
      <c r="I145" s="69"/>
      <c r="J145" s="68"/>
    </row>
    <row r="146">
      <c r="E146" s="68"/>
      <c r="I146" s="69"/>
      <c r="J146" s="68"/>
    </row>
    <row r="147">
      <c r="E147" s="68"/>
      <c r="I147" s="69"/>
      <c r="J147" s="68"/>
    </row>
    <row r="148">
      <c r="E148" s="68"/>
      <c r="I148" s="69"/>
      <c r="J148" s="68"/>
    </row>
    <row r="149">
      <c r="E149" s="68"/>
      <c r="I149" s="69"/>
      <c r="J149" s="68"/>
    </row>
    <row r="150">
      <c r="E150" s="68"/>
      <c r="I150" s="69"/>
      <c r="J150" s="68"/>
    </row>
    <row r="151">
      <c r="E151" s="68"/>
      <c r="I151" s="69"/>
      <c r="J151" s="68"/>
    </row>
    <row r="152">
      <c r="E152" s="68"/>
      <c r="I152" s="69"/>
      <c r="J152" s="68"/>
    </row>
    <row r="153">
      <c r="E153" s="68"/>
      <c r="I153" s="69"/>
      <c r="J153" s="68"/>
    </row>
    <row r="154">
      <c r="E154" s="68"/>
      <c r="I154" s="69"/>
      <c r="J154" s="68"/>
    </row>
    <row r="155">
      <c r="E155" s="68"/>
      <c r="I155" s="69"/>
      <c r="J155" s="68"/>
    </row>
    <row r="156">
      <c r="E156" s="68"/>
      <c r="I156" s="69"/>
      <c r="J156" s="68"/>
    </row>
    <row r="157">
      <c r="E157" s="68"/>
      <c r="I157" s="69"/>
      <c r="J157" s="68"/>
    </row>
    <row r="158">
      <c r="E158" s="68"/>
      <c r="I158" s="69"/>
      <c r="J158" s="68"/>
    </row>
    <row r="159">
      <c r="E159" s="68"/>
      <c r="I159" s="69"/>
      <c r="J159" s="68"/>
    </row>
    <row r="160">
      <c r="E160" s="68"/>
      <c r="I160" s="69"/>
      <c r="J160" s="68"/>
    </row>
    <row r="161">
      <c r="E161" s="68"/>
      <c r="I161" s="69"/>
      <c r="J161" s="68"/>
    </row>
    <row r="162">
      <c r="E162" s="68"/>
      <c r="I162" s="69"/>
      <c r="J162" s="68"/>
    </row>
    <row r="163">
      <c r="E163" s="68"/>
      <c r="I163" s="69"/>
      <c r="J163" s="68"/>
    </row>
    <row r="164">
      <c r="E164" s="68"/>
      <c r="I164" s="69"/>
      <c r="J164" s="68"/>
    </row>
    <row r="165">
      <c r="E165" s="68"/>
      <c r="I165" s="69"/>
      <c r="J165" s="68"/>
    </row>
    <row r="166">
      <c r="E166" s="68"/>
      <c r="I166" s="69"/>
      <c r="J166" s="68"/>
    </row>
    <row r="167">
      <c r="E167" s="68"/>
      <c r="I167" s="69"/>
      <c r="J167" s="68"/>
    </row>
    <row r="168">
      <c r="E168" s="68"/>
      <c r="I168" s="69"/>
      <c r="J168" s="68"/>
    </row>
    <row r="169">
      <c r="E169" s="68"/>
      <c r="I169" s="69"/>
      <c r="J169" s="68"/>
    </row>
    <row r="170">
      <c r="E170" s="68"/>
      <c r="I170" s="69"/>
      <c r="J170" s="68"/>
    </row>
    <row r="171">
      <c r="E171" s="68"/>
      <c r="I171" s="69"/>
      <c r="J171" s="68"/>
    </row>
    <row r="172">
      <c r="E172" s="68"/>
      <c r="I172" s="69"/>
      <c r="J172" s="68"/>
    </row>
    <row r="173">
      <c r="E173" s="68"/>
      <c r="I173" s="69"/>
      <c r="J173" s="68"/>
    </row>
    <row r="174">
      <c r="E174" s="68"/>
      <c r="I174" s="69"/>
      <c r="J174" s="68"/>
    </row>
    <row r="175">
      <c r="E175" s="68"/>
      <c r="I175" s="69"/>
      <c r="J175" s="68"/>
    </row>
    <row r="176">
      <c r="E176" s="68"/>
      <c r="I176" s="69"/>
      <c r="J176" s="68"/>
    </row>
    <row r="177">
      <c r="E177" s="68"/>
      <c r="I177" s="69"/>
      <c r="J177" s="68"/>
    </row>
    <row r="178">
      <c r="E178" s="68"/>
      <c r="I178" s="69"/>
      <c r="J178" s="68"/>
    </row>
    <row r="179">
      <c r="E179" s="68"/>
      <c r="I179" s="69"/>
      <c r="J179" s="68"/>
    </row>
    <row r="180">
      <c r="E180" s="68"/>
      <c r="I180" s="69"/>
      <c r="J180" s="68"/>
    </row>
    <row r="181">
      <c r="E181" s="68"/>
      <c r="I181" s="69"/>
      <c r="J181" s="68"/>
    </row>
    <row r="182">
      <c r="E182" s="68"/>
      <c r="I182" s="69"/>
      <c r="J182" s="68"/>
    </row>
    <row r="183">
      <c r="E183" s="68"/>
      <c r="I183" s="69"/>
      <c r="J183" s="68"/>
    </row>
    <row r="184">
      <c r="E184" s="68"/>
      <c r="I184" s="69"/>
      <c r="J184" s="68"/>
    </row>
    <row r="185">
      <c r="E185" s="68"/>
      <c r="I185" s="69"/>
      <c r="J185" s="68"/>
    </row>
    <row r="186">
      <c r="E186" s="68"/>
      <c r="I186" s="69"/>
      <c r="J186" s="68"/>
    </row>
    <row r="187">
      <c r="E187" s="68"/>
      <c r="I187" s="69"/>
      <c r="J187" s="68"/>
    </row>
    <row r="188">
      <c r="E188" s="68"/>
      <c r="I188" s="69"/>
      <c r="J188" s="68"/>
    </row>
    <row r="189">
      <c r="E189" s="68"/>
      <c r="I189" s="69"/>
      <c r="J189" s="68"/>
    </row>
    <row r="190">
      <c r="E190" s="68"/>
      <c r="I190" s="69"/>
      <c r="J190" s="68"/>
    </row>
    <row r="191">
      <c r="E191" s="68"/>
      <c r="I191" s="69"/>
      <c r="J191" s="68"/>
    </row>
    <row r="192">
      <c r="E192" s="68"/>
      <c r="I192" s="69"/>
      <c r="J192" s="68"/>
    </row>
    <row r="193">
      <c r="E193" s="68"/>
      <c r="I193" s="69"/>
      <c r="J193" s="68"/>
    </row>
    <row r="194">
      <c r="E194" s="68"/>
      <c r="I194" s="69"/>
      <c r="J194" s="68"/>
    </row>
    <row r="195">
      <c r="E195" s="68"/>
      <c r="I195" s="69"/>
      <c r="J195" s="68"/>
    </row>
    <row r="196">
      <c r="E196" s="68"/>
      <c r="I196" s="69"/>
      <c r="J196" s="68"/>
    </row>
    <row r="197">
      <c r="E197" s="68"/>
      <c r="I197" s="69"/>
      <c r="J197" s="68"/>
    </row>
    <row r="198">
      <c r="E198" s="68"/>
      <c r="I198" s="69"/>
      <c r="J198" s="68"/>
    </row>
    <row r="199">
      <c r="E199" s="68"/>
      <c r="I199" s="69"/>
      <c r="J199" s="68"/>
    </row>
    <row r="200">
      <c r="E200" s="68"/>
      <c r="I200" s="69"/>
      <c r="J200" s="68"/>
    </row>
    <row r="201">
      <c r="E201" s="68"/>
      <c r="I201" s="69"/>
      <c r="J201" s="68"/>
    </row>
    <row r="202">
      <c r="E202" s="68"/>
      <c r="I202" s="69"/>
      <c r="J202" s="68"/>
    </row>
    <row r="203">
      <c r="E203" s="68"/>
      <c r="I203" s="69"/>
      <c r="J203" s="68"/>
    </row>
    <row r="204">
      <c r="E204" s="68"/>
      <c r="I204" s="69"/>
      <c r="J204" s="68"/>
    </row>
    <row r="205">
      <c r="E205" s="68"/>
      <c r="I205" s="69"/>
      <c r="J205" s="68"/>
    </row>
    <row r="206">
      <c r="E206" s="68"/>
      <c r="I206" s="69"/>
      <c r="J206" s="68"/>
    </row>
    <row r="207">
      <c r="E207" s="68"/>
      <c r="I207" s="69"/>
      <c r="J207" s="68"/>
    </row>
    <row r="208">
      <c r="E208" s="68"/>
      <c r="I208" s="69"/>
      <c r="J208" s="68"/>
    </row>
    <row r="209">
      <c r="E209" s="68"/>
      <c r="I209" s="69"/>
      <c r="J209" s="68"/>
    </row>
    <row r="210">
      <c r="E210" s="68"/>
      <c r="I210" s="69"/>
      <c r="J210" s="68"/>
    </row>
    <row r="211">
      <c r="E211" s="68"/>
      <c r="I211" s="69"/>
      <c r="J211" s="68"/>
    </row>
    <row r="212">
      <c r="E212" s="68"/>
      <c r="I212" s="69"/>
      <c r="J212" s="68"/>
    </row>
    <row r="213">
      <c r="E213" s="68"/>
      <c r="I213" s="69"/>
      <c r="J213" s="68"/>
    </row>
    <row r="214">
      <c r="E214" s="68"/>
      <c r="I214" s="69"/>
      <c r="J214" s="68"/>
    </row>
    <row r="215">
      <c r="E215" s="68"/>
      <c r="I215" s="69"/>
      <c r="J215" s="68"/>
    </row>
    <row r="216">
      <c r="E216" s="68"/>
      <c r="I216" s="69"/>
      <c r="J216" s="68"/>
    </row>
    <row r="217">
      <c r="E217" s="68"/>
      <c r="I217" s="69"/>
      <c r="J217" s="68"/>
    </row>
    <row r="218">
      <c r="E218" s="68"/>
      <c r="I218" s="69"/>
      <c r="J218" s="68"/>
    </row>
    <row r="219">
      <c r="E219" s="68"/>
      <c r="I219" s="69"/>
      <c r="J219" s="68"/>
    </row>
    <row r="220">
      <c r="E220" s="68"/>
      <c r="I220" s="69"/>
      <c r="J220" s="68"/>
    </row>
    <row r="221">
      <c r="E221" s="68"/>
      <c r="I221" s="69"/>
      <c r="J221" s="68"/>
    </row>
    <row r="222">
      <c r="E222" s="68"/>
      <c r="I222" s="69"/>
      <c r="J222" s="68"/>
    </row>
    <row r="223">
      <c r="E223" s="68"/>
      <c r="I223" s="69"/>
      <c r="J223" s="68"/>
    </row>
    <row r="224">
      <c r="E224" s="68"/>
      <c r="I224" s="69"/>
      <c r="J224" s="68"/>
    </row>
    <row r="225">
      <c r="E225" s="68"/>
      <c r="I225" s="69"/>
      <c r="J225" s="68"/>
    </row>
    <row r="226">
      <c r="E226" s="68"/>
      <c r="I226" s="69"/>
      <c r="J226" s="68"/>
    </row>
    <row r="227">
      <c r="E227" s="68"/>
      <c r="I227" s="69"/>
      <c r="J227" s="68"/>
    </row>
    <row r="228">
      <c r="E228" s="68"/>
      <c r="I228" s="69"/>
      <c r="J228" s="68"/>
    </row>
    <row r="229">
      <c r="E229" s="68"/>
      <c r="I229" s="69"/>
      <c r="J229" s="68"/>
    </row>
    <row r="230">
      <c r="E230" s="68"/>
      <c r="I230" s="69"/>
      <c r="J230" s="68"/>
    </row>
    <row r="231">
      <c r="E231" s="68"/>
      <c r="I231" s="69"/>
      <c r="J231" s="68"/>
    </row>
    <row r="232">
      <c r="E232" s="68"/>
      <c r="I232" s="69"/>
      <c r="J232" s="68"/>
    </row>
    <row r="233">
      <c r="E233" s="68"/>
      <c r="I233" s="69"/>
      <c r="J233" s="68"/>
    </row>
    <row r="234">
      <c r="E234" s="68"/>
      <c r="I234" s="69"/>
      <c r="J234" s="68"/>
    </row>
    <row r="235">
      <c r="E235" s="68"/>
      <c r="I235" s="69"/>
      <c r="J235" s="68"/>
    </row>
    <row r="236">
      <c r="E236" s="68"/>
      <c r="I236" s="69"/>
      <c r="J236" s="68"/>
    </row>
    <row r="237">
      <c r="E237" s="68"/>
      <c r="I237" s="69"/>
      <c r="J237" s="68"/>
    </row>
    <row r="238">
      <c r="E238" s="68"/>
      <c r="I238" s="69"/>
      <c r="J238" s="68"/>
    </row>
    <row r="239">
      <c r="E239" s="68"/>
      <c r="I239" s="69"/>
      <c r="J239" s="68"/>
    </row>
    <row r="240">
      <c r="E240" s="68"/>
      <c r="I240" s="69"/>
      <c r="J240" s="68"/>
    </row>
    <row r="241">
      <c r="E241" s="68"/>
      <c r="I241" s="69"/>
      <c r="J241" s="68"/>
    </row>
    <row r="242">
      <c r="E242" s="68"/>
      <c r="I242" s="69"/>
      <c r="J242" s="68"/>
    </row>
    <row r="243">
      <c r="E243" s="68"/>
      <c r="I243" s="69"/>
      <c r="J243" s="68"/>
    </row>
    <row r="244">
      <c r="E244" s="68"/>
      <c r="I244" s="69"/>
      <c r="J244" s="68"/>
    </row>
    <row r="245">
      <c r="E245" s="68"/>
      <c r="I245" s="69"/>
      <c r="J245" s="68"/>
    </row>
    <row r="246">
      <c r="E246" s="68"/>
      <c r="I246" s="69"/>
      <c r="J246" s="68"/>
    </row>
    <row r="247">
      <c r="E247" s="68"/>
      <c r="I247" s="69"/>
      <c r="J247" s="68"/>
    </row>
    <row r="248">
      <c r="E248" s="68"/>
      <c r="I248" s="69"/>
      <c r="J248" s="68"/>
    </row>
    <row r="249">
      <c r="E249" s="68"/>
      <c r="I249" s="69"/>
      <c r="J249" s="68"/>
    </row>
    <row r="250">
      <c r="E250" s="68"/>
      <c r="I250" s="69"/>
      <c r="J250" s="68"/>
    </row>
    <row r="251">
      <c r="E251" s="68"/>
      <c r="I251" s="69"/>
      <c r="J251" s="68"/>
    </row>
    <row r="252">
      <c r="E252" s="68"/>
      <c r="I252" s="69"/>
      <c r="J252" s="68"/>
    </row>
    <row r="253">
      <c r="E253" s="68"/>
      <c r="I253" s="69"/>
      <c r="J253" s="68"/>
    </row>
    <row r="254">
      <c r="E254" s="68"/>
      <c r="I254" s="69"/>
      <c r="J254" s="68"/>
    </row>
    <row r="255">
      <c r="E255" s="68"/>
      <c r="I255" s="69"/>
      <c r="J255" s="68"/>
    </row>
    <row r="256">
      <c r="E256" s="68"/>
      <c r="I256" s="69"/>
      <c r="J256" s="68"/>
    </row>
    <row r="257">
      <c r="E257" s="68"/>
      <c r="I257" s="69"/>
      <c r="J257" s="68"/>
    </row>
    <row r="258">
      <c r="E258" s="68"/>
      <c r="I258" s="69"/>
      <c r="J258" s="68"/>
    </row>
    <row r="259">
      <c r="E259" s="68"/>
      <c r="I259" s="69"/>
      <c r="J259" s="68"/>
    </row>
    <row r="260">
      <c r="E260" s="68"/>
      <c r="I260" s="69"/>
      <c r="J260" s="68"/>
    </row>
    <row r="261">
      <c r="E261" s="68"/>
      <c r="I261" s="69"/>
      <c r="J261" s="68"/>
    </row>
    <row r="262">
      <c r="E262" s="68"/>
      <c r="I262" s="69"/>
      <c r="J262" s="68"/>
    </row>
    <row r="263">
      <c r="E263" s="68"/>
      <c r="I263" s="69"/>
      <c r="J263" s="68"/>
    </row>
    <row r="264">
      <c r="E264" s="68"/>
      <c r="I264" s="69"/>
      <c r="J264" s="68"/>
    </row>
    <row r="265">
      <c r="E265" s="68"/>
      <c r="I265" s="69"/>
      <c r="J265" s="68"/>
    </row>
    <row r="266">
      <c r="E266" s="68"/>
      <c r="I266" s="69"/>
      <c r="J266" s="68"/>
    </row>
    <row r="267">
      <c r="E267" s="68"/>
      <c r="I267" s="69"/>
      <c r="J267" s="68"/>
    </row>
    <row r="268">
      <c r="E268" s="68"/>
      <c r="I268" s="69"/>
      <c r="J268" s="68"/>
    </row>
    <row r="269">
      <c r="E269" s="68"/>
      <c r="I269" s="69"/>
      <c r="J269" s="68"/>
    </row>
    <row r="270">
      <c r="E270" s="68"/>
      <c r="I270" s="69"/>
      <c r="J270" s="68"/>
    </row>
    <row r="271">
      <c r="E271" s="68"/>
      <c r="I271" s="69"/>
      <c r="J271" s="68"/>
    </row>
    <row r="272">
      <c r="E272" s="68"/>
      <c r="I272" s="69"/>
      <c r="J272" s="68"/>
    </row>
    <row r="273">
      <c r="E273" s="68"/>
      <c r="I273" s="69"/>
      <c r="J273" s="68"/>
    </row>
    <row r="274">
      <c r="E274" s="68"/>
      <c r="I274" s="69"/>
      <c r="J274" s="68"/>
    </row>
    <row r="275">
      <c r="E275" s="68"/>
      <c r="I275" s="69"/>
      <c r="J275" s="68"/>
    </row>
    <row r="276">
      <c r="E276" s="68"/>
      <c r="I276" s="69"/>
      <c r="J276" s="68"/>
    </row>
    <row r="277">
      <c r="E277" s="68"/>
      <c r="I277" s="69"/>
      <c r="J277" s="68"/>
    </row>
    <row r="278">
      <c r="E278" s="68"/>
      <c r="I278" s="69"/>
      <c r="J278" s="68"/>
    </row>
    <row r="279">
      <c r="E279" s="68"/>
      <c r="I279" s="69"/>
      <c r="J279" s="68"/>
    </row>
    <row r="280">
      <c r="E280" s="68"/>
      <c r="I280" s="69"/>
      <c r="J280" s="68"/>
    </row>
    <row r="281">
      <c r="E281" s="68"/>
      <c r="I281" s="69"/>
      <c r="J281" s="68"/>
    </row>
    <row r="282">
      <c r="E282" s="68"/>
      <c r="I282" s="69"/>
      <c r="J282" s="68"/>
    </row>
    <row r="283">
      <c r="E283" s="68"/>
      <c r="I283" s="69"/>
      <c r="J283" s="68"/>
    </row>
    <row r="284">
      <c r="E284" s="68"/>
      <c r="I284" s="69"/>
      <c r="J284" s="68"/>
    </row>
    <row r="285">
      <c r="E285" s="68"/>
      <c r="I285" s="69"/>
      <c r="J285" s="68"/>
    </row>
    <row r="286">
      <c r="E286" s="68"/>
      <c r="I286" s="69"/>
      <c r="J286" s="68"/>
    </row>
    <row r="287">
      <c r="E287" s="68"/>
      <c r="I287" s="69"/>
      <c r="J287" s="68"/>
    </row>
    <row r="288">
      <c r="E288" s="68"/>
      <c r="I288" s="69"/>
      <c r="J288" s="68"/>
    </row>
    <row r="289">
      <c r="E289" s="68"/>
      <c r="I289" s="69"/>
      <c r="J289" s="68"/>
    </row>
    <row r="290">
      <c r="E290" s="68"/>
      <c r="I290" s="69"/>
      <c r="J290" s="68"/>
    </row>
    <row r="291">
      <c r="E291" s="68"/>
      <c r="I291" s="69"/>
      <c r="J291" s="68"/>
    </row>
    <row r="292">
      <c r="E292" s="68"/>
      <c r="I292" s="69"/>
      <c r="J292" s="68"/>
    </row>
    <row r="293">
      <c r="E293" s="68"/>
      <c r="I293" s="69"/>
      <c r="J293" s="68"/>
    </row>
    <row r="294">
      <c r="E294" s="68"/>
      <c r="I294" s="69"/>
      <c r="J294" s="68"/>
    </row>
    <row r="295">
      <c r="E295" s="68"/>
      <c r="I295" s="69"/>
      <c r="J295" s="68"/>
    </row>
    <row r="296">
      <c r="E296" s="68"/>
      <c r="I296" s="69"/>
      <c r="J296" s="68"/>
    </row>
    <row r="297">
      <c r="E297" s="68"/>
      <c r="I297" s="69"/>
      <c r="J297" s="68"/>
    </row>
    <row r="298">
      <c r="E298" s="68"/>
      <c r="I298" s="69"/>
      <c r="J298" s="68"/>
    </row>
    <row r="299">
      <c r="E299" s="68"/>
      <c r="I299" s="69"/>
      <c r="J299" s="68"/>
    </row>
    <row r="300">
      <c r="E300" s="68"/>
      <c r="I300" s="69"/>
      <c r="J300" s="68"/>
    </row>
    <row r="301">
      <c r="E301" s="68"/>
      <c r="I301" s="69"/>
      <c r="J301" s="68"/>
    </row>
    <row r="302">
      <c r="E302" s="68"/>
      <c r="I302" s="69"/>
      <c r="J302" s="68"/>
    </row>
    <row r="303">
      <c r="E303" s="68"/>
      <c r="I303" s="69"/>
      <c r="J303" s="68"/>
    </row>
    <row r="304">
      <c r="E304" s="68"/>
      <c r="I304" s="69"/>
      <c r="J304" s="68"/>
    </row>
    <row r="305">
      <c r="E305" s="68"/>
      <c r="I305" s="69"/>
      <c r="J305" s="68"/>
    </row>
    <row r="306">
      <c r="E306" s="68"/>
      <c r="I306" s="69"/>
      <c r="J306" s="68"/>
    </row>
    <row r="307">
      <c r="E307" s="68"/>
      <c r="I307" s="69"/>
      <c r="J307" s="68"/>
    </row>
    <row r="308">
      <c r="E308" s="68"/>
      <c r="I308" s="69"/>
      <c r="J308" s="68"/>
    </row>
    <row r="309">
      <c r="E309" s="68"/>
      <c r="I309" s="69"/>
      <c r="J309" s="68"/>
    </row>
    <row r="310">
      <c r="E310" s="68"/>
      <c r="I310" s="69"/>
      <c r="J310" s="68"/>
    </row>
    <row r="311">
      <c r="E311" s="68"/>
      <c r="I311" s="69"/>
      <c r="J311" s="68"/>
    </row>
    <row r="312">
      <c r="E312" s="68"/>
      <c r="I312" s="69"/>
      <c r="J312" s="68"/>
    </row>
    <row r="313">
      <c r="E313" s="68"/>
      <c r="I313" s="69"/>
      <c r="J313" s="68"/>
    </row>
    <row r="314">
      <c r="E314" s="68"/>
      <c r="I314" s="69"/>
      <c r="J314" s="68"/>
    </row>
    <row r="315">
      <c r="E315" s="68"/>
      <c r="I315" s="69"/>
      <c r="J315" s="68"/>
    </row>
    <row r="316">
      <c r="E316" s="68"/>
      <c r="I316" s="69"/>
      <c r="J316" s="68"/>
    </row>
    <row r="317">
      <c r="E317" s="68"/>
      <c r="I317" s="69"/>
      <c r="J317" s="68"/>
    </row>
    <row r="318">
      <c r="E318" s="68"/>
      <c r="I318" s="69"/>
      <c r="J318" s="68"/>
    </row>
    <row r="319">
      <c r="E319" s="68"/>
      <c r="I319" s="69"/>
      <c r="J319" s="68"/>
    </row>
    <row r="320">
      <c r="E320" s="68"/>
      <c r="I320" s="69"/>
      <c r="J320" s="68"/>
    </row>
    <row r="321">
      <c r="E321" s="68"/>
      <c r="I321" s="69"/>
      <c r="J321" s="68"/>
    </row>
    <row r="322">
      <c r="E322" s="68"/>
      <c r="I322" s="69"/>
      <c r="J322" s="68"/>
    </row>
    <row r="323">
      <c r="E323" s="68"/>
      <c r="I323" s="69"/>
      <c r="J323" s="68"/>
    </row>
    <row r="324">
      <c r="E324" s="68"/>
      <c r="I324" s="69"/>
      <c r="J324" s="68"/>
    </row>
    <row r="325">
      <c r="E325" s="68"/>
      <c r="I325" s="69"/>
      <c r="J325" s="68"/>
    </row>
    <row r="326">
      <c r="E326" s="68"/>
      <c r="I326" s="69"/>
      <c r="J326" s="68"/>
    </row>
    <row r="327">
      <c r="E327" s="68"/>
      <c r="I327" s="69"/>
      <c r="J327" s="68"/>
    </row>
    <row r="328">
      <c r="E328" s="68"/>
      <c r="I328" s="69"/>
      <c r="J328" s="68"/>
    </row>
    <row r="329">
      <c r="E329" s="68"/>
      <c r="I329" s="69"/>
      <c r="J329" s="68"/>
    </row>
    <row r="330">
      <c r="E330" s="68"/>
      <c r="I330" s="69"/>
      <c r="J330" s="68"/>
    </row>
    <row r="331">
      <c r="E331" s="68"/>
      <c r="I331" s="69"/>
      <c r="J331" s="68"/>
    </row>
    <row r="332">
      <c r="E332" s="68"/>
      <c r="I332" s="69"/>
      <c r="J332" s="68"/>
    </row>
    <row r="333">
      <c r="E333" s="68"/>
      <c r="I333" s="69"/>
      <c r="J333" s="68"/>
    </row>
    <row r="334">
      <c r="E334" s="68"/>
      <c r="I334" s="69"/>
      <c r="J334" s="68"/>
    </row>
    <row r="335">
      <c r="E335" s="68"/>
      <c r="I335" s="69"/>
      <c r="J335" s="68"/>
    </row>
    <row r="336">
      <c r="E336" s="68"/>
      <c r="I336" s="69"/>
      <c r="J336" s="68"/>
    </row>
    <row r="337">
      <c r="E337" s="68"/>
      <c r="I337" s="69"/>
      <c r="J337" s="68"/>
    </row>
    <row r="338">
      <c r="E338" s="68"/>
      <c r="I338" s="69"/>
      <c r="J338" s="68"/>
    </row>
    <row r="339">
      <c r="E339" s="68"/>
      <c r="I339" s="69"/>
      <c r="J339" s="68"/>
    </row>
    <row r="340">
      <c r="E340" s="68"/>
      <c r="I340" s="69"/>
      <c r="J340" s="68"/>
    </row>
    <row r="341">
      <c r="E341" s="68"/>
      <c r="I341" s="69"/>
      <c r="J341" s="68"/>
    </row>
    <row r="342">
      <c r="E342" s="68"/>
      <c r="I342" s="69"/>
      <c r="J342" s="68"/>
    </row>
    <row r="343">
      <c r="E343" s="68"/>
      <c r="I343" s="69"/>
      <c r="J343" s="68"/>
    </row>
    <row r="344">
      <c r="E344" s="68"/>
      <c r="I344" s="69"/>
      <c r="J344" s="68"/>
    </row>
    <row r="345">
      <c r="E345" s="68"/>
      <c r="I345" s="69"/>
      <c r="J345" s="68"/>
    </row>
    <row r="346">
      <c r="E346" s="68"/>
      <c r="I346" s="69"/>
      <c r="J346" s="68"/>
    </row>
    <row r="347">
      <c r="E347" s="68"/>
      <c r="I347" s="69"/>
      <c r="J347" s="68"/>
    </row>
    <row r="348">
      <c r="E348" s="68"/>
      <c r="I348" s="69"/>
      <c r="J348" s="68"/>
    </row>
    <row r="349">
      <c r="E349" s="68"/>
      <c r="I349" s="69"/>
      <c r="J349" s="68"/>
    </row>
    <row r="350">
      <c r="E350" s="68"/>
      <c r="I350" s="69"/>
      <c r="J350" s="68"/>
    </row>
    <row r="351">
      <c r="E351" s="68"/>
      <c r="I351" s="69"/>
      <c r="J351" s="68"/>
    </row>
    <row r="352">
      <c r="E352" s="68"/>
      <c r="I352" s="69"/>
      <c r="J352" s="68"/>
    </row>
    <row r="353">
      <c r="E353" s="68"/>
      <c r="I353" s="69"/>
      <c r="J353" s="68"/>
    </row>
    <row r="354">
      <c r="E354" s="68"/>
      <c r="I354" s="69"/>
      <c r="J354" s="68"/>
    </row>
    <row r="355">
      <c r="E355" s="68"/>
      <c r="I355" s="69"/>
      <c r="J355" s="68"/>
    </row>
    <row r="356">
      <c r="E356" s="68"/>
      <c r="I356" s="69"/>
      <c r="J356" s="68"/>
    </row>
    <row r="357">
      <c r="E357" s="68"/>
      <c r="I357" s="69"/>
      <c r="J357" s="68"/>
    </row>
    <row r="358">
      <c r="E358" s="68"/>
      <c r="I358" s="69"/>
      <c r="J358" s="68"/>
    </row>
    <row r="359">
      <c r="E359" s="68"/>
      <c r="I359" s="69"/>
      <c r="J359" s="68"/>
    </row>
    <row r="360">
      <c r="E360" s="68"/>
      <c r="I360" s="69"/>
      <c r="J360" s="68"/>
    </row>
    <row r="361">
      <c r="E361" s="68"/>
      <c r="I361" s="69"/>
      <c r="J361" s="68"/>
    </row>
    <row r="362">
      <c r="E362" s="68"/>
      <c r="I362" s="69"/>
      <c r="J362" s="68"/>
    </row>
    <row r="363">
      <c r="E363" s="68"/>
      <c r="I363" s="69"/>
      <c r="J363" s="68"/>
    </row>
    <row r="364">
      <c r="E364" s="68"/>
      <c r="I364" s="69"/>
      <c r="J364" s="68"/>
    </row>
    <row r="365">
      <c r="E365" s="68"/>
      <c r="I365" s="69"/>
      <c r="J365" s="68"/>
    </row>
    <row r="366">
      <c r="E366" s="68"/>
      <c r="I366" s="69"/>
      <c r="J366" s="68"/>
    </row>
    <row r="367">
      <c r="E367" s="68"/>
      <c r="I367" s="69"/>
      <c r="J367" s="68"/>
    </row>
    <row r="368">
      <c r="E368" s="68"/>
      <c r="I368" s="69"/>
      <c r="J368" s="68"/>
    </row>
    <row r="369">
      <c r="E369" s="68"/>
      <c r="I369" s="69"/>
      <c r="J369" s="68"/>
    </row>
    <row r="370">
      <c r="E370" s="68"/>
      <c r="I370" s="69"/>
      <c r="J370" s="68"/>
    </row>
    <row r="371">
      <c r="E371" s="68"/>
      <c r="I371" s="69"/>
      <c r="J371" s="68"/>
    </row>
    <row r="372">
      <c r="E372" s="68"/>
      <c r="I372" s="69"/>
      <c r="J372" s="68"/>
    </row>
    <row r="373">
      <c r="E373" s="68"/>
      <c r="I373" s="69"/>
      <c r="J373" s="68"/>
    </row>
    <row r="374">
      <c r="E374" s="68"/>
      <c r="I374" s="69"/>
      <c r="J374" s="68"/>
    </row>
    <row r="375">
      <c r="E375" s="68"/>
      <c r="I375" s="69"/>
      <c r="J375" s="68"/>
    </row>
    <row r="376">
      <c r="E376" s="68"/>
      <c r="I376" s="69"/>
      <c r="J376" s="68"/>
    </row>
    <row r="377">
      <c r="E377" s="68"/>
      <c r="I377" s="69"/>
      <c r="J377" s="68"/>
    </row>
    <row r="378">
      <c r="E378" s="68"/>
      <c r="I378" s="69"/>
      <c r="J378" s="68"/>
    </row>
    <row r="379">
      <c r="E379" s="68"/>
      <c r="I379" s="69"/>
      <c r="J379" s="68"/>
    </row>
    <row r="380">
      <c r="E380" s="68"/>
      <c r="I380" s="69"/>
      <c r="J380" s="68"/>
    </row>
    <row r="381">
      <c r="E381" s="68"/>
      <c r="I381" s="69"/>
      <c r="J381" s="68"/>
    </row>
    <row r="382">
      <c r="E382" s="68"/>
      <c r="I382" s="69"/>
      <c r="J382" s="68"/>
    </row>
    <row r="383">
      <c r="E383" s="68"/>
      <c r="I383" s="69"/>
      <c r="J383" s="68"/>
    </row>
    <row r="384">
      <c r="E384" s="68"/>
      <c r="I384" s="69"/>
      <c r="J384" s="68"/>
    </row>
    <row r="385">
      <c r="E385" s="68"/>
      <c r="I385" s="69"/>
      <c r="J385" s="68"/>
    </row>
    <row r="386">
      <c r="E386" s="68"/>
      <c r="I386" s="69"/>
      <c r="J386" s="68"/>
    </row>
    <row r="387">
      <c r="E387" s="68"/>
      <c r="I387" s="69"/>
      <c r="J387" s="68"/>
    </row>
    <row r="388">
      <c r="E388" s="68"/>
      <c r="I388" s="69"/>
      <c r="J388" s="68"/>
    </row>
    <row r="389">
      <c r="E389" s="68"/>
      <c r="I389" s="69"/>
      <c r="J389" s="68"/>
    </row>
    <row r="390">
      <c r="E390" s="68"/>
      <c r="I390" s="69"/>
      <c r="J390" s="68"/>
    </row>
    <row r="391">
      <c r="E391" s="68"/>
      <c r="I391" s="69"/>
      <c r="J391" s="68"/>
    </row>
    <row r="392">
      <c r="E392" s="68"/>
      <c r="I392" s="69"/>
      <c r="J392" s="68"/>
    </row>
    <row r="393">
      <c r="E393" s="68"/>
      <c r="I393" s="69"/>
      <c r="J393" s="68"/>
    </row>
    <row r="394">
      <c r="E394" s="68"/>
      <c r="I394" s="69"/>
      <c r="J394" s="68"/>
    </row>
    <row r="395">
      <c r="E395" s="68"/>
      <c r="I395" s="69"/>
      <c r="J395" s="68"/>
    </row>
    <row r="396">
      <c r="E396" s="68"/>
      <c r="I396" s="69"/>
      <c r="J396" s="68"/>
    </row>
    <row r="397">
      <c r="E397" s="68"/>
      <c r="I397" s="69"/>
      <c r="J397" s="68"/>
    </row>
    <row r="398">
      <c r="E398" s="68"/>
      <c r="I398" s="69"/>
      <c r="J398" s="68"/>
    </row>
    <row r="399">
      <c r="E399" s="68"/>
      <c r="I399" s="69"/>
      <c r="J399" s="68"/>
    </row>
    <row r="400">
      <c r="E400" s="68"/>
      <c r="I400" s="69"/>
      <c r="J400" s="68"/>
    </row>
    <row r="401">
      <c r="E401" s="68"/>
      <c r="I401" s="69"/>
      <c r="J401" s="68"/>
    </row>
    <row r="402">
      <c r="E402" s="68"/>
      <c r="I402" s="69"/>
      <c r="J402" s="68"/>
    </row>
    <row r="403">
      <c r="E403" s="68"/>
      <c r="I403" s="69"/>
      <c r="J403" s="68"/>
    </row>
    <row r="404">
      <c r="E404" s="68"/>
      <c r="I404" s="69"/>
      <c r="J404" s="68"/>
    </row>
    <row r="405">
      <c r="E405" s="68"/>
      <c r="I405" s="69"/>
      <c r="J405" s="68"/>
    </row>
    <row r="406">
      <c r="E406" s="68"/>
      <c r="I406" s="69"/>
      <c r="J406" s="68"/>
    </row>
    <row r="407">
      <c r="E407" s="68"/>
      <c r="I407" s="69"/>
      <c r="J407" s="68"/>
    </row>
    <row r="408">
      <c r="E408" s="68"/>
      <c r="I408" s="69"/>
      <c r="J408" s="68"/>
    </row>
    <row r="409">
      <c r="E409" s="68"/>
      <c r="I409" s="69"/>
      <c r="J409" s="68"/>
    </row>
    <row r="410">
      <c r="E410" s="68"/>
      <c r="I410" s="69"/>
      <c r="J410" s="68"/>
    </row>
    <row r="411">
      <c r="E411" s="68"/>
      <c r="I411" s="69"/>
      <c r="J411" s="68"/>
    </row>
    <row r="412">
      <c r="E412" s="68"/>
      <c r="I412" s="69"/>
      <c r="J412" s="68"/>
    </row>
    <row r="413">
      <c r="E413" s="68"/>
      <c r="I413" s="69"/>
      <c r="J413" s="68"/>
    </row>
    <row r="414">
      <c r="E414" s="68"/>
      <c r="I414" s="69"/>
      <c r="J414" s="68"/>
    </row>
    <row r="415">
      <c r="E415" s="68"/>
      <c r="I415" s="69"/>
      <c r="J415" s="68"/>
    </row>
    <row r="416">
      <c r="E416" s="68"/>
      <c r="I416" s="69"/>
      <c r="J416" s="68"/>
    </row>
    <row r="417">
      <c r="E417" s="68"/>
      <c r="I417" s="69"/>
      <c r="J417" s="68"/>
    </row>
    <row r="418">
      <c r="E418" s="68"/>
      <c r="I418" s="69"/>
      <c r="J418" s="68"/>
    </row>
    <row r="419">
      <c r="E419" s="68"/>
      <c r="I419" s="69"/>
      <c r="J419" s="68"/>
    </row>
    <row r="420">
      <c r="E420" s="68"/>
      <c r="I420" s="69"/>
      <c r="J420" s="68"/>
    </row>
    <row r="421">
      <c r="E421" s="68"/>
      <c r="I421" s="69"/>
      <c r="J421" s="68"/>
    </row>
    <row r="422">
      <c r="E422" s="68"/>
      <c r="I422" s="69"/>
      <c r="J422" s="68"/>
    </row>
    <row r="423">
      <c r="E423" s="68"/>
      <c r="I423" s="69"/>
      <c r="J423" s="68"/>
    </row>
    <row r="424">
      <c r="E424" s="68"/>
      <c r="I424" s="69"/>
      <c r="J424" s="68"/>
    </row>
    <row r="425">
      <c r="E425" s="68"/>
      <c r="I425" s="69"/>
      <c r="J425" s="68"/>
    </row>
    <row r="426">
      <c r="E426" s="68"/>
      <c r="I426" s="69"/>
      <c r="J426" s="68"/>
    </row>
    <row r="427">
      <c r="E427" s="68"/>
      <c r="I427" s="69"/>
      <c r="J427" s="68"/>
    </row>
    <row r="428">
      <c r="E428" s="68"/>
      <c r="I428" s="69"/>
      <c r="J428" s="68"/>
    </row>
    <row r="429">
      <c r="E429" s="68"/>
      <c r="I429" s="69"/>
      <c r="J429" s="68"/>
    </row>
    <row r="430">
      <c r="E430" s="68"/>
      <c r="I430" s="69"/>
      <c r="J430" s="68"/>
    </row>
    <row r="431">
      <c r="E431" s="68"/>
      <c r="I431" s="69"/>
      <c r="J431" s="68"/>
    </row>
    <row r="432">
      <c r="E432" s="68"/>
      <c r="I432" s="69"/>
      <c r="J432" s="68"/>
    </row>
    <row r="433">
      <c r="E433" s="68"/>
      <c r="I433" s="69"/>
      <c r="J433" s="68"/>
    </row>
    <row r="434">
      <c r="E434" s="68"/>
      <c r="I434" s="69"/>
      <c r="J434" s="68"/>
    </row>
    <row r="435">
      <c r="E435" s="68"/>
      <c r="I435" s="69"/>
      <c r="J435" s="68"/>
    </row>
    <row r="436">
      <c r="E436" s="68"/>
      <c r="I436" s="69"/>
      <c r="J436" s="68"/>
    </row>
    <row r="437">
      <c r="E437" s="68"/>
      <c r="I437" s="69"/>
      <c r="J437" s="68"/>
    </row>
    <row r="438">
      <c r="E438" s="68"/>
      <c r="I438" s="69"/>
      <c r="J438" s="68"/>
    </row>
    <row r="439">
      <c r="E439" s="68"/>
      <c r="I439" s="69"/>
      <c r="J439" s="68"/>
    </row>
    <row r="440">
      <c r="E440" s="68"/>
      <c r="I440" s="69"/>
      <c r="J440" s="68"/>
    </row>
    <row r="441">
      <c r="E441" s="68"/>
      <c r="I441" s="69"/>
      <c r="J441" s="68"/>
    </row>
    <row r="442">
      <c r="E442" s="68"/>
      <c r="I442" s="69"/>
      <c r="J442" s="68"/>
    </row>
    <row r="443">
      <c r="E443" s="68"/>
      <c r="I443" s="69"/>
      <c r="J443" s="68"/>
    </row>
    <row r="444">
      <c r="E444" s="68"/>
      <c r="I444" s="69"/>
      <c r="J444" s="68"/>
    </row>
    <row r="445">
      <c r="E445" s="68"/>
      <c r="I445" s="69"/>
      <c r="J445" s="68"/>
    </row>
    <row r="446">
      <c r="E446" s="68"/>
      <c r="I446" s="69"/>
      <c r="J446" s="68"/>
    </row>
    <row r="447">
      <c r="E447" s="68"/>
      <c r="I447" s="69"/>
      <c r="J447" s="68"/>
    </row>
    <row r="448">
      <c r="E448" s="68"/>
      <c r="I448" s="69"/>
      <c r="J448" s="68"/>
    </row>
    <row r="449">
      <c r="E449" s="68"/>
      <c r="I449" s="69"/>
      <c r="J449" s="68"/>
    </row>
    <row r="450">
      <c r="E450" s="68"/>
      <c r="I450" s="69"/>
      <c r="J450" s="68"/>
    </row>
    <row r="451">
      <c r="E451" s="68"/>
      <c r="I451" s="69"/>
      <c r="J451" s="68"/>
    </row>
    <row r="452">
      <c r="E452" s="68"/>
      <c r="I452" s="69"/>
      <c r="J452" s="68"/>
    </row>
    <row r="453">
      <c r="E453" s="68"/>
      <c r="I453" s="69"/>
      <c r="J453" s="68"/>
    </row>
    <row r="454">
      <c r="E454" s="68"/>
      <c r="I454" s="69"/>
      <c r="J454" s="68"/>
    </row>
    <row r="455">
      <c r="E455" s="68"/>
      <c r="I455" s="69"/>
      <c r="J455" s="68"/>
    </row>
    <row r="456">
      <c r="E456" s="68"/>
      <c r="I456" s="69"/>
      <c r="J456" s="68"/>
    </row>
    <row r="457">
      <c r="E457" s="68"/>
      <c r="I457" s="69"/>
      <c r="J457" s="68"/>
    </row>
    <row r="458">
      <c r="E458" s="68"/>
      <c r="I458" s="69"/>
      <c r="J458" s="68"/>
    </row>
    <row r="459">
      <c r="E459" s="68"/>
      <c r="I459" s="69"/>
      <c r="J459" s="68"/>
    </row>
    <row r="460">
      <c r="E460" s="68"/>
      <c r="I460" s="69"/>
      <c r="J460" s="68"/>
    </row>
    <row r="461">
      <c r="E461" s="68"/>
      <c r="I461" s="69"/>
      <c r="J461" s="68"/>
    </row>
    <row r="462">
      <c r="E462" s="68"/>
      <c r="I462" s="69"/>
      <c r="J462" s="68"/>
    </row>
    <row r="463">
      <c r="E463" s="68"/>
      <c r="I463" s="69"/>
      <c r="J463" s="68"/>
    </row>
    <row r="464">
      <c r="E464" s="68"/>
      <c r="I464" s="69"/>
      <c r="J464" s="68"/>
    </row>
    <row r="465">
      <c r="E465" s="68"/>
      <c r="I465" s="69"/>
      <c r="J465" s="68"/>
    </row>
    <row r="466">
      <c r="E466" s="68"/>
      <c r="I466" s="69"/>
      <c r="J466" s="68"/>
    </row>
    <row r="467">
      <c r="E467" s="68"/>
      <c r="I467" s="69"/>
      <c r="J467" s="68"/>
    </row>
    <row r="468">
      <c r="E468" s="68"/>
      <c r="I468" s="69"/>
      <c r="J468" s="68"/>
    </row>
    <row r="469">
      <c r="E469" s="68"/>
      <c r="I469" s="69"/>
      <c r="J469" s="68"/>
    </row>
    <row r="470">
      <c r="E470" s="68"/>
      <c r="I470" s="69"/>
      <c r="J470" s="68"/>
    </row>
    <row r="471">
      <c r="E471" s="68"/>
      <c r="I471" s="69"/>
      <c r="J471" s="68"/>
    </row>
    <row r="472">
      <c r="E472" s="68"/>
      <c r="I472" s="69"/>
      <c r="J472" s="68"/>
    </row>
    <row r="473">
      <c r="E473" s="68"/>
      <c r="I473" s="69"/>
      <c r="J473" s="68"/>
    </row>
    <row r="474">
      <c r="E474" s="68"/>
      <c r="I474" s="69"/>
      <c r="J474" s="68"/>
    </row>
    <row r="475">
      <c r="E475" s="68"/>
      <c r="I475" s="69"/>
      <c r="J475" s="68"/>
    </row>
    <row r="476">
      <c r="E476" s="68"/>
      <c r="I476" s="69"/>
      <c r="J476" s="68"/>
    </row>
    <row r="477">
      <c r="E477" s="68"/>
      <c r="I477" s="69"/>
      <c r="J477" s="68"/>
    </row>
    <row r="478">
      <c r="E478" s="68"/>
      <c r="I478" s="69"/>
      <c r="J478" s="68"/>
    </row>
    <row r="479">
      <c r="E479" s="68"/>
      <c r="I479" s="69"/>
      <c r="J479" s="68"/>
    </row>
    <row r="480">
      <c r="E480" s="68"/>
      <c r="I480" s="69"/>
      <c r="J480" s="68"/>
    </row>
    <row r="481">
      <c r="E481" s="68"/>
      <c r="I481" s="69"/>
      <c r="J481" s="68"/>
    </row>
    <row r="482">
      <c r="E482" s="68"/>
      <c r="I482" s="69"/>
      <c r="J482" s="68"/>
    </row>
    <row r="483">
      <c r="E483" s="68"/>
      <c r="I483" s="69"/>
      <c r="J483" s="68"/>
    </row>
    <row r="484">
      <c r="E484" s="68"/>
      <c r="I484" s="69"/>
      <c r="J484" s="68"/>
    </row>
    <row r="485">
      <c r="E485" s="68"/>
      <c r="I485" s="69"/>
      <c r="J485" s="68"/>
    </row>
    <row r="486">
      <c r="E486" s="68"/>
      <c r="I486" s="69"/>
      <c r="J486" s="68"/>
    </row>
    <row r="487">
      <c r="E487" s="68"/>
      <c r="I487" s="69"/>
      <c r="J487" s="68"/>
    </row>
    <row r="488">
      <c r="E488" s="68"/>
      <c r="I488" s="69"/>
      <c r="J488" s="68"/>
    </row>
    <row r="489">
      <c r="E489" s="68"/>
      <c r="I489" s="69"/>
      <c r="J489" s="68"/>
    </row>
    <row r="490">
      <c r="E490" s="68"/>
      <c r="I490" s="69"/>
      <c r="J490" s="68"/>
    </row>
    <row r="491">
      <c r="E491" s="68"/>
      <c r="I491" s="69"/>
      <c r="J491" s="68"/>
    </row>
    <row r="492">
      <c r="E492" s="68"/>
      <c r="I492" s="69"/>
      <c r="J492" s="68"/>
    </row>
    <row r="493">
      <c r="E493" s="68"/>
      <c r="I493" s="69"/>
      <c r="J493" s="68"/>
    </row>
    <row r="494">
      <c r="E494" s="68"/>
      <c r="I494" s="69"/>
      <c r="J494" s="68"/>
    </row>
    <row r="495">
      <c r="E495" s="68"/>
      <c r="I495" s="69"/>
      <c r="J495" s="68"/>
    </row>
    <row r="496">
      <c r="E496" s="68"/>
      <c r="I496" s="69"/>
      <c r="J496" s="68"/>
    </row>
    <row r="497">
      <c r="E497" s="68"/>
      <c r="I497" s="69"/>
      <c r="J497" s="68"/>
    </row>
    <row r="498">
      <c r="E498" s="68"/>
      <c r="I498" s="69"/>
      <c r="J498" s="68"/>
    </row>
    <row r="499">
      <c r="E499" s="68"/>
      <c r="I499" s="69"/>
      <c r="J499" s="68"/>
    </row>
    <row r="500">
      <c r="E500" s="68"/>
      <c r="I500" s="69"/>
      <c r="J500" s="68"/>
    </row>
    <row r="501">
      <c r="E501" s="68"/>
      <c r="I501" s="69"/>
      <c r="J501" s="68"/>
    </row>
    <row r="502">
      <c r="E502" s="68"/>
      <c r="I502" s="69"/>
      <c r="J502" s="68"/>
    </row>
    <row r="503">
      <c r="E503" s="68"/>
      <c r="I503" s="69"/>
      <c r="J503" s="68"/>
    </row>
    <row r="504">
      <c r="E504" s="68"/>
      <c r="I504" s="69"/>
      <c r="J504" s="68"/>
    </row>
    <row r="505">
      <c r="E505" s="68"/>
      <c r="I505" s="69"/>
      <c r="J505" s="68"/>
    </row>
    <row r="506">
      <c r="E506" s="68"/>
      <c r="I506" s="69"/>
      <c r="J506" s="68"/>
    </row>
    <row r="507">
      <c r="E507" s="68"/>
      <c r="I507" s="69"/>
      <c r="J507" s="68"/>
    </row>
    <row r="508">
      <c r="E508" s="68"/>
      <c r="I508" s="69"/>
      <c r="J508" s="68"/>
    </row>
    <row r="509">
      <c r="E509" s="68"/>
      <c r="I509" s="69"/>
      <c r="J509" s="68"/>
    </row>
    <row r="510">
      <c r="E510" s="68"/>
      <c r="I510" s="69"/>
      <c r="J510" s="68"/>
    </row>
    <row r="511">
      <c r="E511" s="68"/>
      <c r="I511" s="69"/>
      <c r="J511" s="68"/>
    </row>
    <row r="512">
      <c r="E512" s="68"/>
      <c r="I512" s="69"/>
      <c r="J512" s="68"/>
    </row>
    <row r="513">
      <c r="E513" s="68"/>
      <c r="I513" s="69"/>
      <c r="J513" s="68"/>
    </row>
    <row r="514">
      <c r="E514" s="68"/>
      <c r="I514" s="69"/>
      <c r="J514" s="68"/>
    </row>
    <row r="515">
      <c r="E515" s="68"/>
      <c r="I515" s="69"/>
      <c r="J515" s="68"/>
    </row>
    <row r="516">
      <c r="E516" s="68"/>
      <c r="I516" s="69"/>
      <c r="J516" s="68"/>
    </row>
    <row r="517">
      <c r="E517" s="68"/>
      <c r="I517" s="69"/>
      <c r="J517" s="68"/>
    </row>
    <row r="518">
      <c r="E518" s="68"/>
      <c r="I518" s="69"/>
      <c r="J518" s="68"/>
    </row>
    <row r="519">
      <c r="E519" s="68"/>
      <c r="I519" s="69"/>
      <c r="J519" s="68"/>
    </row>
    <row r="520">
      <c r="E520" s="68"/>
      <c r="I520" s="69"/>
      <c r="J520" s="68"/>
    </row>
    <row r="521">
      <c r="E521" s="68"/>
      <c r="I521" s="69"/>
      <c r="J521" s="68"/>
    </row>
    <row r="522">
      <c r="E522" s="68"/>
      <c r="I522" s="69"/>
      <c r="J522" s="68"/>
    </row>
    <row r="523">
      <c r="E523" s="68"/>
      <c r="I523" s="69"/>
      <c r="J523" s="68"/>
    </row>
    <row r="524">
      <c r="E524" s="68"/>
      <c r="I524" s="69"/>
      <c r="J524" s="68"/>
    </row>
    <row r="525">
      <c r="E525" s="68"/>
      <c r="I525" s="69"/>
      <c r="J525" s="68"/>
    </row>
    <row r="526">
      <c r="E526" s="68"/>
      <c r="I526" s="69"/>
      <c r="J526" s="68"/>
    </row>
    <row r="527">
      <c r="E527" s="68"/>
      <c r="I527" s="69"/>
      <c r="J527" s="68"/>
    </row>
    <row r="528">
      <c r="E528" s="68"/>
      <c r="I528" s="69"/>
      <c r="J528" s="68"/>
    </row>
    <row r="529">
      <c r="E529" s="68"/>
      <c r="I529" s="69"/>
      <c r="J529" s="68"/>
    </row>
    <row r="530">
      <c r="E530" s="68"/>
      <c r="I530" s="69"/>
      <c r="J530" s="68"/>
    </row>
    <row r="531">
      <c r="E531" s="68"/>
      <c r="I531" s="69"/>
      <c r="J531" s="68"/>
    </row>
    <row r="532">
      <c r="E532" s="68"/>
      <c r="I532" s="69"/>
      <c r="J532" s="68"/>
    </row>
    <row r="533">
      <c r="E533" s="68"/>
      <c r="I533" s="69"/>
      <c r="J533" s="68"/>
    </row>
    <row r="534">
      <c r="E534" s="68"/>
      <c r="I534" s="69"/>
      <c r="J534" s="68"/>
    </row>
    <row r="535">
      <c r="E535" s="68"/>
      <c r="I535" s="69"/>
      <c r="J535" s="68"/>
    </row>
    <row r="536">
      <c r="E536" s="68"/>
      <c r="I536" s="69"/>
      <c r="J536" s="68"/>
    </row>
    <row r="537">
      <c r="E537" s="68"/>
      <c r="I537" s="69"/>
      <c r="J537" s="68"/>
    </row>
    <row r="538">
      <c r="E538" s="68"/>
      <c r="I538" s="69"/>
      <c r="J538" s="68"/>
    </row>
    <row r="539">
      <c r="E539" s="68"/>
      <c r="I539" s="69"/>
      <c r="J539" s="68"/>
    </row>
    <row r="540">
      <c r="E540" s="68"/>
      <c r="I540" s="69"/>
      <c r="J540" s="68"/>
    </row>
    <row r="541">
      <c r="E541" s="68"/>
      <c r="I541" s="69"/>
      <c r="J541" s="68"/>
    </row>
    <row r="542">
      <c r="E542" s="68"/>
      <c r="I542" s="69"/>
      <c r="J542" s="68"/>
    </row>
    <row r="543">
      <c r="E543" s="68"/>
      <c r="I543" s="69"/>
      <c r="J543" s="68"/>
    </row>
    <row r="544">
      <c r="E544" s="68"/>
      <c r="I544" s="69"/>
      <c r="J544" s="68"/>
    </row>
    <row r="545">
      <c r="E545" s="68"/>
      <c r="I545" s="69"/>
      <c r="J545" s="68"/>
    </row>
    <row r="546">
      <c r="E546" s="68"/>
      <c r="I546" s="69"/>
      <c r="J546" s="68"/>
    </row>
    <row r="547">
      <c r="E547" s="68"/>
      <c r="I547" s="69"/>
      <c r="J547" s="68"/>
    </row>
    <row r="548">
      <c r="E548" s="68"/>
      <c r="I548" s="69"/>
      <c r="J548" s="68"/>
    </row>
    <row r="549">
      <c r="E549" s="68"/>
      <c r="I549" s="69"/>
      <c r="J549" s="68"/>
    </row>
    <row r="550">
      <c r="E550" s="68"/>
      <c r="I550" s="69"/>
      <c r="J550" s="68"/>
    </row>
    <row r="551">
      <c r="E551" s="68"/>
      <c r="I551" s="69"/>
      <c r="J551" s="68"/>
    </row>
    <row r="552">
      <c r="E552" s="68"/>
      <c r="I552" s="69"/>
      <c r="J552" s="68"/>
    </row>
    <row r="553">
      <c r="E553" s="68"/>
      <c r="I553" s="69"/>
      <c r="J553" s="68"/>
    </row>
    <row r="554">
      <c r="E554" s="68"/>
      <c r="I554" s="69"/>
      <c r="J554" s="68"/>
    </row>
    <row r="555">
      <c r="E555" s="68"/>
      <c r="I555" s="69"/>
      <c r="J555" s="68"/>
    </row>
    <row r="556">
      <c r="E556" s="68"/>
      <c r="I556" s="69"/>
      <c r="J556" s="68"/>
    </row>
    <row r="557">
      <c r="E557" s="68"/>
      <c r="I557" s="69"/>
      <c r="J557" s="68"/>
    </row>
    <row r="558">
      <c r="E558" s="68"/>
      <c r="I558" s="69"/>
      <c r="J558" s="68"/>
    </row>
    <row r="559">
      <c r="E559" s="68"/>
      <c r="I559" s="69"/>
      <c r="J559" s="68"/>
    </row>
    <row r="560">
      <c r="E560" s="68"/>
      <c r="I560" s="69"/>
      <c r="J560" s="68"/>
    </row>
    <row r="561">
      <c r="E561" s="68"/>
      <c r="I561" s="69"/>
      <c r="J561" s="68"/>
    </row>
    <row r="562">
      <c r="E562" s="68"/>
      <c r="I562" s="69"/>
      <c r="J562" s="68"/>
    </row>
    <row r="563">
      <c r="E563" s="68"/>
      <c r="I563" s="69"/>
      <c r="J563" s="68"/>
    </row>
    <row r="564">
      <c r="E564" s="68"/>
      <c r="I564" s="69"/>
      <c r="J564" s="68"/>
    </row>
    <row r="565">
      <c r="E565" s="68"/>
      <c r="I565" s="69"/>
      <c r="J565" s="68"/>
    </row>
    <row r="566">
      <c r="E566" s="68"/>
      <c r="I566" s="69"/>
      <c r="J566" s="68"/>
    </row>
    <row r="567">
      <c r="E567" s="68"/>
      <c r="I567" s="69"/>
      <c r="J567" s="68"/>
    </row>
    <row r="568">
      <c r="E568" s="68"/>
      <c r="I568" s="69"/>
      <c r="J568" s="68"/>
    </row>
    <row r="569">
      <c r="E569" s="68"/>
      <c r="I569" s="69"/>
      <c r="J569" s="68"/>
    </row>
    <row r="570">
      <c r="E570" s="68"/>
      <c r="I570" s="69"/>
      <c r="J570" s="68"/>
    </row>
    <row r="571">
      <c r="E571" s="68"/>
      <c r="I571" s="69"/>
      <c r="J571" s="68"/>
    </row>
    <row r="572">
      <c r="E572" s="68"/>
      <c r="I572" s="69"/>
      <c r="J572" s="68"/>
    </row>
    <row r="573">
      <c r="E573" s="68"/>
      <c r="I573" s="69"/>
      <c r="J573" s="68"/>
    </row>
    <row r="574">
      <c r="E574" s="68"/>
      <c r="I574" s="69"/>
      <c r="J574" s="68"/>
    </row>
    <row r="575">
      <c r="E575" s="68"/>
      <c r="I575" s="69"/>
      <c r="J575" s="68"/>
    </row>
    <row r="576">
      <c r="E576" s="68"/>
      <c r="I576" s="69"/>
      <c r="J576" s="68"/>
    </row>
    <row r="577">
      <c r="E577" s="68"/>
      <c r="I577" s="69"/>
      <c r="J577" s="68"/>
    </row>
    <row r="578">
      <c r="E578" s="68"/>
      <c r="I578" s="69"/>
      <c r="J578" s="68"/>
    </row>
    <row r="579">
      <c r="E579" s="68"/>
      <c r="I579" s="69"/>
      <c r="J579" s="68"/>
    </row>
    <row r="580">
      <c r="E580" s="68"/>
      <c r="I580" s="69"/>
      <c r="J580" s="68"/>
    </row>
    <row r="581">
      <c r="E581" s="68"/>
      <c r="I581" s="69"/>
      <c r="J581" s="68"/>
    </row>
    <row r="582">
      <c r="E582" s="68"/>
      <c r="I582" s="69"/>
      <c r="J582" s="68"/>
    </row>
    <row r="583">
      <c r="E583" s="68"/>
      <c r="I583" s="69"/>
      <c r="J583" s="68"/>
    </row>
    <row r="584">
      <c r="E584" s="68"/>
      <c r="I584" s="69"/>
      <c r="J584" s="68"/>
    </row>
    <row r="585">
      <c r="E585" s="68"/>
      <c r="I585" s="69"/>
      <c r="J585" s="68"/>
    </row>
    <row r="586">
      <c r="E586" s="68"/>
      <c r="I586" s="69"/>
      <c r="J586" s="68"/>
    </row>
    <row r="587">
      <c r="E587" s="68"/>
      <c r="I587" s="69"/>
      <c r="J587" s="68"/>
    </row>
    <row r="588">
      <c r="E588" s="68"/>
      <c r="I588" s="69"/>
      <c r="J588" s="68"/>
    </row>
    <row r="589">
      <c r="E589" s="68"/>
      <c r="I589" s="69"/>
      <c r="J589" s="68"/>
    </row>
    <row r="590">
      <c r="E590" s="68"/>
      <c r="I590" s="69"/>
      <c r="J590" s="68"/>
    </row>
    <row r="591">
      <c r="E591" s="68"/>
      <c r="I591" s="69"/>
      <c r="J591" s="68"/>
    </row>
    <row r="592">
      <c r="E592" s="68"/>
      <c r="I592" s="69"/>
      <c r="J592" s="68"/>
    </row>
    <row r="593">
      <c r="E593" s="68"/>
      <c r="I593" s="69"/>
      <c r="J593" s="68"/>
    </row>
    <row r="594">
      <c r="E594" s="68"/>
      <c r="I594" s="69"/>
      <c r="J594" s="68"/>
    </row>
    <row r="595">
      <c r="E595" s="68"/>
      <c r="I595" s="69"/>
      <c r="J595" s="68"/>
    </row>
    <row r="596">
      <c r="E596" s="68"/>
      <c r="I596" s="69"/>
      <c r="J596" s="68"/>
    </row>
    <row r="597">
      <c r="E597" s="68"/>
      <c r="I597" s="69"/>
      <c r="J597" s="68"/>
    </row>
    <row r="598">
      <c r="E598" s="68"/>
      <c r="I598" s="69"/>
      <c r="J598" s="68"/>
    </row>
    <row r="599">
      <c r="E599" s="68"/>
      <c r="I599" s="69"/>
      <c r="J599" s="68"/>
    </row>
    <row r="600">
      <c r="E600" s="68"/>
      <c r="I600" s="69"/>
      <c r="J600" s="68"/>
    </row>
    <row r="601">
      <c r="E601" s="68"/>
      <c r="I601" s="69"/>
      <c r="J601" s="68"/>
    </row>
    <row r="602">
      <c r="E602" s="68"/>
      <c r="I602" s="69"/>
      <c r="J602" s="68"/>
    </row>
    <row r="603">
      <c r="E603" s="68"/>
      <c r="I603" s="69"/>
      <c r="J603" s="68"/>
    </row>
    <row r="604">
      <c r="E604" s="68"/>
      <c r="I604" s="69"/>
      <c r="J604" s="68"/>
    </row>
    <row r="605">
      <c r="E605" s="68"/>
      <c r="I605" s="69"/>
      <c r="J605" s="68"/>
    </row>
    <row r="606">
      <c r="E606" s="68"/>
      <c r="I606" s="69"/>
      <c r="J606" s="68"/>
    </row>
    <row r="607">
      <c r="E607" s="68"/>
      <c r="I607" s="69"/>
      <c r="J607" s="68"/>
    </row>
    <row r="608">
      <c r="E608" s="68"/>
      <c r="I608" s="69"/>
      <c r="J608" s="68"/>
    </row>
    <row r="609">
      <c r="E609" s="68"/>
      <c r="I609" s="69"/>
      <c r="J609" s="68"/>
    </row>
    <row r="610">
      <c r="E610" s="68"/>
      <c r="I610" s="69"/>
      <c r="J610" s="68"/>
    </row>
    <row r="611">
      <c r="E611" s="68"/>
      <c r="I611" s="69"/>
      <c r="J611" s="68"/>
    </row>
    <row r="612">
      <c r="E612" s="68"/>
      <c r="I612" s="69"/>
      <c r="J612" s="68"/>
    </row>
    <row r="613">
      <c r="E613" s="68"/>
      <c r="I613" s="69"/>
      <c r="J613" s="68"/>
    </row>
    <row r="614">
      <c r="E614" s="68"/>
      <c r="I614" s="69"/>
      <c r="J614" s="68"/>
    </row>
    <row r="615">
      <c r="E615" s="68"/>
      <c r="I615" s="69"/>
      <c r="J615" s="68"/>
    </row>
    <row r="616">
      <c r="E616" s="68"/>
      <c r="I616" s="69"/>
      <c r="J616" s="68"/>
    </row>
    <row r="617">
      <c r="E617" s="68"/>
      <c r="I617" s="69"/>
      <c r="J617" s="68"/>
    </row>
    <row r="618">
      <c r="E618" s="68"/>
      <c r="I618" s="69"/>
      <c r="J618" s="68"/>
    </row>
    <row r="619">
      <c r="E619" s="68"/>
      <c r="I619" s="69"/>
      <c r="J619" s="68"/>
    </row>
    <row r="620">
      <c r="E620" s="68"/>
      <c r="I620" s="69"/>
      <c r="J620" s="68"/>
    </row>
    <row r="621">
      <c r="E621" s="68"/>
      <c r="I621" s="69"/>
      <c r="J621" s="68"/>
    </row>
    <row r="622">
      <c r="E622" s="68"/>
      <c r="I622" s="69"/>
      <c r="J622" s="68"/>
    </row>
    <row r="623">
      <c r="E623" s="68"/>
      <c r="I623" s="69"/>
      <c r="J623" s="68"/>
    </row>
    <row r="624">
      <c r="E624" s="68"/>
      <c r="I624" s="69"/>
      <c r="J624" s="68"/>
    </row>
    <row r="625">
      <c r="E625" s="68"/>
      <c r="I625" s="69"/>
      <c r="J625" s="68"/>
    </row>
    <row r="626">
      <c r="E626" s="68"/>
      <c r="I626" s="69"/>
      <c r="J626" s="68"/>
    </row>
    <row r="627">
      <c r="E627" s="68"/>
      <c r="I627" s="69"/>
      <c r="J627" s="68"/>
    </row>
    <row r="628">
      <c r="E628" s="68"/>
      <c r="I628" s="69"/>
      <c r="J628" s="68"/>
    </row>
    <row r="629">
      <c r="E629" s="68"/>
      <c r="I629" s="69"/>
      <c r="J629" s="68"/>
    </row>
    <row r="630">
      <c r="E630" s="68"/>
      <c r="I630" s="69"/>
      <c r="J630" s="68"/>
    </row>
    <row r="631">
      <c r="E631" s="68"/>
      <c r="I631" s="69"/>
      <c r="J631" s="68"/>
    </row>
    <row r="632">
      <c r="E632" s="68"/>
      <c r="I632" s="69"/>
      <c r="J632" s="68"/>
    </row>
    <row r="633">
      <c r="E633" s="68"/>
      <c r="I633" s="69"/>
      <c r="J633" s="68"/>
    </row>
    <row r="634">
      <c r="E634" s="68"/>
      <c r="I634" s="69"/>
      <c r="J634" s="68"/>
    </row>
    <row r="635">
      <c r="E635" s="68"/>
      <c r="I635" s="69"/>
      <c r="J635" s="68"/>
    </row>
    <row r="636">
      <c r="E636" s="68"/>
      <c r="I636" s="69"/>
      <c r="J636" s="68"/>
    </row>
    <row r="637">
      <c r="E637" s="68"/>
      <c r="I637" s="69"/>
      <c r="J637" s="68"/>
    </row>
    <row r="638">
      <c r="E638" s="68"/>
      <c r="I638" s="69"/>
      <c r="J638" s="68"/>
    </row>
    <row r="639">
      <c r="E639" s="68"/>
      <c r="I639" s="69"/>
      <c r="J639" s="68"/>
    </row>
    <row r="640">
      <c r="E640" s="68"/>
      <c r="I640" s="69"/>
      <c r="J640" s="68"/>
    </row>
    <row r="641">
      <c r="E641" s="68"/>
      <c r="I641" s="69"/>
      <c r="J641" s="68"/>
    </row>
    <row r="642">
      <c r="E642" s="68"/>
      <c r="I642" s="69"/>
      <c r="J642" s="68"/>
    </row>
    <row r="643">
      <c r="E643" s="68"/>
      <c r="I643" s="69"/>
      <c r="J643" s="68"/>
    </row>
    <row r="644">
      <c r="E644" s="68"/>
      <c r="I644" s="69"/>
      <c r="J644" s="68"/>
    </row>
    <row r="645">
      <c r="E645" s="68"/>
      <c r="I645" s="69"/>
      <c r="J645" s="68"/>
    </row>
    <row r="646">
      <c r="E646" s="68"/>
      <c r="I646" s="69"/>
      <c r="J646" s="68"/>
    </row>
    <row r="647">
      <c r="E647" s="68"/>
      <c r="I647" s="69"/>
      <c r="J647" s="68"/>
    </row>
    <row r="648">
      <c r="E648" s="68"/>
      <c r="I648" s="69"/>
      <c r="J648" s="68"/>
    </row>
    <row r="649">
      <c r="E649" s="68"/>
      <c r="I649" s="69"/>
      <c r="J649" s="68"/>
    </row>
    <row r="650">
      <c r="E650" s="68"/>
      <c r="I650" s="69"/>
      <c r="J650" s="68"/>
    </row>
    <row r="651">
      <c r="E651" s="68"/>
      <c r="I651" s="69"/>
      <c r="J651" s="68"/>
    </row>
    <row r="652">
      <c r="E652" s="68"/>
      <c r="I652" s="69"/>
      <c r="J652" s="68"/>
    </row>
    <row r="653">
      <c r="E653" s="68"/>
      <c r="I653" s="69"/>
      <c r="J653" s="68"/>
    </row>
    <row r="654">
      <c r="E654" s="68"/>
      <c r="I654" s="69"/>
      <c r="J654" s="68"/>
    </row>
    <row r="655">
      <c r="E655" s="68"/>
      <c r="I655" s="69"/>
      <c r="J655" s="68"/>
    </row>
    <row r="656">
      <c r="E656" s="68"/>
      <c r="I656" s="69"/>
      <c r="J656" s="68"/>
    </row>
    <row r="657">
      <c r="E657" s="68"/>
      <c r="I657" s="69"/>
      <c r="J657" s="68"/>
    </row>
    <row r="658">
      <c r="E658" s="68"/>
      <c r="I658" s="69"/>
      <c r="J658" s="68"/>
    </row>
    <row r="659">
      <c r="E659" s="68"/>
      <c r="I659" s="69"/>
      <c r="J659" s="68"/>
    </row>
    <row r="660">
      <c r="E660" s="68"/>
      <c r="I660" s="69"/>
      <c r="J660" s="68"/>
    </row>
    <row r="661">
      <c r="E661" s="68"/>
      <c r="I661" s="69"/>
      <c r="J661" s="68"/>
    </row>
    <row r="662">
      <c r="E662" s="68"/>
      <c r="I662" s="69"/>
      <c r="J662" s="68"/>
    </row>
    <row r="663">
      <c r="E663" s="68"/>
      <c r="I663" s="69"/>
      <c r="J663" s="68"/>
    </row>
    <row r="664">
      <c r="E664" s="68"/>
      <c r="I664" s="69"/>
      <c r="J664" s="68"/>
    </row>
    <row r="665">
      <c r="E665" s="68"/>
      <c r="I665" s="69"/>
      <c r="J665" s="68"/>
    </row>
    <row r="666">
      <c r="E666" s="68"/>
      <c r="I666" s="69"/>
      <c r="J666" s="68"/>
    </row>
    <row r="667">
      <c r="E667" s="68"/>
      <c r="I667" s="69"/>
      <c r="J667" s="68"/>
    </row>
    <row r="668">
      <c r="E668" s="68"/>
      <c r="I668" s="69"/>
      <c r="J668" s="68"/>
    </row>
    <row r="669">
      <c r="E669" s="68"/>
      <c r="I669" s="69"/>
      <c r="J669" s="68"/>
    </row>
    <row r="670">
      <c r="E670" s="68"/>
      <c r="I670" s="69"/>
      <c r="J670" s="68"/>
    </row>
    <row r="671">
      <c r="E671" s="68"/>
      <c r="I671" s="69"/>
      <c r="J671" s="68"/>
    </row>
    <row r="672">
      <c r="E672" s="68"/>
      <c r="I672" s="69"/>
      <c r="J672" s="68"/>
    </row>
    <row r="673">
      <c r="E673" s="68"/>
      <c r="I673" s="69"/>
      <c r="J673" s="68"/>
    </row>
    <row r="674">
      <c r="E674" s="68"/>
      <c r="I674" s="69"/>
      <c r="J674" s="68"/>
    </row>
    <row r="675">
      <c r="E675" s="68"/>
      <c r="I675" s="69"/>
      <c r="J675" s="68"/>
    </row>
    <row r="676">
      <c r="E676" s="68"/>
      <c r="I676" s="69"/>
      <c r="J676" s="68"/>
    </row>
    <row r="677">
      <c r="E677" s="68"/>
      <c r="I677" s="69"/>
      <c r="J677" s="68"/>
    </row>
    <row r="678">
      <c r="E678" s="68"/>
      <c r="I678" s="69"/>
      <c r="J678" s="68"/>
    </row>
    <row r="679">
      <c r="E679" s="68"/>
      <c r="I679" s="69"/>
      <c r="J679" s="68"/>
    </row>
    <row r="680">
      <c r="E680" s="68"/>
      <c r="I680" s="69"/>
      <c r="J680" s="68"/>
    </row>
    <row r="681">
      <c r="E681" s="68"/>
      <c r="I681" s="69"/>
      <c r="J681" s="68"/>
    </row>
    <row r="682">
      <c r="E682" s="68"/>
      <c r="I682" s="69"/>
      <c r="J682" s="68"/>
    </row>
    <row r="683">
      <c r="E683" s="68"/>
      <c r="I683" s="69"/>
      <c r="J683" s="68"/>
    </row>
    <row r="684">
      <c r="E684" s="68"/>
      <c r="I684" s="69"/>
      <c r="J684" s="68"/>
    </row>
    <row r="685">
      <c r="E685" s="68"/>
      <c r="I685" s="69"/>
      <c r="J685" s="68"/>
    </row>
    <row r="686">
      <c r="E686" s="68"/>
      <c r="I686" s="69"/>
      <c r="J686" s="68"/>
    </row>
    <row r="687">
      <c r="E687" s="68"/>
      <c r="I687" s="69"/>
      <c r="J687" s="68"/>
    </row>
    <row r="688">
      <c r="E688" s="68"/>
      <c r="I688" s="69"/>
      <c r="J688" s="68"/>
    </row>
    <row r="689">
      <c r="E689" s="68"/>
      <c r="I689" s="69"/>
      <c r="J689" s="68"/>
    </row>
    <row r="690">
      <c r="E690" s="68"/>
      <c r="I690" s="69"/>
      <c r="J690" s="68"/>
    </row>
    <row r="691">
      <c r="E691" s="68"/>
      <c r="I691" s="69"/>
      <c r="J691" s="68"/>
    </row>
    <row r="692">
      <c r="E692" s="68"/>
      <c r="I692" s="69"/>
      <c r="J692" s="68"/>
    </row>
    <row r="693">
      <c r="E693" s="68"/>
      <c r="I693" s="69"/>
      <c r="J693" s="68"/>
    </row>
    <row r="694">
      <c r="E694" s="68"/>
      <c r="I694" s="69"/>
      <c r="J694" s="68"/>
    </row>
    <row r="695">
      <c r="E695" s="68"/>
      <c r="I695" s="69"/>
      <c r="J695" s="68"/>
    </row>
    <row r="696">
      <c r="E696" s="68"/>
      <c r="I696" s="69"/>
      <c r="J696" s="68"/>
    </row>
    <row r="697">
      <c r="E697" s="68"/>
      <c r="I697" s="69"/>
      <c r="J697" s="68"/>
    </row>
    <row r="698">
      <c r="E698" s="68"/>
      <c r="I698" s="69"/>
      <c r="J698" s="68"/>
    </row>
    <row r="699">
      <c r="E699" s="68"/>
      <c r="I699" s="69"/>
      <c r="J699" s="68"/>
    </row>
    <row r="700">
      <c r="E700" s="68"/>
      <c r="I700" s="69"/>
      <c r="J700" s="68"/>
    </row>
    <row r="701">
      <c r="E701" s="68"/>
      <c r="I701" s="69"/>
      <c r="J701" s="68"/>
    </row>
    <row r="702">
      <c r="E702" s="68"/>
      <c r="I702" s="69"/>
      <c r="J702" s="68"/>
    </row>
    <row r="703">
      <c r="E703" s="68"/>
      <c r="I703" s="69"/>
      <c r="J703" s="68"/>
    </row>
    <row r="704">
      <c r="E704" s="68"/>
      <c r="I704" s="69"/>
      <c r="J704" s="68"/>
    </row>
    <row r="705">
      <c r="E705" s="68"/>
      <c r="I705" s="69"/>
      <c r="J705" s="68"/>
    </row>
    <row r="706">
      <c r="E706" s="68"/>
      <c r="I706" s="69"/>
      <c r="J706" s="68"/>
    </row>
    <row r="707">
      <c r="E707" s="68"/>
      <c r="I707" s="69"/>
      <c r="J707" s="68"/>
    </row>
    <row r="708">
      <c r="E708" s="68"/>
      <c r="I708" s="69"/>
      <c r="J708" s="68"/>
    </row>
    <row r="709">
      <c r="E709" s="68"/>
      <c r="I709" s="69"/>
      <c r="J709" s="68"/>
    </row>
    <row r="710">
      <c r="E710" s="68"/>
      <c r="I710" s="69"/>
      <c r="J710" s="68"/>
    </row>
    <row r="711">
      <c r="E711" s="68"/>
      <c r="I711" s="69"/>
      <c r="J711" s="68"/>
    </row>
    <row r="712">
      <c r="E712" s="68"/>
      <c r="I712" s="69"/>
      <c r="J712" s="68"/>
    </row>
    <row r="713">
      <c r="E713" s="68"/>
      <c r="I713" s="69"/>
      <c r="J713" s="68"/>
    </row>
    <row r="714">
      <c r="E714" s="68"/>
      <c r="I714" s="69"/>
      <c r="J714" s="68"/>
    </row>
    <row r="715">
      <c r="E715" s="68"/>
      <c r="I715" s="69"/>
      <c r="J715" s="68"/>
    </row>
    <row r="716">
      <c r="E716" s="68"/>
      <c r="I716" s="69"/>
      <c r="J716" s="68"/>
    </row>
    <row r="717">
      <c r="E717" s="68"/>
      <c r="I717" s="69"/>
      <c r="J717" s="68"/>
    </row>
    <row r="718">
      <c r="E718" s="68"/>
      <c r="I718" s="69"/>
      <c r="J718" s="68"/>
    </row>
    <row r="719">
      <c r="E719" s="68"/>
      <c r="I719" s="69"/>
      <c r="J719" s="68"/>
    </row>
    <row r="720">
      <c r="E720" s="68"/>
      <c r="I720" s="69"/>
      <c r="J720" s="68"/>
    </row>
    <row r="721">
      <c r="E721" s="68"/>
      <c r="I721" s="69"/>
      <c r="J721" s="68"/>
    </row>
    <row r="722">
      <c r="E722" s="68"/>
      <c r="I722" s="69"/>
      <c r="J722" s="68"/>
    </row>
    <row r="723">
      <c r="E723" s="68"/>
      <c r="I723" s="69"/>
      <c r="J723" s="68"/>
    </row>
    <row r="724">
      <c r="E724" s="68"/>
      <c r="I724" s="69"/>
      <c r="J724" s="68"/>
    </row>
    <row r="725">
      <c r="E725" s="68"/>
      <c r="I725" s="69"/>
      <c r="J725" s="68"/>
    </row>
    <row r="726">
      <c r="E726" s="68"/>
      <c r="I726" s="69"/>
      <c r="J726" s="68"/>
    </row>
    <row r="727">
      <c r="E727" s="68"/>
      <c r="I727" s="69"/>
      <c r="J727" s="68"/>
    </row>
    <row r="728">
      <c r="E728" s="68"/>
      <c r="I728" s="69"/>
      <c r="J728" s="68"/>
    </row>
    <row r="729">
      <c r="E729" s="68"/>
      <c r="I729" s="69"/>
      <c r="J729" s="68"/>
    </row>
    <row r="730">
      <c r="E730" s="68"/>
      <c r="I730" s="69"/>
      <c r="J730" s="68"/>
    </row>
    <row r="731">
      <c r="E731" s="68"/>
      <c r="I731" s="69"/>
      <c r="J731" s="68"/>
    </row>
    <row r="732">
      <c r="E732" s="68"/>
      <c r="I732" s="69"/>
      <c r="J732" s="68"/>
    </row>
    <row r="733">
      <c r="E733" s="68"/>
      <c r="I733" s="69"/>
      <c r="J733" s="68"/>
    </row>
    <row r="734">
      <c r="E734" s="68"/>
      <c r="I734" s="69"/>
      <c r="J734" s="68"/>
    </row>
    <row r="735">
      <c r="E735" s="68"/>
      <c r="I735" s="69"/>
      <c r="J735" s="68"/>
    </row>
    <row r="736">
      <c r="E736" s="68"/>
      <c r="I736" s="69"/>
      <c r="J736" s="68"/>
    </row>
    <row r="737">
      <c r="E737" s="68"/>
      <c r="I737" s="69"/>
      <c r="J737" s="68"/>
    </row>
    <row r="738">
      <c r="E738" s="68"/>
      <c r="I738" s="69"/>
      <c r="J738" s="68"/>
    </row>
    <row r="739">
      <c r="E739" s="68"/>
      <c r="I739" s="69"/>
      <c r="J739" s="68"/>
    </row>
    <row r="740">
      <c r="E740" s="68"/>
      <c r="I740" s="69"/>
      <c r="J740" s="68"/>
    </row>
    <row r="741">
      <c r="E741" s="68"/>
      <c r="I741" s="69"/>
      <c r="J741" s="68"/>
    </row>
    <row r="742">
      <c r="E742" s="68"/>
      <c r="I742" s="69"/>
      <c r="J742" s="68"/>
    </row>
    <row r="743">
      <c r="E743" s="68"/>
      <c r="I743" s="69"/>
      <c r="J743" s="68"/>
    </row>
    <row r="744">
      <c r="E744" s="68"/>
      <c r="I744" s="69"/>
      <c r="J744" s="68"/>
    </row>
    <row r="745">
      <c r="E745" s="68"/>
      <c r="I745" s="69"/>
      <c r="J745" s="68"/>
    </row>
    <row r="746">
      <c r="E746" s="68"/>
      <c r="I746" s="69"/>
      <c r="J746" s="68"/>
    </row>
    <row r="747">
      <c r="E747" s="68"/>
      <c r="I747" s="69"/>
      <c r="J747" s="68"/>
    </row>
    <row r="748">
      <c r="E748" s="68"/>
      <c r="I748" s="69"/>
      <c r="J748" s="68"/>
    </row>
    <row r="749">
      <c r="E749" s="68"/>
      <c r="I749" s="69"/>
      <c r="J749" s="68"/>
    </row>
    <row r="750">
      <c r="E750" s="68"/>
      <c r="I750" s="69"/>
      <c r="J750" s="68"/>
    </row>
    <row r="751">
      <c r="E751" s="68"/>
      <c r="I751" s="69"/>
      <c r="J751" s="68"/>
    </row>
    <row r="752">
      <c r="E752" s="68"/>
      <c r="I752" s="69"/>
      <c r="J752" s="68"/>
    </row>
    <row r="753">
      <c r="E753" s="68"/>
      <c r="I753" s="69"/>
      <c r="J753" s="68"/>
    </row>
    <row r="754">
      <c r="E754" s="68"/>
      <c r="I754" s="69"/>
      <c r="J754" s="68"/>
    </row>
    <row r="755">
      <c r="E755" s="68"/>
      <c r="I755" s="69"/>
      <c r="J755" s="68"/>
    </row>
    <row r="756">
      <c r="E756" s="68"/>
      <c r="I756" s="69"/>
      <c r="J756" s="68"/>
    </row>
    <row r="757">
      <c r="E757" s="68"/>
      <c r="I757" s="69"/>
      <c r="J757" s="68"/>
    </row>
    <row r="758">
      <c r="E758" s="68"/>
      <c r="I758" s="69"/>
      <c r="J758" s="68"/>
    </row>
    <row r="759">
      <c r="E759" s="68"/>
      <c r="I759" s="69"/>
      <c r="J759" s="68"/>
    </row>
    <row r="760">
      <c r="E760" s="68"/>
      <c r="I760" s="69"/>
      <c r="J760" s="68"/>
    </row>
    <row r="761">
      <c r="E761" s="68"/>
      <c r="I761" s="69"/>
      <c r="J761" s="68"/>
    </row>
    <row r="762">
      <c r="E762" s="68"/>
      <c r="I762" s="69"/>
      <c r="J762" s="68"/>
    </row>
    <row r="763">
      <c r="E763" s="68"/>
      <c r="I763" s="69"/>
      <c r="J763" s="68"/>
    </row>
    <row r="764">
      <c r="E764" s="68"/>
      <c r="I764" s="69"/>
      <c r="J764" s="68"/>
    </row>
    <row r="765">
      <c r="E765" s="68"/>
      <c r="I765" s="69"/>
      <c r="J765" s="68"/>
    </row>
    <row r="766">
      <c r="E766" s="68"/>
      <c r="I766" s="69"/>
      <c r="J766" s="68"/>
    </row>
    <row r="767">
      <c r="E767" s="68"/>
      <c r="I767" s="69"/>
      <c r="J767" s="68"/>
    </row>
    <row r="768">
      <c r="E768" s="68"/>
      <c r="I768" s="69"/>
      <c r="J768" s="68"/>
    </row>
    <row r="769">
      <c r="E769" s="68"/>
      <c r="I769" s="69"/>
      <c r="J769" s="68"/>
    </row>
    <row r="770">
      <c r="E770" s="68"/>
      <c r="I770" s="69"/>
      <c r="J770" s="68"/>
    </row>
    <row r="771">
      <c r="E771" s="68"/>
      <c r="I771" s="69"/>
      <c r="J771" s="68"/>
    </row>
    <row r="772">
      <c r="E772" s="68"/>
      <c r="I772" s="69"/>
      <c r="J772" s="68"/>
    </row>
    <row r="773">
      <c r="E773" s="68"/>
      <c r="I773" s="69"/>
      <c r="J773" s="68"/>
    </row>
    <row r="774">
      <c r="E774" s="68"/>
      <c r="I774" s="69"/>
      <c r="J774" s="68"/>
    </row>
    <row r="775">
      <c r="E775" s="68"/>
      <c r="I775" s="69"/>
      <c r="J775" s="68"/>
    </row>
    <row r="776">
      <c r="E776" s="68"/>
      <c r="I776" s="69"/>
      <c r="J776" s="68"/>
    </row>
    <row r="777">
      <c r="E777" s="68"/>
      <c r="I777" s="69"/>
      <c r="J777" s="68"/>
    </row>
    <row r="778">
      <c r="E778" s="68"/>
      <c r="I778" s="69"/>
      <c r="J778" s="68"/>
    </row>
    <row r="779">
      <c r="E779" s="68"/>
      <c r="I779" s="69"/>
      <c r="J779" s="68"/>
    </row>
    <row r="780">
      <c r="E780" s="68"/>
      <c r="I780" s="69"/>
      <c r="J780" s="68"/>
    </row>
    <row r="781">
      <c r="E781" s="68"/>
      <c r="I781" s="69"/>
      <c r="J781" s="68"/>
    </row>
    <row r="782">
      <c r="E782" s="68"/>
      <c r="I782" s="69"/>
      <c r="J782" s="68"/>
    </row>
    <row r="783">
      <c r="E783" s="68"/>
      <c r="I783" s="69"/>
      <c r="J783" s="68"/>
    </row>
    <row r="784">
      <c r="E784" s="68"/>
      <c r="I784" s="69"/>
      <c r="J784" s="68"/>
    </row>
    <row r="785">
      <c r="E785" s="68"/>
      <c r="I785" s="69"/>
      <c r="J785" s="68"/>
    </row>
    <row r="786">
      <c r="E786" s="68"/>
      <c r="I786" s="69"/>
      <c r="J786" s="68"/>
    </row>
    <row r="787">
      <c r="E787" s="68"/>
      <c r="I787" s="69"/>
      <c r="J787" s="68"/>
    </row>
    <row r="788">
      <c r="E788" s="68"/>
      <c r="I788" s="69"/>
      <c r="J788" s="68"/>
    </row>
    <row r="789">
      <c r="E789" s="68"/>
      <c r="I789" s="69"/>
      <c r="J789" s="68"/>
    </row>
    <row r="790">
      <c r="E790" s="68"/>
      <c r="I790" s="69"/>
      <c r="J790" s="68"/>
    </row>
    <row r="791">
      <c r="E791" s="68"/>
      <c r="I791" s="69"/>
      <c r="J791" s="68"/>
    </row>
    <row r="792">
      <c r="E792" s="68"/>
      <c r="I792" s="69"/>
      <c r="J792" s="68"/>
    </row>
    <row r="793">
      <c r="E793" s="68"/>
      <c r="I793" s="69"/>
      <c r="J793" s="68"/>
    </row>
    <row r="794">
      <c r="E794" s="68"/>
      <c r="I794" s="69"/>
      <c r="J794" s="68"/>
    </row>
    <row r="795">
      <c r="E795" s="68"/>
      <c r="I795" s="69"/>
      <c r="J795" s="68"/>
    </row>
    <row r="796">
      <c r="E796" s="68"/>
      <c r="I796" s="69"/>
      <c r="J796" s="68"/>
    </row>
    <row r="797">
      <c r="E797" s="68"/>
      <c r="I797" s="69"/>
      <c r="J797" s="68"/>
    </row>
    <row r="798">
      <c r="E798" s="68"/>
      <c r="I798" s="69"/>
      <c r="J798" s="68"/>
    </row>
    <row r="799">
      <c r="E799" s="68"/>
      <c r="I799" s="69"/>
      <c r="J799" s="68"/>
    </row>
    <row r="800">
      <c r="E800" s="68"/>
      <c r="I800" s="69"/>
      <c r="J800" s="68"/>
    </row>
    <row r="801">
      <c r="E801" s="68"/>
      <c r="I801" s="69"/>
      <c r="J801" s="68"/>
    </row>
    <row r="802">
      <c r="E802" s="68"/>
      <c r="I802" s="69"/>
      <c r="J802" s="68"/>
    </row>
    <row r="803">
      <c r="E803" s="68"/>
      <c r="I803" s="69"/>
      <c r="J803" s="68"/>
    </row>
    <row r="804">
      <c r="E804" s="68"/>
      <c r="I804" s="69"/>
      <c r="J804" s="68"/>
    </row>
    <row r="805">
      <c r="E805" s="68"/>
      <c r="I805" s="69"/>
      <c r="J805" s="68"/>
    </row>
    <row r="806">
      <c r="E806" s="68"/>
      <c r="I806" s="69"/>
      <c r="J806" s="68"/>
    </row>
    <row r="807">
      <c r="E807" s="68"/>
      <c r="I807" s="69"/>
      <c r="J807" s="68"/>
    </row>
    <row r="808">
      <c r="E808" s="68"/>
      <c r="I808" s="69"/>
      <c r="J808" s="68"/>
    </row>
    <row r="809">
      <c r="E809" s="68"/>
      <c r="I809" s="69"/>
      <c r="J809" s="68"/>
    </row>
    <row r="810">
      <c r="E810" s="68"/>
      <c r="I810" s="69"/>
      <c r="J810" s="68"/>
    </row>
    <row r="811">
      <c r="E811" s="68"/>
      <c r="I811" s="69"/>
      <c r="J811" s="68"/>
    </row>
    <row r="812">
      <c r="E812" s="68"/>
      <c r="I812" s="69"/>
      <c r="J812" s="68"/>
    </row>
    <row r="813">
      <c r="E813" s="68"/>
      <c r="I813" s="69"/>
      <c r="J813" s="68"/>
    </row>
    <row r="814">
      <c r="E814" s="68"/>
      <c r="I814" s="69"/>
      <c r="J814" s="68"/>
    </row>
    <row r="815">
      <c r="E815" s="68"/>
      <c r="I815" s="69"/>
      <c r="J815" s="68"/>
    </row>
    <row r="816">
      <c r="E816" s="68"/>
      <c r="I816" s="69"/>
      <c r="J816" s="68"/>
    </row>
    <row r="817">
      <c r="E817" s="68"/>
      <c r="I817" s="69"/>
      <c r="J817" s="68"/>
    </row>
    <row r="818">
      <c r="E818" s="68"/>
      <c r="I818" s="69"/>
      <c r="J818" s="68"/>
    </row>
    <row r="819">
      <c r="E819" s="68"/>
      <c r="I819" s="69"/>
      <c r="J819" s="68"/>
    </row>
    <row r="820">
      <c r="E820" s="68"/>
      <c r="I820" s="69"/>
      <c r="J820" s="68"/>
    </row>
    <row r="821">
      <c r="E821" s="68"/>
      <c r="I821" s="69"/>
      <c r="J821" s="68"/>
    </row>
    <row r="822">
      <c r="E822" s="68"/>
      <c r="I822" s="69"/>
      <c r="J822" s="68"/>
    </row>
    <row r="823">
      <c r="E823" s="68"/>
      <c r="I823" s="69"/>
      <c r="J823" s="68"/>
    </row>
    <row r="824">
      <c r="E824" s="68"/>
      <c r="I824" s="69"/>
      <c r="J824" s="68"/>
    </row>
    <row r="825">
      <c r="E825" s="68"/>
      <c r="I825" s="69"/>
      <c r="J825" s="68"/>
    </row>
    <row r="826">
      <c r="E826" s="68"/>
      <c r="I826" s="69"/>
      <c r="J826" s="68"/>
    </row>
    <row r="827">
      <c r="E827" s="68"/>
      <c r="I827" s="69"/>
      <c r="J827" s="68"/>
    </row>
    <row r="828">
      <c r="E828" s="68"/>
      <c r="I828" s="69"/>
      <c r="J828" s="68"/>
    </row>
    <row r="829">
      <c r="E829" s="68"/>
      <c r="I829" s="69"/>
      <c r="J829" s="68"/>
    </row>
    <row r="830">
      <c r="E830" s="68"/>
      <c r="I830" s="69"/>
      <c r="J830" s="68"/>
    </row>
    <row r="831">
      <c r="E831" s="68"/>
      <c r="I831" s="69"/>
      <c r="J831" s="68"/>
    </row>
    <row r="832">
      <c r="E832" s="68"/>
      <c r="I832" s="69"/>
      <c r="J832" s="68"/>
    </row>
    <row r="833">
      <c r="E833" s="68"/>
      <c r="I833" s="69"/>
      <c r="J833" s="68"/>
    </row>
    <row r="834">
      <c r="E834" s="68"/>
      <c r="I834" s="69"/>
      <c r="J834" s="68"/>
    </row>
    <row r="835">
      <c r="E835" s="68"/>
      <c r="I835" s="69"/>
      <c r="J835" s="68"/>
    </row>
    <row r="836">
      <c r="E836" s="68"/>
      <c r="I836" s="69"/>
      <c r="J836" s="68"/>
    </row>
    <row r="837">
      <c r="E837" s="68"/>
      <c r="I837" s="69"/>
      <c r="J837" s="68"/>
    </row>
    <row r="838">
      <c r="E838" s="68"/>
      <c r="I838" s="69"/>
      <c r="J838" s="68"/>
    </row>
    <row r="839">
      <c r="E839" s="68"/>
      <c r="I839" s="69"/>
      <c r="J839" s="68"/>
    </row>
    <row r="840">
      <c r="E840" s="68"/>
      <c r="I840" s="69"/>
      <c r="J840" s="68"/>
    </row>
    <row r="841">
      <c r="E841" s="68"/>
      <c r="I841" s="69"/>
      <c r="J841" s="68"/>
    </row>
    <row r="842">
      <c r="E842" s="68"/>
      <c r="I842" s="69"/>
      <c r="J842" s="68"/>
    </row>
    <row r="843">
      <c r="E843" s="68"/>
      <c r="I843" s="69"/>
      <c r="J843" s="68"/>
    </row>
    <row r="844">
      <c r="E844" s="68"/>
      <c r="I844" s="69"/>
      <c r="J844" s="68"/>
    </row>
    <row r="845">
      <c r="E845" s="68"/>
      <c r="I845" s="69"/>
      <c r="J845" s="68"/>
    </row>
    <row r="846">
      <c r="E846" s="68"/>
      <c r="I846" s="69"/>
      <c r="J846" s="68"/>
    </row>
    <row r="847">
      <c r="E847" s="68"/>
      <c r="I847" s="69"/>
      <c r="J847" s="68"/>
    </row>
    <row r="848">
      <c r="E848" s="68"/>
      <c r="I848" s="69"/>
      <c r="J848" s="68"/>
    </row>
    <row r="849">
      <c r="E849" s="68"/>
      <c r="I849" s="69"/>
      <c r="J849" s="68"/>
    </row>
    <row r="850">
      <c r="E850" s="68"/>
      <c r="I850" s="69"/>
      <c r="J850" s="68"/>
    </row>
    <row r="851">
      <c r="E851" s="68"/>
      <c r="I851" s="69"/>
      <c r="J851" s="68"/>
    </row>
    <row r="852">
      <c r="E852" s="68"/>
      <c r="I852" s="69"/>
      <c r="J852" s="68"/>
    </row>
    <row r="853">
      <c r="E853" s="68"/>
      <c r="I853" s="69"/>
      <c r="J853" s="68"/>
    </row>
    <row r="854">
      <c r="E854" s="68"/>
      <c r="I854" s="69"/>
      <c r="J854" s="68"/>
    </row>
    <row r="855">
      <c r="E855" s="68"/>
      <c r="I855" s="69"/>
      <c r="J855" s="68"/>
    </row>
    <row r="856">
      <c r="E856" s="68"/>
      <c r="I856" s="69"/>
      <c r="J856" s="68"/>
    </row>
    <row r="857">
      <c r="E857" s="68"/>
      <c r="I857" s="69"/>
      <c r="J857" s="68"/>
    </row>
    <row r="858">
      <c r="E858" s="68"/>
      <c r="I858" s="69"/>
      <c r="J858" s="68"/>
    </row>
    <row r="859">
      <c r="E859" s="68"/>
      <c r="I859" s="69"/>
      <c r="J859" s="68"/>
    </row>
    <row r="860">
      <c r="E860" s="68"/>
      <c r="I860" s="69"/>
      <c r="J860" s="68"/>
    </row>
    <row r="861">
      <c r="E861" s="68"/>
      <c r="I861" s="69"/>
      <c r="J861" s="68"/>
    </row>
    <row r="862">
      <c r="E862" s="68"/>
      <c r="I862" s="69"/>
      <c r="J862" s="68"/>
    </row>
    <row r="863">
      <c r="E863" s="68"/>
      <c r="I863" s="69"/>
      <c r="J863" s="68"/>
    </row>
    <row r="864">
      <c r="E864" s="68"/>
      <c r="I864" s="69"/>
      <c r="J864" s="68"/>
    </row>
    <row r="865">
      <c r="E865" s="68"/>
      <c r="I865" s="69"/>
      <c r="J865" s="68"/>
    </row>
    <row r="866">
      <c r="E866" s="68"/>
      <c r="I866" s="69"/>
      <c r="J866" s="68"/>
    </row>
    <row r="867">
      <c r="E867" s="68"/>
      <c r="I867" s="69"/>
      <c r="J867" s="68"/>
    </row>
    <row r="868">
      <c r="E868" s="68"/>
      <c r="I868" s="69"/>
      <c r="J868" s="68"/>
    </row>
    <row r="869">
      <c r="E869" s="68"/>
      <c r="I869" s="69"/>
      <c r="J869" s="68"/>
    </row>
    <row r="870">
      <c r="E870" s="68"/>
      <c r="I870" s="69"/>
      <c r="J870" s="68"/>
    </row>
    <row r="871">
      <c r="E871" s="68"/>
      <c r="I871" s="69"/>
      <c r="J871" s="68"/>
    </row>
    <row r="872">
      <c r="E872" s="68"/>
      <c r="I872" s="69"/>
      <c r="J872" s="68"/>
    </row>
    <row r="873">
      <c r="E873" s="68"/>
      <c r="I873" s="69"/>
      <c r="J873" s="68"/>
    </row>
    <row r="874">
      <c r="E874" s="68"/>
      <c r="I874" s="69"/>
      <c r="J874" s="68"/>
    </row>
    <row r="875">
      <c r="E875" s="68"/>
      <c r="I875" s="69"/>
      <c r="J875" s="68"/>
    </row>
    <row r="876">
      <c r="E876" s="68"/>
      <c r="I876" s="69"/>
      <c r="J876" s="68"/>
    </row>
    <row r="877">
      <c r="E877" s="68"/>
      <c r="I877" s="69"/>
      <c r="J877" s="68"/>
    </row>
    <row r="878">
      <c r="E878" s="68"/>
      <c r="I878" s="69"/>
      <c r="J878" s="68"/>
    </row>
    <row r="879">
      <c r="E879" s="68"/>
      <c r="I879" s="69"/>
      <c r="J879" s="68"/>
    </row>
    <row r="880">
      <c r="E880" s="68"/>
      <c r="I880" s="69"/>
      <c r="J880" s="68"/>
    </row>
    <row r="881">
      <c r="E881" s="68"/>
      <c r="I881" s="69"/>
      <c r="J881" s="68"/>
    </row>
    <row r="882">
      <c r="E882" s="68"/>
      <c r="I882" s="69"/>
      <c r="J882" s="68"/>
    </row>
    <row r="883">
      <c r="E883" s="68"/>
      <c r="I883" s="69"/>
      <c r="J883" s="68"/>
    </row>
    <row r="884">
      <c r="E884" s="68"/>
      <c r="I884" s="69"/>
      <c r="J884" s="68"/>
    </row>
    <row r="885">
      <c r="E885" s="68"/>
      <c r="I885" s="69"/>
      <c r="J885" s="68"/>
    </row>
    <row r="886">
      <c r="E886" s="68"/>
      <c r="I886" s="69"/>
      <c r="J886" s="68"/>
    </row>
    <row r="887">
      <c r="E887" s="68"/>
      <c r="I887" s="69"/>
      <c r="J887" s="68"/>
    </row>
    <row r="888">
      <c r="E888" s="68"/>
      <c r="I888" s="69"/>
      <c r="J888" s="68"/>
    </row>
    <row r="889">
      <c r="E889" s="68"/>
      <c r="I889" s="69"/>
      <c r="J889" s="68"/>
    </row>
    <row r="890">
      <c r="E890" s="68"/>
      <c r="I890" s="69"/>
      <c r="J890" s="68"/>
    </row>
    <row r="891">
      <c r="E891" s="68"/>
      <c r="I891" s="69"/>
      <c r="J891" s="68"/>
    </row>
    <row r="892">
      <c r="E892" s="68"/>
      <c r="I892" s="69"/>
      <c r="J892" s="68"/>
    </row>
    <row r="893">
      <c r="E893" s="68"/>
      <c r="I893" s="69"/>
      <c r="J893" s="68"/>
    </row>
    <row r="894">
      <c r="E894" s="68"/>
      <c r="I894" s="69"/>
      <c r="J894" s="68"/>
    </row>
    <row r="895">
      <c r="E895" s="68"/>
      <c r="I895" s="69"/>
      <c r="J895" s="68"/>
    </row>
    <row r="896">
      <c r="E896" s="68"/>
      <c r="I896" s="69"/>
      <c r="J896" s="68"/>
    </row>
    <row r="897">
      <c r="E897" s="68"/>
      <c r="I897" s="69"/>
      <c r="J897" s="68"/>
    </row>
    <row r="898">
      <c r="E898" s="68"/>
      <c r="I898" s="69"/>
      <c r="J898" s="68"/>
    </row>
    <row r="899">
      <c r="E899" s="68"/>
      <c r="I899" s="69"/>
      <c r="J899" s="68"/>
    </row>
    <row r="900">
      <c r="E900" s="68"/>
      <c r="I900" s="69"/>
      <c r="J900" s="68"/>
    </row>
    <row r="901">
      <c r="E901" s="68"/>
      <c r="I901" s="69"/>
      <c r="J901" s="68"/>
    </row>
    <row r="902">
      <c r="E902" s="68"/>
      <c r="I902" s="69"/>
      <c r="J902" s="68"/>
    </row>
    <row r="903">
      <c r="E903" s="68"/>
      <c r="I903" s="69"/>
      <c r="J903" s="68"/>
    </row>
    <row r="904">
      <c r="E904" s="68"/>
      <c r="I904" s="69"/>
      <c r="J904" s="68"/>
    </row>
    <row r="905">
      <c r="E905" s="68"/>
      <c r="I905" s="69"/>
      <c r="J905" s="68"/>
    </row>
    <row r="906">
      <c r="E906" s="68"/>
      <c r="I906" s="69"/>
      <c r="J906" s="68"/>
    </row>
    <row r="907">
      <c r="E907" s="68"/>
      <c r="I907" s="69"/>
      <c r="J907" s="68"/>
    </row>
    <row r="908">
      <c r="E908" s="68"/>
      <c r="I908" s="69"/>
      <c r="J908" s="68"/>
    </row>
    <row r="909">
      <c r="E909" s="68"/>
      <c r="I909" s="69"/>
      <c r="J909" s="68"/>
    </row>
    <row r="910">
      <c r="E910" s="68"/>
      <c r="I910" s="69"/>
      <c r="J910" s="68"/>
    </row>
    <row r="911">
      <c r="E911" s="68"/>
      <c r="I911" s="69"/>
      <c r="J911" s="68"/>
    </row>
    <row r="912">
      <c r="E912" s="68"/>
      <c r="I912" s="69"/>
      <c r="J912" s="68"/>
    </row>
    <row r="913">
      <c r="E913" s="68"/>
      <c r="I913" s="69"/>
      <c r="J913" s="68"/>
    </row>
    <row r="914">
      <c r="E914" s="68"/>
      <c r="I914" s="69"/>
      <c r="J914" s="68"/>
    </row>
    <row r="915">
      <c r="E915" s="68"/>
      <c r="I915" s="69"/>
      <c r="J915" s="68"/>
    </row>
    <row r="916">
      <c r="E916" s="68"/>
      <c r="I916" s="69"/>
      <c r="J916" s="68"/>
    </row>
    <row r="917">
      <c r="E917" s="68"/>
      <c r="I917" s="69"/>
      <c r="J917" s="68"/>
    </row>
    <row r="918">
      <c r="E918" s="68"/>
      <c r="I918" s="69"/>
      <c r="J918" s="68"/>
    </row>
    <row r="919">
      <c r="E919" s="68"/>
      <c r="I919" s="69"/>
      <c r="J919" s="68"/>
    </row>
    <row r="920">
      <c r="E920" s="68"/>
      <c r="I920" s="69"/>
      <c r="J920" s="68"/>
    </row>
    <row r="921">
      <c r="E921" s="68"/>
      <c r="I921" s="69"/>
      <c r="J921" s="68"/>
    </row>
    <row r="922">
      <c r="E922" s="68"/>
      <c r="I922" s="69"/>
      <c r="J922" s="68"/>
    </row>
    <row r="923">
      <c r="E923" s="68"/>
      <c r="I923" s="69"/>
      <c r="J923" s="68"/>
    </row>
    <row r="924">
      <c r="E924" s="68"/>
      <c r="I924" s="69"/>
      <c r="J924" s="68"/>
    </row>
    <row r="925">
      <c r="E925" s="68"/>
      <c r="I925" s="69"/>
      <c r="J925" s="68"/>
    </row>
    <row r="926">
      <c r="E926" s="68"/>
      <c r="I926" s="69"/>
      <c r="J926" s="68"/>
    </row>
    <row r="927">
      <c r="E927" s="68"/>
      <c r="I927" s="69"/>
      <c r="J927" s="68"/>
    </row>
    <row r="928">
      <c r="E928" s="68"/>
      <c r="I928" s="69"/>
      <c r="J928" s="68"/>
    </row>
    <row r="929">
      <c r="E929" s="68"/>
      <c r="I929" s="69"/>
      <c r="J929" s="68"/>
    </row>
    <row r="930">
      <c r="E930" s="68"/>
      <c r="I930" s="69"/>
      <c r="J930" s="68"/>
    </row>
    <row r="931">
      <c r="E931" s="68"/>
      <c r="I931" s="69"/>
      <c r="J931" s="68"/>
    </row>
    <row r="932">
      <c r="E932" s="68"/>
      <c r="I932" s="69"/>
      <c r="J932" s="68"/>
    </row>
    <row r="933">
      <c r="E933" s="68"/>
      <c r="I933" s="69"/>
      <c r="J933" s="68"/>
    </row>
    <row r="934">
      <c r="E934" s="68"/>
      <c r="I934" s="69"/>
      <c r="J934" s="68"/>
    </row>
    <row r="935">
      <c r="E935" s="68"/>
      <c r="I935" s="69"/>
      <c r="J935" s="68"/>
    </row>
    <row r="936">
      <c r="E936" s="68"/>
      <c r="I936" s="69"/>
      <c r="J936" s="68"/>
    </row>
    <row r="937">
      <c r="E937" s="68"/>
      <c r="I937" s="69"/>
      <c r="J937" s="68"/>
    </row>
    <row r="938">
      <c r="E938" s="68"/>
      <c r="I938" s="69"/>
      <c r="J938" s="68"/>
    </row>
    <row r="939">
      <c r="E939" s="68"/>
      <c r="I939" s="69"/>
      <c r="J939" s="68"/>
    </row>
    <row r="940">
      <c r="E940" s="68"/>
      <c r="I940" s="69"/>
      <c r="J940" s="68"/>
    </row>
    <row r="941">
      <c r="E941" s="68"/>
      <c r="I941" s="69"/>
      <c r="J941" s="68"/>
    </row>
    <row r="942">
      <c r="E942" s="68"/>
      <c r="I942" s="69"/>
      <c r="J942" s="68"/>
    </row>
    <row r="943">
      <c r="E943" s="68"/>
      <c r="I943" s="69"/>
      <c r="J943" s="68"/>
    </row>
    <row r="944">
      <c r="E944" s="68"/>
      <c r="I944" s="69"/>
      <c r="J944" s="68"/>
    </row>
    <row r="945">
      <c r="E945" s="68"/>
      <c r="I945" s="69"/>
      <c r="J945" s="68"/>
    </row>
    <row r="946">
      <c r="E946" s="68"/>
      <c r="I946" s="69"/>
      <c r="J946" s="68"/>
    </row>
    <row r="947">
      <c r="E947" s="68"/>
      <c r="I947" s="69"/>
      <c r="J947" s="68"/>
    </row>
    <row r="948">
      <c r="E948" s="68"/>
      <c r="I948" s="69"/>
      <c r="J948" s="68"/>
    </row>
    <row r="949">
      <c r="E949" s="68"/>
      <c r="I949" s="69"/>
      <c r="J949" s="68"/>
    </row>
    <row r="950">
      <c r="E950" s="68"/>
      <c r="I950" s="69"/>
      <c r="J950" s="68"/>
    </row>
    <row r="951">
      <c r="E951" s="68"/>
      <c r="I951" s="69"/>
      <c r="J951" s="68"/>
    </row>
    <row r="952">
      <c r="E952" s="68"/>
      <c r="I952" s="69"/>
      <c r="J952" s="68"/>
    </row>
    <row r="953">
      <c r="E953" s="68"/>
      <c r="I953" s="69"/>
      <c r="J953" s="68"/>
    </row>
    <row r="954">
      <c r="E954" s="68"/>
      <c r="I954" s="69"/>
      <c r="J954" s="68"/>
    </row>
    <row r="955">
      <c r="E955" s="68"/>
      <c r="I955" s="69"/>
      <c r="J955" s="68"/>
    </row>
    <row r="956">
      <c r="E956" s="68"/>
      <c r="I956" s="69"/>
      <c r="J956" s="68"/>
    </row>
    <row r="957">
      <c r="E957" s="68"/>
      <c r="I957" s="69"/>
      <c r="J957" s="68"/>
    </row>
    <row r="958">
      <c r="E958" s="68"/>
      <c r="I958" s="69"/>
      <c r="J958" s="68"/>
    </row>
    <row r="959">
      <c r="E959" s="68"/>
      <c r="I959" s="69"/>
      <c r="J959" s="68"/>
    </row>
    <row r="960">
      <c r="E960" s="68"/>
      <c r="I960" s="69"/>
      <c r="J960" s="68"/>
    </row>
    <row r="961">
      <c r="E961" s="68"/>
      <c r="I961" s="69"/>
      <c r="J961" s="68"/>
    </row>
    <row r="962">
      <c r="E962" s="68"/>
      <c r="I962" s="69"/>
      <c r="J962" s="68"/>
    </row>
    <row r="963">
      <c r="E963" s="68"/>
      <c r="I963" s="69"/>
      <c r="J963" s="68"/>
    </row>
    <row r="964">
      <c r="E964" s="68"/>
      <c r="I964" s="69"/>
      <c r="J964" s="68"/>
    </row>
    <row r="965">
      <c r="E965" s="68"/>
      <c r="I965" s="69"/>
      <c r="J965" s="68"/>
    </row>
    <row r="966">
      <c r="E966" s="68"/>
      <c r="I966" s="69"/>
      <c r="J966" s="68"/>
    </row>
    <row r="967">
      <c r="E967" s="68"/>
      <c r="I967" s="69"/>
      <c r="J967" s="68"/>
    </row>
    <row r="968">
      <c r="E968" s="68"/>
      <c r="I968" s="69"/>
      <c r="J968" s="68"/>
    </row>
    <row r="969">
      <c r="E969" s="68"/>
      <c r="I969" s="69"/>
      <c r="J969" s="68"/>
    </row>
    <row r="970">
      <c r="E970" s="68"/>
      <c r="I970" s="69"/>
      <c r="J970" s="68"/>
    </row>
    <row r="971">
      <c r="E971" s="68"/>
      <c r="I971" s="69"/>
      <c r="J971" s="68"/>
    </row>
    <row r="972">
      <c r="E972" s="68"/>
      <c r="I972" s="69"/>
      <c r="J972" s="68"/>
    </row>
    <row r="973">
      <c r="E973" s="68"/>
      <c r="I973" s="69"/>
      <c r="J973" s="68"/>
    </row>
    <row r="974">
      <c r="E974" s="68"/>
      <c r="I974" s="69"/>
      <c r="J974" s="68"/>
    </row>
    <row r="975">
      <c r="E975" s="68"/>
      <c r="I975" s="69"/>
      <c r="J975" s="68"/>
    </row>
    <row r="976">
      <c r="E976" s="68"/>
      <c r="I976" s="69"/>
      <c r="J976" s="68"/>
    </row>
    <row r="977">
      <c r="E977" s="68"/>
      <c r="I977" s="69"/>
      <c r="J977" s="68"/>
    </row>
    <row r="978">
      <c r="E978" s="68"/>
      <c r="I978" s="69"/>
      <c r="J978" s="68"/>
    </row>
    <row r="979">
      <c r="E979" s="68"/>
      <c r="I979" s="69"/>
      <c r="J979" s="68"/>
    </row>
    <row r="980">
      <c r="E980" s="68"/>
      <c r="I980" s="69"/>
      <c r="J980" s="68"/>
    </row>
    <row r="981">
      <c r="E981" s="68"/>
      <c r="I981" s="69"/>
      <c r="J981" s="68"/>
    </row>
    <row r="982">
      <c r="E982" s="68"/>
      <c r="I982" s="69"/>
      <c r="J982" s="68"/>
    </row>
    <row r="983">
      <c r="E983" s="68"/>
      <c r="I983" s="69"/>
      <c r="J983" s="68"/>
    </row>
    <row r="984">
      <c r="E984" s="68"/>
      <c r="I984" s="69"/>
      <c r="J984" s="68"/>
    </row>
    <row r="985">
      <c r="E985" s="68"/>
      <c r="I985" s="69"/>
      <c r="J985" s="68"/>
    </row>
    <row r="986">
      <c r="E986" s="68"/>
      <c r="I986" s="69"/>
      <c r="J986" s="68"/>
    </row>
    <row r="987">
      <c r="E987" s="68"/>
      <c r="I987" s="69"/>
      <c r="J987" s="68"/>
    </row>
    <row r="988">
      <c r="E988" s="68"/>
      <c r="I988" s="69"/>
      <c r="J988" s="68"/>
    </row>
    <row r="989">
      <c r="E989" s="68"/>
      <c r="I989" s="69"/>
      <c r="J989" s="68"/>
    </row>
    <row r="990">
      <c r="E990" s="68"/>
      <c r="I990" s="69"/>
      <c r="J990" s="68"/>
    </row>
    <row r="991">
      <c r="E991" s="68"/>
      <c r="I991" s="69"/>
      <c r="J991" s="68"/>
    </row>
    <row r="992">
      <c r="E992" s="68"/>
      <c r="I992" s="69"/>
      <c r="J992" s="68"/>
    </row>
    <row r="993">
      <c r="E993" s="68"/>
      <c r="I993" s="69"/>
      <c r="J993" s="68"/>
    </row>
    <row r="994">
      <c r="E994" s="68"/>
      <c r="I994" s="69"/>
      <c r="J994" s="68"/>
    </row>
    <row r="995">
      <c r="E995" s="68"/>
      <c r="I995" s="69"/>
      <c r="J995" s="68"/>
    </row>
    <row r="996">
      <c r="E996" s="68"/>
      <c r="I996" s="69"/>
      <c r="J996" s="68"/>
    </row>
    <row r="997">
      <c r="E997" s="68"/>
      <c r="I997" s="69"/>
      <c r="J997" s="68"/>
    </row>
    <row r="998">
      <c r="E998" s="68"/>
      <c r="I998" s="69"/>
      <c r="J998" s="68"/>
    </row>
    <row r="999">
      <c r="E999" s="68"/>
      <c r="I999" s="69"/>
      <c r="J999" s="68"/>
    </row>
    <row r="1000">
      <c r="E1000" s="68"/>
      <c r="I1000" s="69"/>
      <c r="J1000" s="68"/>
    </row>
  </sheetData>
  <mergeCells count="88">
    <mergeCell ref="E69:F69"/>
    <mergeCell ref="G69:H69"/>
    <mergeCell ref="B67:C67"/>
    <mergeCell ref="E67:F67"/>
    <mergeCell ref="G67:H67"/>
    <mergeCell ref="B68:C68"/>
    <mergeCell ref="E68:F68"/>
    <mergeCell ref="G68:H68"/>
    <mergeCell ref="B69:C69"/>
    <mergeCell ref="E72:F72"/>
    <mergeCell ref="G72:H72"/>
    <mergeCell ref="B70:C70"/>
    <mergeCell ref="E70:F70"/>
    <mergeCell ref="G70:H70"/>
    <mergeCell ref="B71:C71"/>
    <mergeCell ref="E71:F71"/>
    <mergeCell ref="G71:H71"/>
    <mergeCell ref="B72:C72"/>
    <mergeCell ref="E75:F75"/>
    <mergeCell ref="G75:H75"/>
    <mergeCell ref="B73:C73"/>
    <mergeCell ref="E73:F73"/>
    <mergeCell ref="G73:H73"/>
    <mergeCell ref="B74:C74"/>
    <mergeCell ref="E74:F74"/>
    <mergeCell ref="G74:H74"/>
    <mergeCell ref="B75:C75"/>
    <mergeCell ref="E78:F78"/>
    <mergeCell ref="G78:H78"/>
    <mergeCell ref="B76:C76"/>
    <mergeCell ref="E76:F76"/>
    <mergeCell ref="G76:H76"/>
    <mergeCell ref="B77:C77"/>
    <mergeCell ref="E77:F77"/>
    <mergeCell ref="G77:H77"/>
    <mergeCell ref="B78:C78"/>
    <mergeCell ref="E81:F81"/>
    <mergeCell ref="G81:H81"/>
    <mergeCell ref="B79:C79"/>
    <mergeCell ref="E79:F79"/>
    <mergeCell ref="G79:H79"/>
    <mergeCell ref="B80:C80"/>
    <mergeCell ref="E80:F80"/>
    <mergeCell ref="G80:H80"/>
    <mergeCell ref="B81:C81"/>
    <mergeCell ref="B1:C1"/>
    <mergeCell ref="B2:C2"/>
    <mergeCell ref="A3:A4"/>
    <mergeCell ref="B3:B4"/>
    <mergeCell ref="C3:C4"/>
    <mergeCell ref="A6:D6"/>
    <mergeCell ref="A7:D7"/>
    <mergeCell ref="A8:A9"/>
    <mergeCell ref="B8:C8"/>
    <mergeCell ref="B29:C29"/>
    <mergeCell ref="B30:C30"/>
    <mergeCell ref="A31:A32"/>
    <mergeCell ref="B31:B32"/>
    <mergeCell ref="C31:C32"/>
    <mergeCell ref="A34:D34"/>
    <mergeCell ref="A35:D35"/>
    <mergeCell ref="A36:A37"/>
    <mergeCell ref="B36:C36"/>
    <mergeCell ref="B58:D58"/>
    <mergeCell ref="F58:H58"/>
    <mergeCell ref="F59:H59"/>
    <mergeCell ref="B59:D59"/>
    <mergeCell ref="A60:A61"/>
    <mergeCell ref="B60:B61"/>
    <mergeCell ref="C60:D61"/>
    <mergeCell ref="E60:F60"/>
    <mergeCell ref="G60:H60"/>
    <mergeCell ref="C62:D62"/>
    <mergeCell ref="E66:F66"/>
    <mergeCell ref="G66:H66"/>
    <mergeCell ref="A63:H63"/>
    <mergeCell ref="A64:H64"/>
    <mergeCell ref="A65:A66"/>
    <mergeCell ref="B65:D65"/>
    <mergeCell ref="E65:F65"/>
    <mergeCell ref="G65:H65"/>
    <mergeCell ref="B66:C66"/>
    <mergeCell ref="B82:C82"/>
    <mergeCell ref="E82:F82"/>
    <mergeCell ref="G82:H82"/>
    <mergeCell ref="B83:C83"/>
    <mergeCell ref="E83:F83"/>
    <mergeCell ref="G83:H8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1" t="s">
        <v>2</v>
      </c>
      <c r="J1" s="10" t="s">
        <v>33</v>
      </c>
      <c r="K1" s="3"/>
      <c r="L1" s="3"/>
      <c r="M1" s="3"/>
      <c r="N1" s="4"/>
      <c r="O1" s="69"/>
      <c r="P1" s="68"/>
    </row>
    <row r="2">
      <c r="A2" s="1" t="s">
        <v>4</v>
      </c>
      <c r="B2" s="9" t="s">
        <v>167</v>
      </c>
      <c r="C2" s="3"/>
      <c r="D2" s="3"/>
      <c r="E2" s="3"/>
      <c r="F2" s="3"/>
      <c r="G2" s="3"/>
      <c r="H2" s="4"/>
      <c r="I2" s="1" t="s">
        <v>6</v>
      </c>
      <c r="J2" s="10">
        <v>6.0</v>
      </c>
      <c r="K2" s="3"/>
      <c r="L2" s="3"/>
      <c r="M2" s="3"/>
      <c r="N2" s="4"/>
      <c r="O2" s="69"/>
      <c r="P2" s="68"/>
    </row>
    <row r="3">
      <c r="A3" s="70" t="s">
        <v>144</v>
      </c>
      <c r="B3" s="71" t="s">
        <v>145</v>
      </c>
      <c r="C3" s="80" t="s">
        <v>165</v>
      </c>
      <c r="D3" s="39"/>
      <c r="E3" s="71" t="s">
        <v>168</v>
      </c>
      <c r="F3" s="88" t="s">
        <v>169</v>
      </c>
      <c r="G3" s="3"/>
      <c r="H3" s="4"/>
      <c r="I3" s="81" t="s">
        <v>146</v>
      </c>
      <c r="J3" s="3"/>
      <c r="K3" s="4"/>
      <c r="L3" s="81" t="s">
        <v>170</v>
      </c>
      <c r="M3" s="3"/>
      <c r="N3" s="4"/>
      <c r="O3" s="69"/>
      <c r="P3" s="68"/>
    </row>
    <row r="4">
      <c r="A4" s="16"/>
      <c r="B4" s="73"/>
      <c r="C4" s="73"/>
      <c r="D4" s="46"/>
      <c r="E4" s="73"/>
      <c r="F4" s="89" t="s">
        <v>171</v>
      </c>
      <c r="G4" s="4"/>
      <c r="H4" s="1" t="s">
        <v>172</v>
      </c>
      <c r="I4" s="1" t="s">
        <v>147</v>
      </c>
      <c r="J4" s="90" t="s">
        <v>166</v>
      </c>
      <c r="K4" s="4"/>
      <c r="L4" s="90" t="s">
        <v>147</v>
      </c>
      <c r="M4" s="4"/>
      <c r="N4" s="1" t="s">
        <v>166</v>
      </c>
      <c r="O4" s="69"/>
      <c r="P4" s="68"/>
    </row>
    <row r="5">
      <c r="A5" s="74">
        <v>11.0</v>
      </c>
      <c r="B5" s="75">
        <v>0.0</v>
      </c>
      <c r="C5" s="83">
        <v>0.0</v>
      </c>
      <c r="D5" s="4"/>
      <c r="E5" s="75">
        <v>0.0</v>
      </c>
      <c r="F5" s="83">
        <v>0.0</v>
      </c>
      <c r="G5" s="4"/>
      <c r="H5" s="74">
        <v>27.9</v>
      </c>
      <c r="I5" s="74">
        <v>0.0</v>
      </c>
      <c r="J5" s="91">
        <v>0.0</v>
      </c>
      <c r="K5" s="4"/>
      <c r="L5" s="91">
        <v>0.0</v>
      </c>
      <c r="M5" s="4"/>
      <c r="N5" s="74">
        <v>0.0</v>
      </c>
      <c r="O5" s="69"/>
      <c r="P5" s="68"/>
    </row>
    <row r="6">
      <c r="A6" s="19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69"/>
      <c r="P6" s="68"/>
    </row>
    <row r="7">
      <c r="A7" s="11" t="s">
        <v>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"/>
      <c r="O7" s="69"/>
      <c r="P7" s="68"/>
    </row>
    <row r="8">
      <c r="A8" s="15" t="s">
        <v>11</v>
      </c>
      <c r="B8" s="2" t="s">
        <v>12</v>
      </c>
      <c r="C8" s="3"/>
      <c r="D8" s="3"/>
      <c r="E8" s="3"/>
      <c r="F8" s="4"/>
      <c r="G8" s="2" t="s">
        <v>13</v>
      </c>
      <c r="H8" s="3"/>
      <c r="I8" s="3"/>
      <c r="J8" s="3"/>
      <c r="K8" s="10" t="s">
        <v>14</v>
      </c>
      <c r="L8" s="3"/>
      <c r="M8" s="3"/>
      <c r="N8" s="4"/>
      <c r="O8" s="69"/>
      <c r="P8" s="68"/>
    </row>
    <row r="9">
      <c r="A9" s="16"/>
      <c r="B9" s="17" t="s">
        <v>15</v>
      </c>
      <c r="C9" s="4"/>
      <c r="D9" s="17" t="s">
        <v>16</v>
      </c>
      <c r="E9" s="3"/>
      <c r="F9" s="4"/>
      <c r="G9" s="17" t="s">
        <v>15</v>
      </c>
      <c r="H9" s="4"/>
      <c r="I9" s="17" t="s">
        <v>16</v>
      </c>
      <c r="J9" s="4"/>
      <c r="K9" s="17" t="s">
        <v>15</v>
      </c>
      <c r="L9" s="4"/>
      <c r="M9" s="17" t="s">
        <v>16</v>
      </c>
      <c r="N9" s="4"/>
      <c r="O9" s="92" t="s">
        <v>8</v>
      </c>
      <c r="P9" s="78" t="s">
        <v>124</v>
      </c>
      <c r="Q9" s="48" t="s">
        <v>125</v>
      </c>
    </row>
    <row r="10">
      <c r="A10" s="18" t="s">
        <v>173</v>
      </c>
      <c r="B10" s="20">
        <v>0.20833333333333334</v>
      </c>
      <c r="C10" s="4"/>
      <c r="D10" s="19"/>
      <c r="E10" s="3"/>
      <c r="F10" s="4"/>
      <c r="G10" s="20">
        <v>0.5534722222222223</v>
      </c>
      <c r="H10" s="4"/>
      <c r="I10" s="19"/>
      <c r="J10" s="4"/>
      <c r="K10" s="19"/>
      <c r="L10" s="4"/>
      <c r="M10" s="19"/>
      <c r="N10" s="4"/>
      <c r="O10" s="69"/>
      <c r="P10" s="68"/>
    </row>
    <row r="11">
      <c r="A11" s="22" t="s">
        <v>174</v>
      </c>
      <c r="B11" s="20">
        <v>0.19652777777777777</v>
      </c>
      <c r="C11" s="4"/>
      <c r="D11" s="20">
        <v>0.6958333333333333</v>
      </c>
      <c r="E11" s="3"/>
      <c r="F11" s="4"/>
      <c r="G11" s="19"/>
      <c r="H11" s="4"/>
      <c r="I11" s="19"/>
      <c r="J11" s="4"/>
      <c r="K11" s="19"/>
      <c r="L11" s="4"/>
      <c r="M11" s="19"/>
      <c r="N11" s="4"/>
      <c r="O11" s="69">
        <f>D11-B11</f>
        <v>0.4993055556</v>
      </c>
      <c r="P11" s="78">
        <v>0.3541666666666667</v>
      </c>
      <c r="Q11" s="69">
        <f>O11-P11</f>
        <v>0.1451388889</v>
      </c>
    </row>
    <row r="12">
      <c r="A12" s="22" t="s">
        <v>175</v>
      </c>
      <c r="B12" s="19"/>
      <c r="C12" s="4"/>
      <c r="D12" s="19"/>
      <c r="E12" s="3"/>
      <c r="F12" s="4"/>
      <c r="G12" s="19"/>
      <c r="H12" s="4"/>
      <c r="I12" s="19"/>
      <c r="J12" s="4"/>
      <c r="K12" s="19"/>
      <c r="L12" s="4"/>
      <c r="M12" s="19"/>
      <c r="N12" s="4"/>
      <c r="O12" s="69"/>
      <c r="P12" s="68"/>
    </row>
    <row r="13">
      <c r="A13" s="18" t="s">
        <v>176</v>
      </c>
      <c r="B13" s="23"/>
      <c r="C13" s="4"/>
      <c r="D13" s="24"/>
      <c r="E13" s="3"/>
      <c r="F13" s="3"/>
      <c r="G13" s="25"/>
      <c r="H13" s="3"/>
      <c r="I13" s="26"/>
      <c r="J13" s="3"/>
      <c r="K13" s="24"/>
      <c r="L13" s="3"/>
      <c r="M13" s="24"/>
      <c r="N13" s="4"/>
      <c r="O13" s="69"/>
      <c r="P13" s="68"/>
    </row>
    <row r="14">
      <c r="A14" s="18" t="s">
        <v>177</v>
      </c>
      <c r="B14" s="20">
        <v>0.2048611111111111</v>
      </c>
      <c r="C14" s="4"/>
      <c r="D14" s="19"/>
      <c r="E14" s="3"/>
      <c r="F14" s="4"/>
      <c r="G14" s="20">
        <v>0.5416666666666666</v>
      </c>
      <c r="H14" s="4"/>
      <c r="I14" s="19"/>
      <c r="J14" s="4"/>
      <c r="K14" s="19"/>
      <c r="L14" s="4"/>
      <c r="M14" s="19"/>
      <c r="N14" s="4"/>
      <c r="O14" s="69"/>
      <c r="P14" s="68"/>
    </row>
    <row r="15">
      <c r="A15" s="18" t="s">
        <v>178</v>
      </c>
      <c r="B15" s="20">
        <v>0.19930555555555557</v>
      </c>
      <c r="C15" s="4"/>
      <c r="D15" s="19"/>
      <c r="E15" s="3"/>
      <c r="F15" s="4"/>
      <c r="G15" s="20">
        <v>0.5416666666666666</v>
      </c>
      <c r="H15" s="4"/>
      <c r="I15" s="19"/>
      <c r="J15" s="4"/>
      <c r="K15" s="19"/>
      <c r="L15" s="4"/>
      <c r="M15" s="19"/>
      <c r="N15" s="4"/>
      <c r="O15" s="69"/>
      <c r="P15" s="68"/>
    </row>
    <row r="16">
      <c r="A16" s="18" t="s">
        <v>179</v>
      </c>
      <c r="B16" s="20">
        <v>0.20972222222222223</v>
      </c>
      <c r="C16" s="4"/>
      <c r="D16" s="19"/>
      <c r="E16" s="3"/>
      <c r="F16" s="4"/>
      <c r="G16" s="20">
        <v>0.5416666666666666</v>
      </c>
      <c r="H16" s="4"/>
      <c r="I16" s="19"/>
      <c r="J16" s="4"/>
      <c r="K16" s="19"/>
      <c r="L16" s="4"/>
      <c r="M16" s="19"/>
      <c r="N16" s="4"/>
      <c r="O16" s="69"/>
      <c r="P16" s="68"/>
    </row>
    <row r="17">
      <c r="A17" s="18" t="s">
        <v>180</v>
      </c>
      <c r="B17" s="20">
        <v>0.19305555555555556</v>
      </c>
      <c r="C17" s="4"/>
      <c r="D17" s="19"/>
      <c r="E17" s="3"/>
      <c r="F17" s="4"/>
      <c r="G17" s="20">
        <v>0.5430555555555555</v>
      </c>
      <c r="H17" s="4"/>
      <c r="I17" s="19"/>
      <c r="J17" s="4"/>
      <c r="K17" s="19"/>
      <c r="L17" s="4"/>
      <c r="M17" s="19"/>
      <c r="N17" s="4"/>
      <c r="O17" s="69"/>
      <c r="P17" s="68"/>
    </row>
    <row r="18">
      <c r="A18" s="22" t="s">
        <v>181</v>
      </c>
      <c r="B18" s="20">
        <v>0.19791666666666666</v>
      </c>
      <c r="C18" s="4"/>
      <c r="D18" s="20">
        <v>0.8618055555555556</v>
      </c>
      <c r="E18" s="3"/>
      <c r="F18" s="4"/>
      <c r="G18" s="19"/>
      <c r="H18" s="4"/>
      <c r="I18" s="19"/>
      <c r="J18" s="4"/>
      <c r="K18" s="19"/>
      <c r="L18" s="4"/>
      <c r="M18" s="19"/>
      <c r="N18" s="4"/>
      <c r="O18" s="69">
        <f>D18-B18</f>
        <v>0.6638888889</v>
      </c>
      <c r="P18" s="78">
        <v>0.3541666666666667</v>
      </c>
      <c r="Q18" s="69">
        <f>O18-P18</f>
        <v>0.3097222222</v>
      </c>
    </row>
    <row r="19">
      <c r="A19" s="22" t="s">
        <v>182</v>
      </c>
      <c r="B19" s="19"/>
      <c r="C19" s="4"/>
      <c r="D19" s="19"/>
      <c r="E19" s="3"/>
      <c r="F19" s="4"/>
      <c r="G19" s="19"/>
      <c r="H19" s="4"/>
      <c r="I19" s="19"/>
      <c r="J19" s="4"/>
      <c r="K19" s="19"/>
      <c r="L19" s="4"/>
      <c r="M19" s="19"/>
      <c r="N19" s="4"/>
      <c r="O19" s="69"/>
      <c r="P19" s="68"/>
    </row>
    <row r="20">
      <c r="A20" s="18" t="s">
        <v>183</v>
      </c>
      <c r="B20" s="23"/>
      <c r="C20" s="4"/>
      <c r="D20" s="24"/>
      <c r="E20" s="3"/>
      <c r="F20" s="3"/>
      <c r="G20" s="25"/>
      <c r="H20" s="3"/>
      <c r="I20" s="26"/>
      <c r="J20" s="3"/>
      <c r="K20" s="24"/>
      <c r="L20" s="3"/>
      <c r="M20" s="24"/>
      <c r="N20" s="4"/>
      <c r="O20" s="69"/>
      <c r="P20" s="68"/>
    </row>
    <row r="21">
      <c r="A21" s="18" t="s">
        <v>184</v>
      </c>
      <c r="B21" s="20">
        <v>0.19930555555555557</v>
      </c>
      <c r="C21" s="4"/>
      <c r="D21" s="19"/>
      <c r="E21" s="3"/>
      <c r="F21" s="4"/>
      <c r="G21" s="20">
        <v>0.5472222222222223</v>
      </c>
      <c r="H21" s="4"/>
      <c r="I21" s="19"/>
      <c r="J21" s="4"/>
      <c r="K21" s="19"/>
      <c r="L21" s="4"/>
      <c r="M21" s="19"/>
      <c r="N21" s="4"/>
      <c r="O21" s="69"/>
      <c r="P21" s="68"/>
    </row>
    <row r="22">
      <c r="A22" s="18" t="s">
        <v>185</v>
      </c>
      <c r="B22" s="20">
        <v>0.2</v>
      </c>
      <c r="C22" s="4"/>
      <c r="D22" s="19"/>
      <c r="E22" s="3"/>
      <c r="F22" s="4"/>
      <c r="G22" s="20">
        <v>0.5513888888888889</v>
      </c>
      <c r="H22" s="4"/>
      <c r="I22" s="19"/>
      <c r="J22" s="4"/>
      <c r="K22" s="19"/>
      <c r="L22" s="4"/>
      <c r="M22" s="19"/>
      <c r="N22" s="4"/>
      <c r="O22" s="69"/>
      <c r="P22" s="68"/>
    </row>
    <row r="23">
      <c r="A23" s="18" t="s">
        <v>186</v>
      </c>
      <c r="B23" s="20">
        <v>0.20416666666666666</v>
      </c>
      <c r="C23" s="4"/>
      <c r="D23" s="19"/>
      <c r="E23" s="3"/>
      <c r="F23" s="4"/>
      <c r="G23" s="20">
        <v>0.5423611111111111</v>
      </c>
      <c r="H23" s="4"/>
      <c r="I23" s="19"/>
      <c r="J23" s="4"/>
      <c r="K23" s="19"/>
      <c r="L23" s="4"/>
      <c r="M23" s="19"/>
      <c r="N23" s="4"/>
      <c r="O23" s="69"/>
      <c r="P23" s="68"/>
    </row>
    <row r="24">
      <c r="A24" s="18" t="s">
        <v>187</v>
      </c>
      <c r="B24" s="20">
        <v>0.20416666666666666</v>
      </c>
      <c r="C24" s="4"/>
      <c r="D24" s="19"/>
      <c r="E24" s="3"/>
      <c r="F24" s="4"/>
      <c r="G24" s="20">
        <v>0.5430555555555555</v>
      </c>
      <c r="H24" s="4"/>
      <c r="I24" s="19"/>
      <c r="J24" s="4"/>
      <c r="K24" s="19"/>
      <c r="L24" s="4"/>
      <c r="M24" s="19"/>
      <c r="N24" s="4"/>
      <c r="O24" s="69"/>
      <c r="P24" s="68"/>
    </row>
    <row r="25">
      <c r="O25" s="69"/>
      <c r="P25" s="68"/>
      <c r="Q25" s="87">
        <f>Q11+Q18</f>
        <v>0.4548611111</v>
      </c>
    </row>
    <row r="26">
      <c r="O26" s="69"/>
      <c r="P26" s="68"/>
    </row>
    <row r="27">
      <c r="A27" s="1" t="s">
        <v>0</v>
      </c>
      <c r="B27" s="2" t="s">
        <v>1</v>
      </c>
      <c r="C27" s="3"/>
      <c r="D27" s="3"/>
      <c r="E27" s="3"/>
      <c r="F27" s="3"/>
      <c r="G27" s="3"/>
      <c r="H27" s="4"/>
      <c r="I27" s="1" t="s">
        <v>2</v>
      </c>
      <c r="J27" s="10" t="s">
        <v>38</v>
      </c>
      <c r="K27" s="3"/>
      <c r="L27" s="3"/>
      <c r="M27" s="3"/>
      <c r="N27" s="4"/>
      <c r="O27" s="69"/>
      <c r="P27" s="68"/>
    </row>
    <row r="28">
      <c r="A28" s="1" t="s">
        <v>4</v>
      </c>
      <c r="B28" s="9" t="s">
        <v>167</v>
      </c>
      <c r="C28" s="3"/>
      <c r="D28" s="3"/>
      <c r="E28" s="3"/>
      <c r="F28" s="3"/>
      <c r="G28" s="3"/>
      <c r="H28" s="4"/>
      <c r="I28" s="1" t="s">
        <v>6</v>
      </c>
      <c r="J28" s="10">
        <v>11.0</v>
      </c>
      <c r="K28" s="3"/>
      <c r="L28" s="3"/>
      <c r="M28" s="3"/>
      <c r="N28" s="4"/>
      <c r="O28" s="69"/>
      <c r="P28" s="68"/>
    </row>
    <row r="29">
      <c r="A29" s="70" t="s">
        <v>144</v>
      </c>
      <c r="B29" s="71" t="s">
        <v>145</v>
      </c>
      <c r="C29" s="80" t="s">
        <v>165</v>
      </c>
      <c r="D29" s="39"/>
      <c r="E29" s="71" t="s">
        <v>168</v>
      </c>
      <c r="F29" s="88" t="s">
        <v>169</v>
      </c>
      <c r="G29" s="3"/>
      <c r="H29" s="4"/>
      <c r="I29" s="81" t="s">
        <v>146</v>
      </c>
      <c r="J29" s="3"/>
      <c r="K29" s="4"/>
      <c r="L29" s="81" t="s">
        <v>170</v>
      </c>
      <c r="M29" s="3"/>
      <c r="N29" s="4"/>
      <c r="O29" s="69"/>
      <c r="P29" s="68"/>
    </row>
    <row r="30">
      <c r="A30" s="16"/>
      <c r="B30" s="73"/>
      <c r="C30" s="73"/>
      <c r="D30" s="46"/>
      <c r="E30" s="73"/>
      <c r="F30" s="89" t="s">
        <v>171</v>
      </c>
      <c r="G30" s="4"/>
      <c r="H30" s="1" t="s">
        <v>172</v>
      </c>
      <c r="I30" s="1" t="s">
        <v>147</v>
      </c>
      <c r="J30" s="90" t="s">
        <v>166</v>
      </c>
      <c r="K30" s="4"/>
      <c r="L30" s="90" t="s">
        <v>147</v>
      </c>
      <c r="M30" s="4"/>
      <c r="N30" s="1" t="s">
        <v>166</v>
      </c>
      <c r="O30" s="69"/>
      <c r="P30" s="68"/>
    </row>
    <row r="31">
      <c r="A31" s="74">
        <v>11.0</v>
      </c>
      <c r="B31" s="75">
        <v>0.0</v>
      </c>
      <c r="C31" s="83">
        <v>0.0</v>
      </c>
      <c r="D31" s="4"/>
      <c r="E31" s="75">
        <v>0.0</v>
      </c>
      <c r="F31" s="83">
        <v>0.0</v>
      </c>
      <c r="G31" s="4"/>
      <c r="H31" s="74">
        <v>11.5</v>
      </c>
      <c r="I31" s="74">
        <v>0.0</v>
      </c>
      <c r="J31" s="91">
        <v>0.0</v>
      </c>
      <c r="K31" s="4"/>
      <c r="L31" s="91">
        <v>0.0</v>
      </c>
      <c r="M31" s="4"/>
      <c r="N31" s="74">
        <v>0.0</v>
      </c>
      <c r="O31" s="69"/>
      <c r="P31" s="68"/>
    </row>
    <row r="32">
      <c r="A32" s="19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69"/>
      <c r="P32" s="68"/>
    </row>
    <row r="33">
      <c r="A33" s="11" t="s">
        <v>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4"/>
      <c r="O33" s="69"/>
      <c r="P33" s="68"/>
    </row>
    <row r="34">
      <c r="A34" s="15" t="s">
        <v>11</v>
      </c>
      <c r="B34" s="2" t="s">
        <v>12</v>
      </c>
      <c r="C34" s="3"/>
      <c r="D34" s="3"/>
      <c r="E34" s="3"/>
      <c r="F34" s="4"/>
      <c r="G34" s="2" t="s">
        <v>13</v>
      </c>
      <c r="H34" s="3"/>
      <c r="I34" s="3"/>
      <c r="J34" s="3"/>
      <c r="K34" s="10" t="s">
        <v>14</v>
      </c>
      <c r="L34" s="3"/>
      <c r="M34" s="3"/>
      <c r="N34" s="4"/>
      <c r="O34" s="69"/>
      <c r="P34" s="68"/>
    </row>
    <row r="35">
      <c r="A35" s="16"/>
      <c r="B35" s="17" t="s">
        <v>15</v>
      </c>
      <c r="C35" s="4"/>
      <c r="D35" s="17" t="s">
        <v>16</v>
      </c>
      <c r="E35" s="3"/>
      <c r="F35" s="4"/>
      <c r="G35" s="17" t="s">
        <v>15</v>
      </c>
      <c r="H35" s="4"/>
      <c r="I35" s="17" t="s">
        <v>16</v>
      </c>
      <c r="J35" s="4"/>
      <c r="K35" s="17" t="s">
        <v>15</v>
      </c>
      <c r="L35" s="4"/>
      <c r="M35" s="17" t="s">
        <v>16</v>
      </c>
      <c r="N35" s="4"/>
      <c r="O35" s="69"/>
      <c r="P35" s="68"/>
    </row>
    <row r="36">
      <c r="A36" s="18" t="s">
        <v>173</v>
      </c>
      <c r="B36" s="20">
        <v>0.19652777777777777</v>
      </c>
      <c r="C36" s="4"/>
      <c r="D36" s="19"/>
      <c r="E36" s="3"/>
      <c r="F36" s="4"/>
      <c r="G36" s="20">
        <v>0.5875</v>
      </c>
      <c r="H36" s="4"/>
      <c r="I36" s="19"/>
      <c r="J36" s="4"/>
      <c r="K36" s="19"/>
      <c r="L36" s="4"/>
      <c r="M36" s="19"/>
      <c r="N36" s="4"/>
      <c r="O36" s="69"/>
      <c r="P36" s="68"/>
    </row>
    <row r="37">
      <c r="A37" s="22" t="s">
        <v>174</v>
      </c>
      <c r="B37" s="20">
        <v>0.5958333333333333</v>
      </c>
      <c r="C37" s="4"/>
      <c r="D37" s="19"/>
      <c r="E37" s="3"/>
      <c r="F37" s="4"/>
      <c r="G37" s="19"/>
      <c r="H37" s="4"/>
      <c r="I37" s="19"/>
      <c r="J37" s="4"/>
      <c r="K37" s="19"/>
      <c r="L37" s="4"/>
      <c r="M37" s="19"/>
      <c r="N37" s="4"/>
      <c r="O37" s="69"/>
      <c r="P37" s="68"/>
    </row>
    <row r="38">
      <c r="A38" s="22" t="s">
        <v>175</v>
      </c>
      <c r="B38" s="19"/>
      <c r="C38" s="4"/>
      <c r="D38" s="19"/>
      <c r="E38" s="3"/>
      <c r="F38" s="4"/>
      <c r="G38" s="19"/>
      <c r="H38" s="4"/>
      <c r="I38" s="19"/>
      <c r="J38" s="4"/>
      <c r="K38" s="19"/>
      <c r="L38" s="4"/>
      <c r="M38" s="19"/>
      <c r="N38" s="4"/>
      <c r="O38" s="69"/>
      <c r="P38" s="68"/>
    </row>
    <row r="39">
      <c r="A39" s="18" t="s">
        <v>176</v>
      </c>
      <c r="B39" s="20">
        <v>0.37083333333333335</v>
      </c>
      <c r="C39" s="4"/>
      <c r="D39" s="19"/>
      <c r="E39" s="3"/>
      <c r="F39" s="4"/>
      <c r="G39" s="19"/>
      <c r="H39" s="4"/>
      <c r="I39" s="20">
        <v>0.7298611111111111</v>
      </c>
      <c r="J39" s="4"/>
      <c r="K39" s="19"/>
      <c r="L39" s="4"/>
      <c r="M39" s="19"/>
      <c r="N39" s="4"/>
      <c r="O39" s="69"/>
      <c r="P39" s="68"/>
    </row>
    <row r="40">
      <c r="A40" s="18" t="s">
        <v>177</v>
      </c>
      <c r="B40" s="23"/>
      <c r="C40" s="4"/>
      <c r="D40" s="24"/>
      <c r="E40" s="3"/>
      <c r="F40" s="3"/>
      <c r="G40" s="25"/>
      <c r="H40" s="3"/>
      <c r="I40" s="26"/>
      <c r="J40" s="3"/>
      <c r="K40" s="24"/>
      <c r="L40" s="3"/>
      <c r="M40" s="24"/>
      <c r="N40" s="4"/>
      <c r="O40" s="69"/>
      <c r="P40" s="68"/>
    </row>
    <row r="41">
      <c r="A41" s="18" t="s">
        <v>178</v>
      </c>
      <c r="B41" s="20">
        <v>0.19722222222222222</v>
      </c>
      <c r="C41" s="4"/>
      <c r="D41" s="19"/>
      <c r="E41" s="3"/>
      <c r="F41" s="4"/>
      <c r="G41" s="20">
        <v>0.6347222222222222</v>
      </c>
      <c r="H41" s="4"/>
      <c r="I41" s="19"/>
      <c r="J41" s="4"/>
      <c r="K41" s="19"/>
      <c r="L41" s="4"/>
      <c r="M41" s="19"/>
      <c r="N41" s="4"/>
      <c r="O41" s="69"/>
      <c r="P41" s="68"/>
    </row>
    <row r="42">
      <c r="A42" s="18" t="s">
        <v>179</v>
      </c>
      <c r="B42" s="20">
        <v>0.18194444444444444</v>
      </c>
      <c r="C42" s="4"/>
      <c r="D42" s="19"/>
      <c r="E42" s="3"/>
      <c r="F42" s="4"/>
      <c r="G42" s="20">
        <v>0.5652777777777778</v>
      </c>
      <c r="H42" s="4"/>
      <c r="I42" s="19"/>
      <c r="J42" s="4"/>
      <c r="K42" s="19"/>
      <c r="L42" s="4"/>
      <c r="M42" s="19"/>
      <c r="N42" s="4"/>
      <c r="O42" s="69"/>
      <c r="P42" s="68"/>
    </row>
    <row r="43">
      <c r="A43" s="18" t="s">
        <v>180</v>
      </c>
      <c r="B43" s="20">
        <v>0.19027777777777777</v>
      </c>
      <c r="C43" s="4"/>
      <c r="D43" s="19"/>
      <c r="E43" s="3"/>
      <c r="F43" s="4"/>
      <c r="G43" s="20">
        <v>0.56875</v>
      </c>
      <c r="H43" s="4"/>
      <c r="I43" s="19"/>
      <c r="J43" s="4"/>
      <c r="K43" s="19"/>
      <c r="L43" s="4"/>
      <c r="M43" s="19"/>
      <c r="N43" s="4"/>
      <c r="O43" s="69"/>
      <c r="P43" s="68"/>
    </row>
    <row r="44">
      <c r="A44" s="22" t="s">
        <v>181</v>
      </c>
      <c r="B44" s="20">
        <v>0.18819444444444444</v>
      </c>
      <c r="C44" s="4"/>
      <c r="D44" s="20">
        <v>0.6666666666666666</v>
      </c>
      <c r="E44" s="3"/>
      <c r="F44" s="4"/>
      <c r="G44" s="19"/>
      <c r="H44" s="4"/>
      <c r="I44" s="19"/>
      <c r="J44" s="4"/>
      <c r="K44" s="19"/>
      <c r="L44" s="4"/>
      <c r="M44" s="19"/>
      <c r="N44" s="4"/>
      <c r="O44" s="69">
        <f>D44-B44</f>
        <v>0.4784722222</v>
      </c>
      <c r="P44" s="78">
        <v>0.3541666666666667</v>
      </c>
      <c r="Q44" s="69">
        <f>O44-P44</f>
        <v>0.1243055556</v>
      </c>
    </row>
    <row r="45">
      <c r="A45" s="22" t="s">
        <v>182</v>
      </c>
      <c r="B45" s="19"/>
      <c r="C45" s="4"/>
      <c r="D45" s="19"/>
      <c r="E45" s="3"/>
      <c r="F45" s="4"/>
      <c r="G45" s="19"/>
      <c r="H45" s="4"/>
      <c r="I45" s="19"/>
      <c r="J45" s="4"/>
      <c r="K45" s="19"/>
      <c r="L45" s="4"/>
      <c r="M45" s="19"/>
      <c r="N45" s="4"/>
      <c r="O45" s="69"/>
      <c r="P45" s="68"/>
    </row>
    <row r="46">
      <c r="A46" s="18" t="s">
        <v>183</v>
      </c>
      <c r="B46" s="20">
        <v>0.37569444444444444</v>
      </c>
      <c r="C46" s="4"/>
      <c r="D46" s="19"/>
      <c r="E46" s="3"/>
      <c r="F46" s="4"/>
      <c r="G46" s="19"/>
      <c r="H46" s="4"/>
      <c r="I46" s="20">
        <v>0.7236111111111111</v>
      </c>
      <c r="J46" s="4"/>
      <c r="K46" s="19"/>
      <c r="L46" s="4"/>
      <c r="M46" s="19"/>
      <c r="N46" s="4"/>
      <c r="O46" s="69"/>
      <c r="P46" s="68"/>
    </row>
    <row r="47">
      <c r="A47" s="18" t="s">
        <v>184</v>
      </c>
      <c r="B47" s="20">
        <v>0.19791666666666666</v>
      </c>
      <c r="C47" s="4"/>
      <c r="D47" s="19"/>
      <c r="E47" s="3"/>
      <c r="F47" s="4"/>
      <c r="G47" s="19"/>
      <c r="H47" s="4"/>
      <c r="I47" s="20">
        <v>0.73125</v>
      </c>
      <c r="J47" s="4"/>
      <c r="K47" s="19"/>
      <c r="L47" s="4"/>
      <c r="M47" s="19"/>
      <c r="N47" s="4"/>
      <c r="O47" s="69">
        <f t="shared" ref="O47:O48" si="1">I47-B47</f>
        <v>0.5333333333</v>
      </c>
      <c r="P47" s="78">
        <v>0.3541666666666667</v>
      </c>
      <c r="Q47" s="69">
        <f t="shared" ref="Q47:Q48" si="2">O47-P47</f>
        <v>0.1791666667</v>
      </c>
    </row>
    <row r="48">
      <c r="A48" s="18" t="s">
        <v>185</v>
      </c>
      <c r="B48" s="20">
        <v>0.19236111111111112</v>
      </c>
      <c r="C48" s="4"/>
      <c r="D48" s="19"/>
      <c r="E48" s="3"/>
      <c r="F48" s="4"/>
      <c r="G48" s="19"/>
      <c r="H48" s="4"/>
      <c r="I48" s="20">
        <v>0.6979166666666666</v>
      </c>
      <c r="J48" s="4"/>
      <c r="K48" s="19"/>
      <c r="L48" s="4"/>
      <c r="M48" s="19"/>
      <c r="N48" s="4"/>
      <c r="O48" s="69">
        <f t="shared" si="1"/>
        <v>0.5055555556</v>
      </c>
      <c r="P48" s="78">
        <v>0.3541666666666667</v>
      </c>
      <c r="Q48" s="69">
        <f t="shared" si="2"/>
        <v>0.1513888889</v>
      </c>
    </row>
    <row r="49">
      <c r="A49" s="18" t="s">
        <v>186</v>
      </c>
      <c r="B49" s="20">
        <v>0.1909722222222222</v>
      </c>
      <c r="C49" s="4"/>
      <c r="D49" s="19"/>
      <c r="E49" s="3"/>
      <c r="F49" s="4"/>
      <c r="G49" s="20">
        <v>0.5701388888888889</v>
      </c>
      <c r="H49" s="4"/>
      <c r="I49" s="19"/>
      <c r="J49" s="4"/>
      <c r="K49" s="19"/>
      <c r="L49" s="4"/>
      <c r="M49" s="19"/>
      <c r="N49" s="4"/>
      <c r="O49" s="69"/>
      <c r="P49" s="68"/>
    </row>
    <row r="50">
      <c r="A50" s="18" t="s">
        <v>187</v>
      </c>
      <c r="B50" s="20">
        <v>0.18333333333333332</v>
      </c>
      <c r="C50" s="4"/>
      <c r="D50" s="19"/>
      <c r="E50" s="3"/>
      <c r="F50" s="4"/>
      <c r="G50" s="20">
        <v>0.6159722222222223</v>
      </c>
      <c r="H50" s="4"/>
      <c r="I50" s="19"/>
      <c r="J50" s="4"/>
      <c r="K50" s="19"/>
      <c r="L50" s="4"/>
      <c r="M50" s="19"/>
      <c r="N50" s="4"/>
      <c r="O50" s="69"/>
      <c r="P50" s="68"/>
    </row>
    <row r="51">
      <c r="O51" s="69"/>
      <c r="P51" s="68"/>
      <c r="Q51" s="87">
        <f>Q44+Q47+Q48</f>
        <v>0.4548611111</v>
      </c>
    </row>
    <row r="52">
      <c r="O52" s="69"/>
      <c r="P52" s="68"/>
    </row>
    <row r="53">
      <c r="A53" s="1" t="s">
        <v>0</v>
      </c>
      <c r="B53" s="2" t="s">
        <v>1</v>
      </c>
      <c r="C53" s="3"/>
      <c r="D53" s="3"/>
      <c r="E53" s="3"/>
      <c r="F53" s="3"/>
      <c r="G53" s="3"/>
      <c r="H53" s="4"/>
      <c r="I53" s="1" t="s">
        <v>2</v>
      </c>
      <c r="J53" s="10" t="s">
        <v>37</v>
      </c>
      <c r="K53" s="3"/>
      <c r="L53" s="3"/>
      <c r="M53" s="3"/>
      <c r="N53" s="4"/>
      <c r="O53" s="69"/>
      <c r="P53" s="68"/>
    </row>
    <row r="54">
      <c r="A54" s="1" t="s">
        <v>4</v>
      </c>
      <c r="B54" s="9" t="s">
        <v>167</v>
      </c>
      <c r="C54" s="3"/>
      <c r="D54" s="3"/>
      <c r="E54" s="3"/>
      <c r="F54" s="3"/>
      <c r="G54" s="3"/>
      <c r="H54" s="4"/>
      <c r="I54" s="1" t="s">
        <v>6</v>
      </c>
      <c r="J54" s="10">
        <v>10.0</v>
      </c>
      <c r="K54" s="3"/>
      <c r="L54" s="3"/>
      <c r="M54" s="3"/>
      <c r="N54" s="4"/>
      <c r="O54" s="69"/>
      <c r="P54" s="68"/>
    </row>
    <row r="55">
      <c r="A55" s="70" t="s">
        <v>144</v>
      </c>
      <c r="B55" s="71" t="s">
        <v>145</v>
      </c>
      <c r="C55" s="80" t="s">
        <v>165</v>
      </c>
      <c r="D55" s="39"/>
      <c r="E55" s="71" t="s">
        <v>168</v>
      </c>
      <c r="F55" s="88" t="s">
        <v>169</v>
      </c>
      <c r="G55" s="3"/>
      <c r="H55" s="4"/>
      <c r="I55" s="81" t="s">
        <v>146</v>
      </c>
      <c r="J55" s="3"/>
      <c r="K55" s="4"/>
      <c r="L55" s="81" t="s">
        <v>170</v>
      </c>
      <c r="M55" s="3"/>
      <c r="N55" s="4"/>
      <c r="O55" s="69"/>
      <c r="P55" s="68"/>
    </row>
    <row r="56">
      <c r="A56" s="16"/>
      <c r="B56" s="73"/>
      <c r="C56" s="73"/>
      <c r="D56" s="46"/>
      <c r="E56" s="73"/>
      <c r="F56" s="89" t="s">
        <v>171</v>
      </c>
      <c r="G56" s="4"/>
      <c r="H56" s="1" t="s">
        <v>172</v>
      </c>
      <c r="I56" s="1" t="s">
        <v>147</v>
      </c>
      <c r="J56" s="90" t="s">
        <v>166</v>
      </c>
      <c r="K56" s="4"/>
      <c r="L56" s="90" t="s">
        <v>147</v>
      </c>
      <c r="M56" s="4"/>
      <c r="N56" s="1" t="s">
        <v>166</v>
      </c>
      <c r="O56" s="69"/>
      <c r="P56" s="68"/>
    </row>
    <row r="57">
      <c r="A57" s="74">
        <v>11.0</v>
      </c>
      <c r="B57" s="75">
        <v>0.0</v>
      </c>
      <c r="C57" s="83">
        <v>0.0</v>
      </c>
      <c r="D57" s="4"/>
      <c r="E57" s="75">
        <v>0.0</v>
      </c>
      <c r="F57" s="83">
        <v>0.0</v>
      </c>
      <c r="G57" s="4"/>
      <c r="H57" s="74">
        <v>18.8</v>
      </c>
      <c r="I57" s="74">
        <v>0.0</v>
      </c>
      <c r="J57" s="91">
        <v>0.0</v>
      </c>
      <c r="K57" s="4"/>
      <c r="L57" s="91">
        <v>0.0</v>
      </c>
      <c r="M57" s="4"/>
      <c r="N57" s="74">
        <v>0.0</v>
      </c>
      <c r="O57" s="69"/>
      <c r="P57" s="68"/>
    </row>
    <row r="58">
      <c r="A58" s="19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69"/>
      <c r="P58" s="68"/>
    </row>
    <row r="59">
      <c r="A59" s="11" t="s">
        <v>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4"/>
      <c r="O59" s="69"/>
      <c r="P59" s="68"/>
    </row>
    <row r="60">
      <c r="A60" s="15" t="s">
        <v>11</v>
      </c>
      <c r="B60" s="2" t="s">
        <v>12</v>
      </c>
      <c r="C60" s="3"/>
      <c r="D60" s="3"/>
      <c r="E60" s="3"/>
      <c r="F60" s="4"/>
      <c r="G60" s="2" t="s">
        <v>13</v>
      </c>
      <c r="H60" s="3"/>
      <c r="I60" s="3"/>
      <c r="J60" s="3"/>
      <c r="K60" s="10" t="s">
        <v>14</v>
      </c>
      <c r="L60" s="3"/>
      <c r="M60" s="3"/>
      <c r="N60" s="4"/>
      <c r="O60" s="69"/>
      <c r="P60" s="68"/>
    </row>
    <row r="61">
      <c r="A61" s="16"/>
      <c r="B61" s="17" t="s">
        <v>15</v>
      </c>
      <c r="C61" s="4"/>
      <c r="D61" s="17" t="s">
        <v>16</v>
      </c>
      <c r="E61" s="3"/>
      <c r="F61" s="4"/>
      <c r="G61" s="17" t="s">
        <v>15</v>
      </c>
      <c r="H61" s="4"/>
      <c r="I61" s="17" t="s">
        <v>16</v>
      </c>
      <c r="J61" s="4"/>
      <c r="K61" s="17" t="s">
        <v>15</v>
      </c>
      <c r="L61" s="4"/>
      <c r="M61" s="17" t="s">
        <v>16</v>
      </c>
      <c r="N61" s="4"/>
      <c r="O61" s="69"/>
      <c r="P61" s="68"/>
    </row>
    <row r="62">
      <c r="A62" s="18" t="s">
        <v>173</v>
      </c>
      <c r="B62" s="20">
        <v>0.3173611111111111</v>
      </c>
      <c r="C62" s="4"/>
      <c r="D62" s="19"/>
      <c r="E62" s="3"/>
      <c r="F62" s="4"/>
      <c r="G62" s="19"/>
      <c r="H62" s="4"/>
      <c r="I62" s="19"/>
      <c r="J62" s="4"/>
      <c r="K62" s="19"/>
      <c r="L62" s="4"/>
      <c r="M62" s="20">
        <v>0.875</v>
      </c>
      <c r="N62" s="4"/>
      <c r="O62" s="69">
        <f>M62-B62</f>
        <v>0.5576388889</v>
      </c>
      <c r="P62" s="78">
        <v>0.375</v>
      </c>
      <c r="Q62" s="69">
        <f>O62-P62</f>
        <v>0.1826388889</v>
      </c>
    </row>
    <row r="63">
      <c r="A63" s="22" t="s">
        <v>174</v>
      </c>
      <c r="B63" s="20">
        <v>0.4041666666666667</v>
      </c>
      <c r="C63" s="4"/>
      <c r="D63" s="20">
        <v>0.6854166666666667</v>
      </c>
      <c r="E63" s="3"/>
      <c r="F63" s="4"/>
      <c r="G63" s="19"/>
      <c r="H63" s="4"/>
      <c r="I63" s="19"/>
      <c r="J63" s="4"/>
      <c r="K63" s="19"/>
      <c r="L63" s="4"/>
      <c r="M63" s="93">
        <f>D63-B63</f>
        <v>0.28125</v>
      </c>
      <c r="N63" s="4"/>
      <c r="O63" s="69">
        <f>D63-B63</f>
        <v>0.28125</v>
      </c>
      <c r="P63" s="68"/>
      <c r="Q63" s="69">
        <f>O63</f>
        <v>0.28125</v>
      </c>
    </row>
    <row r="64">
      <c r="A64" s="22" t="s">
        <v>175</v>
      </c>
      <c r="B64" s="19"/>
      <c r="C64" s="4"/>
      <c r="D64" s="19"/>
      <c r="E64" s="3"/>
      <c r="F64" s="4"/>
      <c r="G64" s="19"/>
      <c r="H64" s="4"/>
      <c r="I64" s="19"/>
      <c r="J64" s="4"/>
      <c r="K64" s="19"/>
      <c r="L64" s="4"/>
      <c r="M64" s="19"/>
      <c r="N64" s="4"/>
      <c r="O64" s="69"/>
      <c r="P64" s="68"/>
    </row>
    <row r="65">
      <c r="A65" s="18" t="s">
        <v>176</v>
      </c>
      <c r="B65" s="20">
        <v>0.3888888888888889</v>
      </c>
      <c r="C65" s="4"/>
      <c r="D65" s="19"/>
      <c r="E65" s="3"/>
      <c r="F65" s="4"/>
      <c r="G65" s="19"/>
      <c r="H65" s="4"/>
      <c r="I65" s="19"/>
      <c r="J65" s="4"/>
      <c r="K65" s="19"/>
      <c r="L65" s="4"/>
      <c r="M65" s="20">
        <v>0.8798611111111111</v>
      </c>
      <c r="N65" s="4"/>
      <c r="O65" s="69">
        <f>M65-B65</f>
        <v>0.4909722222</v>
      </c>
      <c r="P65" s="78">
        <v>0.375</v>
      </c>
      <c r="Q65" s="69">
        <f>O65-P65</f>
        <v>0.1159722222</v>
      </c>
    </row>
    <row r="66">
      <c r="A66" s="18" t="s">
        <v>177</v>
      </c>
      <c r="B66" s="20">
        <v>0.3888888888888889</v>
      </c>
      <c r="C66" s="4"/>
      <c r="D66" s="19"/>
      <c r="E66" s="3"/>
      <c r="F66" s="4"/>
      <c r="G66" s="19"/>
      <c r="H66" s="4"/>
      <c r="I66" s="20">
        <v>0.7465277777777778</v>
      </c>
      <c r="J66" s="4"/>
      <c r="K66" s="19"/>
      <c r="L66" s="4"/>
      <c r="M66" s="19"/>
      <c r="N66" s="4"/>
      <c r="O66" s="69">
        <f>I66-B66</f>
        <v>0.3576388889</v>
      </c>
      <c r="P66" s="78">
        <v>0.375</v>
      </c>
    </row>
    <row r="67">
      <c r="A67" s="18" t="s">
        <v>178</v>
      </c>
      <c r="B67" s="20">
        <v>0.37222222222222223</v>
      </c>
      <c r="C67" s="4"/>
      <c r="D67" s="19"/>
      <c r="E67" s="3"/>
      <c r="F67" s="4"/>
      <c r="G67" s="19"/>
      <c r="H67" s="4"/>
      <c r="I67" s="19"/>
      <c r="J67" s="4"/>
      <c r="K67" s="19"/>
      <c r="L67" s="4"/>
      <c r="M67" s="20">
        <v>0.8743055555555556</v>
      </c>
      <c r="N67" s="4"/>
      <c r="O67" s="69">
        <f>M67-B67</f>
        <v>0.5020833333</v>
      </c>
      <c r="P67" s="78">
        <v>0.375</v>
      </c>
      <c r="Q67" s="69">
        <f>O67-P67</f>
        <v>0.1270833333</v>
      </c>
    </row>
    <row r="68">
      <c r="A68" s="18" t="s">
        <v>179</v>
      </c>
      <c r="B68" s="20">
        <v>0.40625</v>
      </c>
      <c r="C68" s="4"/>
      <c r="D68" s="19"/>
      <c r="E68" s="3"/>
      <c r="F68" s="4"/>
      <c r="G68" s="19"/>
      <c r="H68" s="4"/>
      <c r="I68" s="19"/>
      <c r="J68" s="4"/>
      <c r="K68" s="20">
        <v>0.7895833333333333</v>
      </c>
      <c r="L68" s="4"/>
      <c r="M68" s="19"/>
      <c r="N68" s="4"/>
      <c r="O68" s="69">
        <f>K68-B68</f>
        <v>0.3833333333</v>
      </c>
      <c r="P68" s="78">
        <v>0.375</v>
      </c>
    </row>
    <row r="69">
      <c r="A69" s="18" t="s">
        <v>180</v>
      </c>
      <c r="B69" s="20">
        <v>0.3638888888888889</v>
      </c>
      <c r="C69" s="4"/>
      <c r="D69" s="19"/>
      <c r="E69" s="3"/>
      <c r="F69" s="4"/>
      <c r="G69" s="19"/>
      <c r="H69" s="4"/>
      <c r="I69" s="19"/>
      <c r="J69" s="4"/>
      <c r="K69" s="19"/>
      <c r="L69" s="4"/>
      <c r="M69" s="20">
        <v>0.8930555555555556</v>
      </c>
      <c r="N69" s="4"/>
      <c r="O69" s="69">
        <f>M69-B69</f>
        <v>0.5291666667</v>
      </c>
      <c r="P69" s="78">
        <v>0.375</v>
      </c>
      <c r="Q69" s="69">
        <f>O69-P69</f>
        <v>0.1541666667</v>
      </c>
    </row>
    <row r="70">
      <c r="A70" s="22" t="s">
        <v>181</v>
      </c>
      <c r="B70" s="20">
        <v>0.35138888888888886</v>
      </c>
      <c r="C70" s="4"/>
      <c r="D70" s="20">
        <v>0.8513888888888889</v>
      </c>
      <c r="E70" s="3"/>
      <c r="F70" s="4"/>
      <c r="G70" s="19"/>
      <c r="H70" s="4"/>
      <c r="I70" s="19"/>
      <c r="J70" s="4"/>
      <c r="K70" s="19"/>
      <c r="L70" s="4"/>
      <c r="M70" s="19"/>
      <c r="N70" s="4"/>
      <c r="O70" s="69">
        <f>D70-B70</f>
        <v>0.5</v>
      </c>
      <c r="P70" s="68"/>
      <c r="Q70" s="69">
        <f>O70</f>
        <v>0.5</v>
      </c>
    </row>
    <row r="71">
      <c r="A71" s="22" t="s">
        <v>182</v>
      </c>
      <c r="B71" s="19"/>
      <c r="C71" s="4"/>
      <c r="D71" s="19"/>
      <c r="E71" s="3"/>
      <c r="F71" s="4"/>
      <c r="G71" s="19"/>
      <c r="H71" s="4"/>
      <c r="I71" s="19"/>
      <c r="J71" s="4"/>
      <c r="K71" s="19"/>
      <c r="L71" s="4"/>
      <c r="M71" s="19"/>
      <c r="N71" s="4"/>
      <c r="O71" s="69"/>
      <c r="P71" s="68"/>
    </row>
    <row r="72">
      <c r="A72" s="18" t="s">
        <v>183</v>
      </c>
      <c r="B72" s="20">
        <v>0.3548611111111111</v>
      </c>
      <c r="C72" s="4"/>
      <c r="D72" s="19"/>
      <c r="E72" s="3"/>
      <c r="F72" s="4"/>
      <c r="G72" s="19"/>
      <c r="H72" s="4"/>
      <c r="I72" s="19"/>
      <c r="J72" s="4"/>
      <c r="K72" s="19"/>
      <c r="L72" s="4"/>
      <c r="M72" s="20">
        <v>0.8430555555555556</v>
      </c>
      <c r="N72" s="4"/>
      <c r="O72" s="69">
        <f>M72-B72</f>
        <v>0.4881944444</v>
      </c>
      <c r="P72" s="78">
        <v>0.375</v>
      </c>
      <c r="Q72" s="69">
        <f t="shared" ref="Q72:Q74" si="3">O72-P72</f>
        <v>0.1131944444</v>
      </c>
    </row>
    <row r="73">
      <c r="A73" s="18" t="s">
        <v>184</v>
      </c>
      <c r="B73" s="20">
        <v>0.3402777777777778</v>
      </c>
      <c r="C73" s="4"/>
      <c r="D73" s="19"/>
      <c r="E73" s="3"/>
      <c r="F73" s="4"/>
      <c r="G73" s="19"/>
      <c r="H73" s="4"/>
      <c r="I73" s="19"/>
      <c r="J73" s="4"/>
      <c r="K73" s="20">
        <v>0.8090277777777778</v>
      </c>
      <c r="L73" s="4"/>
      <c r="M73" s="19"/>
      <c r="N73" s="4"/>
      <c r="O73" s="69">
        <f>K73-B73</f>
        <v>0.46875</v>
      </c>
      <c r="P73" s="78">
        <v>0.375</v>
      </c>
      <c r="Q73" s="69">
        <f t="shared" si="3"/>
        <v>0.09375</v>
      </c>
    </row>
    <row r="74">
      <c r="A74" s="18" t="s">
        <v>185</v>
      </c>
      <c r="B74" s="20">
        <v>0.3423611111111111</v>
      </c>
      <c r="C74" s="4"/>
      <c r="D74" s="19"/>
      <c r="E74" s="3"/>
      <c r="F74" s="4"/>
      <c r="G74" s="19"/>
      <c r="H74" s="4"/>
      <c r="I74" s="19"/>
      <c r="J74" s="4"/>
      <c r="K74" s="19"/>
      <c r="L74" s="4"/>
      <c r="M74" s="20">
        <v>0.8666666666666667</v>
      </c>
      <c r="N74" s="4"/>
      <c r="O74" s="69">
        <f t="shared" ref="O74:O76" si="4">M74-B74</f>
        <v>0.5243055556</v>
      </c>
      <c r="P74" s="78">
        <v>0.375</v>
      </c>
      <c r="Q74" s="69">
        <f t="shared" si="3"/>
        <v>0.1493055556</v>
      </c>
    </row>
    <row r="75">
      <c r="A75" s="18" t="s">
        <v>186</v>
      </c>
      <c r="B75" s="20">
        <v>0.39305555555555555</v>
      </c>
      <c r="C75" s="4"/>
      <c r="D75" s="19"/>
      <c r="E75" s="3"/>
      <c r="F75" s="4"/>
      <c r="G75" s="19"/>
      <c r="H75" s="4"/>
      <c r="I75" s="19"/>
      <c r="J75" s="4"/>
      <c r="K75" s="19"/>
      <c r="L75" s="4"/>
      <c r="M75" s="20">
        <v>0.7347222222222223</v>
      </c>
      <c r="N75" s="4"/>
      <c r="O75" s="69">
        <f t="shared" si="4"/>
        <v>0.3416666667</v>
      </c>
      <c r="P75" s="78">
        <v>0.375</v>
      </c>
    </row>
    <row r="76">
      <c r="A76" s="18" t="s">
        <v>187</v>
      </c>
      <c r="B76" s="20">
        <v>0.40208333333333335</v>
      </c>
      <c r="C76" s="4"/>
      <c r="D76" s="19"/>
      <c r="E76" s="3"/>
      <c r="F76" s="4"/>
      <c r="G76" s="19"/>
      <c r="H76" s="4"/>
      <c r="I76" s="19"/>
      <c r="J76" s="4"/>
      <c r="K76" s="19"/>
      <c r="L76" s="4"/>
      <c r="M76" s="20">
        <v>0.875</v>
      </c>
      <c r="N76" s="4"/>
      <c r="O76" s="69">
        <f t="shared" si="4"/>
        <v>0.4729166667</v>
      </c>
      <c r="P76" s="78">
        <v>0.375</v>
      </c>
      <c r="Q76" s="69">
        <f>O76-P76</f>
        <v>0.09791666667</v>
      </c>
    </row>
    <row r="77">
      <c r="O77" s="69"/>
      <c r="P77" s="68"/>
      <c r="Q77" s="87">
        <f>Q62+Q63+Q65+Q67+Q69+Q70+Q72+Q73+Q74+Q76</f>
        <v>1.815277778</v>
      </c>
    </row>
    <row r="78">
      <c r="O78" s="69"/>
      <c r="P78" s="68"/>
    </row>
    <row r="79">
      <c r="A79" s="1" t="s">
        <v>0</v>
      </c>
      <c r="B79" s="2" t="s">
        <v>1</v>
      </c>
      <c r="C79" s="3"/>
      <c r="D79" s="3"/>
      <c r="E79" s="3"/>
      <c r="F79" s="3"/>
      <c r="G79" s="3"/>
      <c r="H79" s="4"/>
      <c r="I79" s="1" t="s">
        <v>2</v>
      </c>
      <c r="J79" s="10" t="s">
        <v>101</v>
      </c>
      <c r="K79" s="3"/>
      <c r="L79" s="3"/>
      <c r="M79" s="3"/>
      <c r="N79" s="4"/>
      <c r="O79" s="69"/>
      <c r="P79" s="68"/>
    </row>
    <row r="80">
      <c r="A80" s="1" t="s">
        <v>4</v>
      </c>
      <c r="B80" s="9" t="s">
        <v>167</v>
      </c>
      <c r="C80" s="3"/>
      <c r="D80" s="3"/>
      <c r="E80" s="3"/>
      <c r="F80" s="3"/>
      <c r="G80" s="3"/>
      <c r="H80" s="4"/>
      <c r="I80" s="1" t="s">
        <v>6</v>
      </c>
      <c r="J80" s="10">
        <v>16.0</v>
      </c>
      <c r="K80" s="3"/>
      <c r="L80" s="3"/>
      <c r="M80" s="3"/>
      <c r="N80" s="4"/>
      <c r="O80" s="69"/>
      <c r="P80" s="68"/>
    </row>
    <row r="81">
      <c r="A81" s="70" t="s">
        <v>144</v>
      </c>
      <c r="B81" s="71" t="s">
        <v>145</v>
      </c>
      <c r="C81" s="80" t="s">
        <v>165</v>
      </c>
      <c r="D81" s="39"/>
      <c r="E81" s="71" t="s">
        <v>168</v>
      </c>
      <c r="F81" s="88" t="s">
        <v>169</v>
      </c>
      <c r="G81" s="3"/>
      <c r="H81" s="4"/>
      <c r="I81" s="81" t="s">
        <v>146</v>
      </c>
      <c r="J81" s="3"/>
      <c r="K81" s="4"/>
      <c r="L81" s="81" t="s">
        <v>170</v>
      </c>
      <c r="M81" s="3"/>
      <c r="N81" s="4"/>
      <c r="O81" s="69"/>
      <c r="P81" s="68"/>
    </row>
    <row r="82">
      <c r="A82" s="16"/>
      <c r="B82" s="73"/>
      <c r="C82" s="73"/>
      <c r="D82" s="46"/>
      <c r="E82" s="73"/>
      <c r="F82" s="89" t="s">
        <v>171</v>
      </c>
      <c r="G82" s="4"/>
      <c r="H82" s="1" t="s">
        <v>172</v>
      </c>
      <c r="I82" s="1" t="s">
        <v>147</v>
      </c>
      <c r="J82" s="90" t="s">
        <v>166</v>
      </c>
      <c r="K82" s="4"/>
      <c r="L82" s="90" t="s">
        <v>147</v>
      </c>
      <c r="M82" s="4"/>
      <c r="N82" s="1" t="s">
        <v>166</v>
      </c>
      <c r="O82" s="69"/>
      <c r="P82" s="68"/>
    </row>
    <row r="83">
      <c r="A83" s="74">
        <v>11.0</v>
      </c>
      <c r="B83" s="75">
        <v>0.0</v>
      </c>
      <c r="C83" s="83">
        <v>0.0</v>
      </c>
      <c r="D83" s="4"/>
      <c r="E83" s="75">
        <v>0.0</v>
      </c>
      <c r="F83" s="83">
        <v>0.0</v>
      </c>
      <c r="G83" s="4"/>
      <c r="H83" s="74">
        <v>0.0</v>
      </c>
      <c r="I83" s="74">
        <v>0.0</v>
      </c>
      <c r="J83" s="91">
        <v>0.0</v>
      </c>
      <c r="K83" s="4"/>
      <c r="L83" s="91">
        <v>0.0</v>
      </c>
      <c r="M83" s="4"/>
      <c r="N83" s="74">
        <v>0.0</v>
      </c>
      <c r="O83" s="69"/>
      <c r="P83" s="68"/>
    </row>
    <row r="84">
      <c r="A84" s="19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69"/>
      <c r="P84" s="68"/>
    </row>
    <row r="85">
      <c r="A85" s="11" t="s">
        <v>7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4"/>
      <c r="O85" s="69"/>
      <c r="P85" s="68"/>
    </row>
    <row r="86">
      <c r="A86" s="15" t="s">
        <v>11</v>
      </c>
      <c r="B86" s="2" t="s">
        <v>12</v>
      </c>
      <c r="C86" s="3"/>
      <c r="D86" s="3"/>
      <c r="E86" s="3"/>
      <c r="F86" s="4"/>
      <c r="G86" s="2" t="s">
        <v>13</v>
      </c>
      <c r="H86" s="3"/>
      <c r="I86" s="3"/>
      <c r="J86" s="3"/>
      <c r="K86" s="10" t="s">
        <v>14</v>
      </c>
      <c r="L86" s="3"/>
      <c r="M86" s="3"/>
      <c r="N86" s="4"/>
      <c r="O86" s="69"/>
      <c r="P86" s="68"/>
    </row>
    <row r="87">
      <c r="A87" s="16"/>
      <c r="B87" s="17" t="s">
        <v>15</v>
      </c>
      <c r="C87" s="4"/>
      <c r="D87" s="17" t="s">
        <v>16</v>
      </c>
      <c r="E87" s="3"/>
      <c r="F87" s="4"/>
      <c r="G87" s="17" t="s">
        <v>15</v>
      </c>
      <c r="H87" s="4"/>
      <c r="I87" s="17" t="s">
        <v>16</v>
      </c>
      <c r="J87" s="4"/>
      <c r="K87" s="17" t="s">
        <v>15</v>
      </c>
      <c r="L87" s="4"/>
      <c r="M87" s="17" t="s">
        <v>16</v>
      </c>
      <c r="N87" s="4"/>
      <c r="O87" s="69"/>
      <c r="P87" s="68"/>
    </row>
    <row r="88">
      <c r="A88" s="18" t="s">
        <v>173</v>
      </c>
      <c r="B88" s="20">
        <v>0.36736111111111114</v>
      </c>
      <c r="C88" s="4"/>
      <c r="D88" s="19"/>
      <c r="E88" s="3"/>
      <c r="F88" s="4"/>
      <c r="G88" s="19"/>
      <c r="H88" s="4"/>
      <c r="I88" s="19"/>
      <c r="J88" s="4"/>
      <c r="K88" s="19"/>
      <c r="L88" s="4"/>
      <c r="M88" s="20">
        <v>0.8715277777777778</v>
      </c>
      <c r="N88" s="4"/>
      <c r="O88" s="69">
        <f>M88-B88</f>
        <v>0.5041666667</v>
      </c>
      <c r="P88" s="78">
        <v>0.3541666666666667</v>
      </c>
      <c r="Q88" s="69">
        <f>O88-P88</f>
        <v>0.15</v>
      </c>
    </row>
    <row r="89">
      <c r="A89" s="22" t="s">
        <v>174</v>
      </c>
      <c r="B89" s="19"/>
      <c r="C89" s="4"/>
      <c r="D89" s="19"/>
      <c r="E89" s="3"/>
      <c r="F89" s="4"/>
      <c r="G89" s="19"/>
      <c r="H89" s="4"/>
      <c r="I89" s="19"/>
      <c r="J89" s="4"/>
      <c r="K89" s="19"/>
      <c r="L89" s="4"/>
      <c r="M89" s="19"/>
      <c r="N89" s="4"/>
      <c r="O89" s="69"/>
      <c r="P89" s="68"/>
    </row>
    <row r="90">
      <c r="A90" s="22" t="s">
        <v>175</v>
      </c>
      <c r="B90" s="19"/>
      <c r="C90" s="4"/>
      <c r="D90" s="19"/>
      <c r="E90" s="3"/>
      <c r="F90" s="4"/>
      <c r="G90" s="19"/>
      <c r="H90" s="4"/>
      <c r="I90" s="19"/>
      <c r="J90" s="4"/>
      <c r="K90" s="19"/>
      <c r="L90" s="4"/>
      <c r="M90" s="19"/>
      <c r="N90" s="4"/>
      <c r="O90" s="69"/>
      <c r="P90" s="68"/>
    </row>
    <row r="91">
      <c r="A91" s="18" t="s">
        <v>176</v>
      </c>
      <c r="B91" s="20">
        <v>0.1625</v>
      </c>
      <c r="C91" s="4"/>
      <c r="D91" s="19"/>
      <c r="E91" s="3"/>
      <c r="F91" s="4"/>
      <c r="G91" s="19"/>
      <c r="H91" s="4"/>
      <c r="I91" s="19"/>
      <c r="J91" s="4"/>
      <c r="K91" s="19"/>
      <c r="L91" s="4"/>
      <c r="M91" s="20">
        <v>0.8756944444444444</v>
      </c>
      <c r="N91" s="4"/>
      <c r="O91" s="69">
        <f>M91-B91</f>
        <v>0.7131944444</v>
      </c>
      <c r="P91" s="78">
        <v>0.3541666666666667</v>
      </c>
      <c r="Q91" s="69">
        <f>O91-P91</f>
        <v>0.3590277778</v>
      </c>
    </row>
    <row r="92">
      <c r="A92" s="18" t="s">
        <v>177</v>
      </c>
      <c r="B92" s="20">
        <v>0.3659722222222222</v>
      </c>
      <c r="C92" s="4"/>
      <c r="D92" s="19"/>
      <c r="E92" s="3"/>
      <c r="F92" s="4"/>
      <c r="G92" s="19"/>
      <c r="H92" s="4"/>
      <c r="I92" s="20">
        <v>0.7090277777777778</v>
      </c>
      <c r="J92" s="4"/>
      <c r="K92" s="19"/>
      <c r="L92" s="4"/>
      <c r="M92" s="19"/>
      <c r="N92" s="4"/>
      <c r="O92" s="69">
        <f>I92-B92</f>
        <v>0.3430555556</v>
      </c>
      <c r="P92" s="78">
        <v>0.3541666666666667</v>
      </c>
    </row>
    <row r="93">
      <c r="A93" s="18" t="s">
        <v>178</v>
      </c>
      <c r="B93" s="20">
        <v>0.3597222222222222</v>
      </c>
      <c r="C93" s="4"/>
      <c r="D93" s="19"/>
      <c r="E93" s="3"/>
      <c r="F93" s="4"/>
      <c r="G93" s="19"/>
      <c r="H93" s="4"/>
      <c r="I93" s="19"/>
      <c r="J93" s="4"/>
      <c r="K93" s="19"/>
      <c r="L93" s="4"/>
      <c r="M93" s="20">
        <v>0.8743055555555556</v>
      </c>
      <c r="N93" s="4"/>
      <c r="O93" s="69">
        <f>M93-B93</f>
        <v>0.5145833333</v>
      </c>
      <c r="P93" s="78">
        <v>0.3541666666666667</v>
      </c>
      <c r="Q93" s="69">
        <f t="shared" ref="Q93:Q95" si="5">O93-P93</f>
        <v>0.1604166667</v>
      </c>
    </row>
    <row r="94">
      <c r="A94" s="18" t="s">
        <v>179</v>
      </c>
      <c r="B94" s="20">
        <v>0.36736111111111114</v>
      </c>
      <c r="C94" s="4"/>
      <c r="D94" s="19"/>
      <c r="E94" s="3"/>
      <c r="F94" s="4"/>
      <c r="G94" s="19"/>
      <c r="H94" s="4"/>
      <c r="I94" s="19"/>
      <c r="J94" s="4"/>
      <c r="K94" s="20">
        <v>0.7888888888888889</v>
      </c>
      <c r="L94" s="4"/>
      <c r="M94" s="19"/>
      <c r="N94" s="4"/>
      <c r="O94" s="69">
        <f>K94-B94</f>
        <v>0.4215277778</v>
      </c>
      <c r="P94" s="78">
        <v>0.3541666666666667</v>
      </c>
      <c r="Q94" s="69">
        <f t="shared" si="5"/>
        <v>0.06736111111</v>
      </c>
    </row>
    <row r="95">
      <c r="A95" s="18" t="s">
        <v>180</v>
      </c>
      <c r="B95" s="20">
        <v>0.3659722222222222</v>
      </c>
      <c r="C95" s="4"/>
      <c r="D95" s="19"/>
      <c r="E95" s="3"/>
      <c r="F95" s="4"/>
      <c r="G95" s="19"/>
      <c r="H95" s="4"/>
      <c r="I95" s="19"/>
      <c r="J95" s="4"/>
      <c r="K95" s="19"/>
      <c r="L95" s="4"/>
      <c r="M95" s="20">
        <v>0.8944444444444445</v>
      </c>
      <c r="N95" s="4"/>
      <c r="O95" s="69">
        <f>M95-B95</f>
        <v>0.5284722222</v>
      </c>
      <c r="P95" s="78">
        <v>0.3541666666666667</v>
      </c>
      <c r="Q95" s="69">
        <f t="shared" si="5"/>
        <v>0.1743055556</v>
      </c>
    </row>
    <row r="96">
      <c r="A96" s="22" t="s">
        <v>181</v>
      </c>
      <c r="B96" s="19"/>
      <c r="C96" s="4"/>
      <c r="D96" s="19"/>
      <c r="E96" s="3"/>
      <c r="F96" s="4"/>
      <c r="G96" s="19"/>
      <c r="H96" s="4"/>
      <c r="I96" s="19"/>
      <c r="J96" s="4"/>
      <c r="K96" s="19"/>
      <c r="L96" s="4"/>
      <c r="M96" s="19"/>
      <c r="N96" s="4"/>
      <c r="O96" s="69"/>
      <c r="P96" s="68"/>
    </row>
    <row r="97">
      <c r="A97" s="22" t="s">
        <v>182</v>
      </c>
      <c r="B97" s="19"/>
      <c r="C97" s="4"/>
      <c r="D97" s="19"/>
      <c r="E97" s="3"/>
      <c r="F97" s="4"/>
      <c r="G97" s="19"/>
      <c r="H97" s="4"/>
      <c r="I97" s="19"/>
      <c r="J97" s="4"/>
      <c r="K97" s="19"/>
      <c r="L97" s="4"/>
      <c r="M97" s="19"/>
      <c r="N97" s="4"/>
      <c r="O97" s="69"/>
      <c r="P97" s="68"/>
    </row>
    <row r="98">
      <c r="A98" s="18" t="s">
        <v>183</v>
      </c>
      <c r="B98" s="20">
        <v>0.16458333333333333</v>
      </c>
      <c r="C98" s="4"/>
      <c r="D98" s="19"/>
      <c r="E98" s="3"/>
      <c r="F98" s="4"/>
      <c r="G98" s="19"/>
      <c r="H98" s="4"/>
      <c r="I98" s="19"/>
      <c r="J98" s="4"/>
      <c r="K98" s="19"/>
      <c r="L98" s="4"/>
      <c r="M98" s="20">
        <v>0.8368055555555556</v>
      </c>
      <c r="N98" s="4"/>
      <c r="O98" s="69">
        <f>M98-B98</f>
        <v>0.6722222222</v>
      </c>
      <c r="P98" s="78">
        <v>0.3541666666666667</v>
      </c>
      <c r="Q98" s="69">
        <f t="shared" ref="Q98:Q100" si="6">O98-P98</f>
        <v>0.3180555556</v>
      </c>
    </row>
    <row r="99">
      <c r="A99" s="18" t="s">
        <v>184</v>
      </c>
      <c r="B99" s="20">
        <v>0.37222222222222223</v>
      </c>
      <c r="C99" s="4"/>
      <c r="D99" s="19"/>
      <c r="E99" s="3"/>
      <c r="F99" s="4"/>
      <c r="G99" s="19"/>
      <c r="H99" s="4"/>
      <c r="I99" s="19"/>
      <c r="J99" s="4"/>
      <c r="K99" s="20">
        <v>0.8097222222222222</v>
      </c>
      <c r="L99" s="4"/>
      <c r="M99" s="19"/>
      <c r="N99" s="4"/>
      <c r="O99" s="69">
        <f>K99-B99</f>
        <v>0.4375</v>
      </c>
      <c r="P99" s="78">
        <v>0.3541666666666667</v>
      </c>
      <c r="Q99" s="69">
        <f t="shared" si="6"/>
        <v>0.08333333333</v>
      </c>
    </row>
    <row r="100">
      <c r="A100" s="18" t="s">
        <v>185</v>
      </c>
      <c r="B100" s="20">
        <v>0.36666666666666664</v>
      </c>
      <c r="C100" s="4"/>
      <c r="D100" s="19"/>
      <c r="E100" s="3"/>
      <c r="F100" s="4"/>
      <c r="G100" s="19"/>
      <c r="H100" s="4"/>
      <c r="I100" s="19"/>
      <c r="J100" s="4"/>
      <c r="K100" s="19"/>
      <c r="L100" s="4"/>
      <c r="M100" s="20">
        <v>0.8659722222222223</v>
      </c>
      <c r="N100" s="4"/>
      <c r="O100" s="69">
        <f>M100-B100</f>
        <v>0.4993055556</v>
      </c>
      <c r="P100" s="78">
        <v>0.3541666666666667</v>
      </c>
      <c r="Q100" s="69">
        <f t="shared" si="6"/>
        <v>0.1451388889</v>
      </c>
    </row>
    <row r="101">
      <c r="A101" s="18" t="s">
        <v>186</v>
      </c>
      <c r="B101" s="20">
        <v>0.36944444444444446</v>
      </c>
      <c r="C101" s="4"/>
      <c r="D101" s="19"/>
      <c r="E101" s="3"/>
      <c r="F101" s="4"/>
      <c r="G101" s="19"/>
      <c r="H101" s="4"/>
      <c r="I101" s="20">
        <v>0.7055555555555556</v>
      </c>
      <c r="J101" s="4"/>
      <c r="K101" s="19"/>
      <c r="L101" s="4"/>
      <c r="M101" s="19"/>
      <c r="N101" s="4"/>
      <c r="O101" s="69">
        <f>I101-B101</f>
        <v>0.3361111111</v>
      </c>
      <c r="P101" s="78">
        <v>0.3541666666666667</v>
      </c>
    </row>
    <row r="102">
      <c r="A102" s="18" t="s">
        <v>187</v>
      </c>
      <c r="B102" s="20">
        <v>0.36875</v>
      </c>
      <c r="C102" s="4"/>
      <c r="D102" s="19"/>
      <c r="E102" s="3"/>
      <c r="F102" s="4"/>
      <c r="G102" s="19"/>
      <c r="H102" s="4"/>
      <c r="I102" s="19"/>
      <c r="J102" s="4"/>
      <c r="K102" s="19"/>
      <c r="L102" s="4"/>
      <c r="M102" s="20">
        <v>0.875</v>
      </c>
      <c r="N102" s="4"/>
      <c r="O102" s="69">
        <f>M102-B102</f>
        <v>0.50625</v>
      </c>
      <c r="P102" s="78">
        <v>0.3541666666666667</v>
      </c>
      <c r="Q102" s="69">
        <f>O102-P102</f>
        <v>0.1520833333</v>
      </c>
    </row>
    <row r="103">
      <c r="O103" s="69"/>
      <c r="P103" s="68"/>
      <c r="Q103" s="87">
        <f>Q88+Q91+Q93+Q94+Q95+Q98+Q99+Q100+Q102</f>
        <v>1.609722222</v>
      </c>
    </row>
    <row r="104">
      <c r="O104" s="69"/>
      <c r="P104" s="68"/>
    </row>
    <row r="105">
      <c r="A105" s="1" t="s">
        <v>0</v>
      </c>
      <c r="B105" s="2" t="s">
        <v>1</v>
      </c>
      <c r="C105" s="3"/>
      <c r="D105" s="3"/>
      <c r="E105" s="3"/>
      <c r="F105" s="3"/>
      <c r="G105" s="3"/>
      <c r="H105" s="4"/>
      <c r="I105" s="1" t="s">
        <v>2</v>
      </c>
      <c r="J105" s="10" t="s">
        <v>40</v>
      </c>
      <c r="K105" s="3"/>
      <c r="L105" s="3"/>
      <c r="M105" s="3"/>
      <c r="N105" s="4"/>
      <c r="O105" s="69"/>
      <c r="P105" s="68"/>
    </row>
    <row r="106">
      <c r="A106" s="1" t="s">
        <v>4</v>
      </c>
      <c r="B106" s="9" t="s">
        <v>167</v>
      </c>
      <c r="C106" s="3"/>
      <c r="D106" s="3"/>
      <c r="E106" s="3"/>
      <c r="F106" s="3"/>
      <c r="G106" s="3"/>
      <c r="H106" s="4"/>
      <c r="I106" s="1" t="s">
        <v>6</v>
      </c>
      <c r="J106" s="10">
        <v>13.0</v>
      </c>
      <c r="K106" s="3"/>
      <c r="L106" s="3"/>
      <c r="M106" s="3"/>
      <c r="N106" s="4"/>
      <c r="O106" s="69"/>
      <c r="P106" s="68"/>
    </row>
    <row r="107">
      <c r="A107" s="70" t="s">
        <v>144</v>
      </c>
      <c r="B107" s="71" t="s">
        <v>145</v>
      </c>
      <c r="C107" s="80" t="s">
        <v>165</v>
      </c>
      <c r="D107" s="39"/>
      <c r="E107" s="71" t="s">
        <v>168</v>
      </c>
      <c r="F107" s="88" t="s">
        <v>169</v>
      </c>
      <c r="G107" s="3"/>
      <c r="H107" s="4"/>
      <c r="I107" s="81" t="s">
        <v>146</v>
      </c>
      <c r="J107" s="3"/>
      <c r="K107" s="4"/>
      <c r="L107" s="81" t="s">
        <v>170</v>
      </c>
      <c r="M107" s="3"/>
      <c r="N107" s="4"/>
      <c r="O107" s="69"/>
      <c r="P107" s="68"/>
    </row>
    <row r="108">
      <c r="A108" s="16"/>
      <c r="B108" s="73"/>
      <c r="C108" s="73"/>
      <c r="D108" s="46"/>
      <c r="E108" s="73"/>
      <c r="F108" s="89" t="s">
        <v>171</v>
      </c>
      <c r="G108" s="4"/>
      <c r="H108" s="1" t="s">
        <v>172</v>
      </c>
      <c r="I108" s="1" t="s">
        <v>147</v>
      </c>
      <c r="J108" s="90" t="s">
        <v>166</v>
      </c>
      <c r="K108" s="4"/>
      <c r="L108" s="90" t="s">
        <v>147</v>
      </c>
      <c r="M108" s="4"/>
      <c r="N108" s="1" t="s">
        <v>166</v>
      </c>
      <c r="O108" s="69"/>
      <c r="P108" s="68"/>
    </row>
    <row r="109">
      <c r="A109" s="74">
        <v>11.0</v>
      </c>
      <c r="B109" s="75">
        <v>0.0</v>
      </c>
      <c r="C109" s="83">
        <v>0.0</v>
      </c>
      <c r="D109" s="4"/>
      <c r="E109" s="75">
        <v>0.0</v>
      </c>
      <c r="F109" s="83">
        <v>0.0</v>
      </c>
      <c r="G109" s="4"/>
      <c r="H109" s="74">
        <v>17.8</v>
      </c>
      <c r="I109" s="74">
        <v>0.0</v>
      </c>
      <c r="J109" s="91">
        <v>0.0</v>
      </c>
      <c r="K109" s="4"/>
      <c r="L109" s="91">
        <v>0.0</v>
      </c>
      <c r="M109" s="4"/>
      <c r="N109" s="74">
        <v>0.0</v>
      </c>
      <c r="O109" s="69"/>
      <c r="P109" s="68"/>
    </row>
    <row r="110">
      <c r="A110" s="19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69"/>
      <c r="P110" s="68"/>
    </row>
    <row r="111">
      <c r="A111" s="11" t="s">
        <v>7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4"/>
      <c r="O111" s="69"/>
      <c r="P111" s="68"/>
    </row>
    <row r="112">
      <c r="A112" s="15" t="s">
        <v>11</v>
      </c>
      <c r="B112" s="2" t="s">
        <v>12</v>
      </c>
      <c r="C112" s="3"/>
      <c r="D112" s="3"/>
      <c r="E112" s="3"/>
      <c r="F112" s="4"/>
      <c r="G112" s="2" t="s">
        <v>13</v>
      </c>
      <c r="H112" s="3"/>
      <c r="I112" s="3"/>
      <c r="J112" s="3"/>
      <c r="K112" s="10" t="s">
        <v>14</v>
      </c>
      <c r="L112" s="3"/>
      <c r="M112" s="3"/>
      <c r="N112" s="4"/>
      <c r="O112" s="69"/>
      <c r="P112" s="68"/>
    </row>
    <row r="113">
      <c r="A113" s="16"/>
      <c r="B113" s="17" t="s">
        <v>15</v>
      </c>
      <c r="C113" s="4"/>
      <c r="D113" s="17" t="s">
        <v>16</v>
      </c>
      <c r="E113" s="3"/>
      <c r="F113" s="4"/>
      <c r="G113" s="17" t="s">
        <v>15</v>
      </c>
      <c r="H113" s="4"/>
      <c r="I113" s="17" t="s">
        <v>16</v>
      </c>
      <c r="J113" s="4"/>
      <c r="K113" s="17" t="s">
        <v>15</v>
      </c>
      <c r="L113" s="4"/>
      <c r="M113" s="17" t="s">
        <v>16</v>
      </c>
      <c r="N113" s="4"/>
      <c r="O113" s="69"/>
      <c r="P113" s="68"/>
      <c r="Q113" s="48" t="s">
        <v>100</v>
      </c>
    </row>
    <row r="114">
      <c r="A114" s="18" t="s">
        <v>173</v>
      </c>
      <c r="B114" s="19"/>
      <c r="C114" s="4"/>
      <c r="D114" s="20">
        <v>0.5020833333333333</v>
      </c>
      <c r="E114" s="3"/>
      <c r="F114" s="4"/>
      <c r="G114" s="19"/>
      <c r="H114" s="4"/>
      <c r="I114" s="19"/>
      <c r="J114" s="4"/>
      <c r="K114" s="19"/>
      <c r="L114" s="4"/>
      <c r="M114" s="20">
        <v>0.8555555555555555</v>
      </c>
      <c r="N114" s="4"/>
      <c r="O114" s="69">
        <f>M114-D114</f>
        <v>0.3534722222</v>
      </c>
      <c r="P114" s="78">
        <v>0.3541666666666667</v>
      </c>
    </row>
    <row r="115">
      <c r="A115" s="22" t="s">
        <v>174</v>
      </c>
      <c r="B115" s="20">
        <v>0.40208333333333335</v>
      </c>
      <c r="C115" s="4"/>
      <c r="D115" s="20">
        <v>0.6854166666666667</v>
      </c>
      <c r="E115" s="3"/>
      <c r="F115" s="4"/>
      <c r="G115" s="19"/>
      <c r="H115" s="4"/>
      <c r="I115" s="19"/>
      <c r="J115" s="4"/>
      <c r="K115" s="19"/>
      <c r="L115" s="4"/>
      <c r="M115" s="19"/>
      <c r="N115" s="4"/>
      <c r="O115" s="94">
        <f>D115-B115</f>
        <v>0.2833333333</v>
      </c>
      <c r="P115" s="78">
        <v>0.3541666666666667</v>
      </c>
      <c r="Q115" s="48">
        <v>34.0</v>
      </c>
    </row>
    <row r="116">
      <c r="A116" s="22" t="s">
        <v>175</v>
      </c>
      <c r="B116" s="19"/>
      <c r="C116" s="4"/>
      <c r="D116" s="19"/>
      <c r="E116" s="3"/>
      <c r="F116" s="4"/>
      <c r="G116" s="19"/>
      <c r="H116" s="4"/>
      <c r="I116" s="19"/>
      <c r="J116" s="4"/>
      <c r="K116" s="19"/>
      <c r="L116" s="4"/>
      <c r="M116" s="19"/>
      <c r="N116" s="4"/>
      <c r="O116" s="69"/>
      <c r="P116" s="68"/>
    </row>
    <row r="117">
      <c r="A117" s="18" t="s">
        <v>176</v>
      </c>
      <c r="B117" s="19"/>
      <c r="C117" s="4"/>
      <c r="D117" s="19"/>
      <c r="E117" s="3"/>
      <c r="F117" s="4"/>
      <c r="G117" s="20">
        <v>0.5854166666666667</v>
      </c>
      <c r="H117" s="4"/>
      <c r="I117" s="19"/>
      <c r="J117" s="4"/>
      <c r="K117" s="19"/>
      <c r="L117" s="4"/>
      <c r="M117" s="20">
        <v>0.8638888888888889</v>
      </c>
      <c r="N117" s="4"/>
      <c r="O117" s="94">
        <f>M117-G117</f>
        <v>0.2784722222</v>
      </c>
      <c r="P117" s="78">
        <v>0.3541666666666667</v>
      </c>
      <c r="Q117" s="48">
        <v>60.0</v>
      </c>
    </row>
    <row r="118">
      <c r="A118" s="18" t="s">
        <v>177</v>
      </c>
      <c r="B118" s="20">
        <v>0.41388888888888886</v>
      </c>
      <c r="C118" s="4"/>
      <c r="D118" s="19"/>
      <c r="E118" s="3"/>
      <c r="F118" s="4"/>
      <c r="G118" s="19"/>
      <c r="H118" s="4"/>
      <c r="I118" s="20">
        <v>0.7458333333333333</v>
      </c>
      <c r="J118" s="4"/>
      <c r="K118" s="19"/>
      <c r="L118" s="4"/>
      <c r="M118" s="19"/>
      <c r="N118" s="4"/>
      <c r="O118" s="92">
        <f>I118-B118</f>
        <v>0.3319444444</v>
      </c>
      <c r="P118" s="78">
        <v>0.3541666666666667</v>
      </c>
      <c r="Q118" s="48">
        <v>51.0</v>
      </c>
    </row>
    <row r="119">
      <c r="A119" s="18" t="s">
        <v>178</v>
      </c>
      <c r="B119" s="23"/>
      <c r="C119" s="4"/>
      <c r="D119" s="24"/>
      <c r="E119" s="3"/>
      <c r="F119" s="3"/>
      <c r="G119" s="25"/>
      <c r="H119" s="3"/>
      <c r="I119" s="26"/>
      <c r="J119" s="3"/>
      <c r="K119" s="24"/>
      <c r="L119" s="3"/>
      <c r="M119" s="24"/>
      <c r="N119" s="4"/>
      <c r="O119" s="69"/>
      <c r="P119" s="68"/>
    </row>
    <row r="120">
      <c r="A120" s="18" t="s">
        <v>179</v>
      </c>
      <c r="B120" s="20">
        <v>0.4125</v>
      </c>
      <c r="C120" s="4"/>
      <c r="D120" s="19"/>
      <c r="E120" s="3"/>
      <c r="F120" s="4"/>
      <c r="G120" s="19"/>
      <c r="H120" s="4"/>
      <c r="I120" s="19"/>
      <c r="J120" s="4"/>
      <c r="K120" s="20">
        <v>0.7798611111111111</v>
      </c>
      <c r="L120" s="4"/>
      <c r="M120" s="19"/>
      <c r="N120" s="4"/>
      <c r="O120" s="69">
        <f>K120-B120</f>
        <v>0.3673611111</v>
      </c>
      <c r="P120" s="78">
        <v>0.3541666666666667</v>
      </c>
      <c r="Q120" s="48">
        <v>49.0</v>
      </c>
    </row>
    <row r="121">
      <c r="A121" s="18" t="s">
        <v>180</v>
      </c>
      <c r="B121" s="19"/>
      <c r="C121" s="4"/>
      <c r="D121" s="19"/>
      <c r="E121" s="3"/>
      <c r="F121" s="4"/>
      <c r="G121" s="20">
        <v>0.5583333333333333</v>
      </c>
      <c r="H121" s="4"/>
      <c r="I121" s="19"/>
      <c r="J121" s="4"/>
      <c r="K121" s="19"/>
      <c r="L121" s="4"/>
      <c r="M121" s="20">
        <v>0.8881944444444444</v>
      </c>
      <c r="N121" s="4"/>
      <c r="O121" s="69">
        <f>M121-G121</f>
        <v>0.3298611111</v>
      </c>
      <c r="P121" s="78">
        <v>0.3541666666666667</v>
      </c>
      <c r="Q121" s="48">
        <v>19.0</v>
      </c>
    </row>
    <row r="122">
      <c r="A122" s="22" t="s">
        <v>181</v>
      </c>
      <c r="B122" s="20">
        <v>0.38958333333333334</v>
      </c>
      <c r="C122" s="4"/>
      <c r="D122" s="20">
        <v>0.8486111111111111</v>
      </c>
      <c r="E122" s="3"/>
      <c r="F122" s="4"/>
      <c r="G122" s="19"/>
      <c r="H122" s="4"/>
      <c r="I122" s="19"/>
      <c r="J122" s="4"/>
      <c r="K122" s="19"/>
      <c r="L122" s="4"/>
      <c r="M122" s="19"/>
      <c r="N122" s="4"/>
      <c r="O122" s="69">
        <f>D122-B122</f>
        <v>0.4590277778</v>
      </c>
      <c r="P122" s="78">
        <v>0.3541666666666667</v>
      </c>
      <c r="Q122" s="48">
        <v>16.0</v>
      </c>
      <c r="R122" s="69">
        <f>O122-P122</f>
        <v>0.1048611111</v>
      </c>
    </row>
    <row r="123">
      <c r="A123" s="22" t="s">
        <v>182</v>
      </c>
      <c r="B123" s="19"/>
      <c r="C123" s="4"/>
      <c r="D123" s="19"/>
      <c r="E123" s="3"/>
      <c r="F123" s="4"/>
      <c r="G123" s="19"/>
      <c r="H123" s="4"/>
      <c r="I123" s="19"/>
      <c r="J123" s="4"/>
      <c r="K123" s="19"/>
      <c r="L123" s="4"/>
      <c r="M123" s="19"/>
      <c r="N123" s="4"/>
      <c r="O123" s="69"/>
      <c r="P123" s="68"/>
    </row>
    <row r="124">
      <c r="A124" s="18" t="s">
        <v>183</v>
      </c>
      <c r="B124" s="23"/>
      <c r="C124" s="4"/>
      <c r="D124" s="24"/>
      <c r="E124" s="3"/>
      <c r="F124" s="3"/>
      <c r="G124" s="25"/>
      <c r="H124" s="3"/>
      <c r="I124" s="26"/>
      <c r="J124" s="3"/>
      <c r="K124" s="24"/>
      <c r="L124" s="3"/>
      <c r="M124" s="24"/>
      <c r="N124" s="4"/>
      <c r="O124" s="69"/>
      <c r="P124" s="68"/>
    </row>
    <row r="125">
      <c r="A125" s="18" t="s">
        <v>184</v>
      </c>
      <c r="B125" s="23"/>
      <c r="C125" s="4"/>
      <c r="D125" s="24"/>
      <c r="E125" s="3"/>
      <c r="F125" s="3"/>
      <c r="G125" s="25"/>
      <c r="H125" s="3"/>
      <c r="I125" s="26"/>
      <c r="J125" s="3"/>
      <c r="K125" s="24"/>
      <c r="L125" s="3"/>
      <c r="M125" s="24"/>
      <c r="N125" s="4"/>
      <c r="O125" s="69"/>
      <c r="P125" s="68"/>
    </row>
    <row r="126">
      <c r="A126" s="18" t="s">
        <v>185</v>
      </c>
      <c r="B126" s="23"/>
      <c r="C126" s="4"/>
      <c r="D126" s="24"/>
      <c r="E126" s="3"/>
      <c r="F126" s="3"/>
      <c r="G126" s="25"/>
      <c r="H126" s="3"/>
      <c r="I126" s="26"/>
      <c r="J126" s="3"/>
      <c r="K126" s="24"/>
      <c r="L126" s="3"/>
      <c r="M126" s="24"/>
      <c r="N126" s="4"/>
      <c r="O126" s="69"/>
      <c r="P126" s="68"/>
    </row>
    <row r="127">
      <c r="A127" s="18" t="s">
        <v>186</v>
      </c>
      <c r="B127" s="20">
        <v>0.39861111111111114</v>
      </c>
      <c r="C127" s="4"/>
      <c r="D127" s="19"/>
      <c r="E127" s="3"/>
      <c r="F127" s="4"/>
      <c r="G127" s="19"/>
      <c r="H127" s="4"/>
      <c r="I127" s="20">
        <v>0.7194444444444444</v>
      </c>
      <c r="J127" s="4"/>
      <c r="K127" s="19"/>
      <c r="L127" s="4"/>
      <c r="M127" s="19"/>
      <c r="N127" s="4"/>
      <c r="O127" s="69">
        <f>I127-B127</f>
        <v>0.3208333333</v>
      </c>
      <c r="P127" s="78">
        <v>0.3541666666666667</v>
      </c>
      <c r="Q127" s="50">
        <f>34-5</f>
        <v>29</v>
      </c>
    </row>
    <row r="128">
      <c r="A128" s="18" t="s">
        <v>187</v>
      </c>
      <c r="B128" s="19"/>
      <c r="C128" s="4"/>
      <c r="D128" s="19"/>
      <c r="E128" s="3"/>
      <c r="F128" s="4"/>
      <c r="G128" s="20">
        <v>0.5423611111111111</v>
      </c>
      <c r="H128" s="4"/>
      <c r="I128" s="19"/>
      <c r="J128" s="4"/>
      <c r="K128" s="19"/>
      <c r="L128" s="4"/>
      <c r="M128" s="20">
        <v>0.875</v>
      </c>
      <c r="N128" s="4"/>
      <c r="O128" s="69">
        <f>M128-G128</f>
        <v>0.3326388889</v>
      </c>
      <c r="P128" s="78">
        <v>0.3541666666666667</v>
      </c>
    </row>
    <row r="129">
      <c r="O129" s="69"/>
      <c r="P129" s="68"/>
      <c r="Q129" s="50">
        <f>Q115+Q117+Q118+Q120+Q121+Q122+Q127</f>
        <v>258</v>
      </c>
    </row>
    <row r="130">
      <c r="O130" s="69"/>
      <c r="P130" s="68"/>
    </row>
    <row r="131">
      <c r="O131" s="69"/>
      <c r="P131" s="68"/>
    </row>
    <row r="132">
      <c r="O132" s="69"/>
      <c r="P132" s="68"/>
    </row>
    <row r="133">
      <c r="O133" s="69"/>
      <c r="P133" s="68"/>
    </row>
    <row r="134">
      <c r="O134" s="69"/>
      <c r="P134" s="68"/>
    </row>
    <row r="135">
      <c r="O135" s="69"/>
      <c r="P135" s="68"/>
    </row>
    <row r="136">
      <c r="O136" s="69"/>
      <c r="P136" s="68"/>
    </row>
    <row r="137">
      <c r="O137" s="69"/>
      <c r="P137" s="68"/>
    </row>
    <row r="138">
      <c r="O138" s="69"/>
      <c r="P138" s="68"/>
    </row>
    <row r="139">
      <c r="O139" s="69"/>
      <c r="P139" s="68"/>
    </row>
    <row r="140">
      <c r="O140" s="69"/>
      <c r="P140" s="68"/>
    </row>
    <row r="141">
      <c r="O141" s="69"/>
      <c r="P141" s="68"/>
    </row>
    <row r="142">
      <c r="O142" s="69"/>
      <c r="P142" s="68"/>
    </row>
    <row r="143">
      <c r="O143" s="69"/>
      <c r="P143" s="68"/>
    </row>
    <row r="144">
      <c r="O144" s="69"/>
      <c r="P144" s="68"/>
    </row>
    <row r="145">
      <c r="O145" s="69"/>
      <c r="P145" s="68"/>
    </row>
    <row r="146">
      <c r="O146" s="69"/>
      <c r="P146" s="68"/>
    </row>
    <row r="147">
      <c r="O147" s="69"/>
      <c r="P147" s="68"/>
    </row>
    <row r="148">
      <c r="O148" s="69"/>
      <c r="P148" s="68"/>
    </row>
    <row r="149">
      <c r="O149" s="69"/>
      <c r="P149" s="68"/>
    </row>
    <row r="150">
      <c r="O150" s="69"/>
      <c r="P150" s="68"/>
    </row>
    <row r="151">
      <c r="O151" s="69"/>
      <c r="P151" s="68"/>
    </row>
    <row r="152">
      <c r="O152" s="69"/>
      <c r="P152" s="68"/>
    </row>
    <row r="153">
      <c r="O153" s="69"/>
      <c r="P153" s="68"/>
    </row>
    <row r="154">
      <c r="O154" s="69"/>
      <c r="P154" s="68"/>
    </row>
    <row r="155">
      <c r="O155" s="69"/>
      <c r="P155" s="68"/>
    </row>
    <row r="156">
      <c r="O156" s="69"/>
      <c r="P156" s="68"/>
    </row>
    <row r="157">
      <c r="O157" s="69"/>
      <c r="P157" s="68"/>
    </row>
    <row r="158">
      <c r="O158" s="69"/>
      <c r="P158" s="68"/>
    </row>
    <row r="159">
      <c r="O159" s="69"/>
      <c r="P159" s="68"/>
    </row>
    <row r="160">
      <c r="O160" s="69"/>
      <c r="P160" s="68"/>
    </row>
    <row r="161">
      <c r="O161" s="69"/>
      <c r="P161" s="68"/>
    </row>
    <row r="162">
      <c r="O162" s="69"/>
      <c r="P162" s="68"/>
    </row>
    <row r="163">
      <c r="O163" s="69"/>
      <c r="P163" s="68"/>
    </row>
    <row r="164">
      <c r="O164" s="69"/>
      <c r="P164" s="68"/>
    </row>
    <row r="165">
      <c r="O165" s="69"/>
      <c r="P165" s="68"/>
    </row>
    <row r="166">
      <c r="O166" s="69"/>
      <c r="P166" s="68"/>
    </row>
    <row r="167">
      <c r="O167" s="69"/>
      <c r="P167" s="68"/>
    </row>
    <row r="168">
      <c r="O168" s="69"/>
      <c r="P168" s="68"/>
    </row>
    <row r="169">
      <c r="O169" s="69"/>
      <c r="P169" s="68"/>
    </row>
    <row r="170">
      <c r="O170" s="69"/>
      <c r="P170" s="68"/>
    </row>
    <row r="171">
      <c r="O171" s="69"/>
      <c r="P171" s="68"/>
    </row>
    <row r="172">
      <c r="O172" s="69"/>
      <c r="P172" s="68"/>
    </row>
    <row r="173">
      <c r="O173" s="69"/>
      <c r="P173" s="68"/>
    </row>
    <row r="174">
      <c r="O174" s="69"/>
      <c r="P174" s="68"/>
    </row>
    <row r="175">
      <c r="O175" s="69"/>
      <c r="P175" s="68"/>
    </row>
    <row r="176">
      <c r="O176" s="69"/>
      <c r="P176" s="68"/>
    </row>
    <row r="177">
      <c r="O177" s="69"/>
      <c r="P177" s="68"/>
    </row>
    <row r="178">
      <c r="O178" s="69"/>
      <c r="P178" s="68"/>
    </row>
    <row r="179">
      <c r="O179" s="69"/>
      <c r="P179" s="68"/>
    </row>
    <row r="180">
      <c r="O180" s="69"/>
      <c r="P180" s="68"/>
    </row>
    <row r="181">
      <c r="O181" s="69"/>
      <c r="P181" s="68"/>
    </row>
    <row r="182">
      <c r="O182" s="69"/>
      <c r="P182" s="68"/>
    </row>
    <row r="183">
      <c r="O183" s="69"/>
      <c r="P183" s="68"/>
    </row>
    <row r="184">
      <c r="O184" s="69"/>
      <c r="P184" s="68"/>
    </row>
    <row r="185">
      <c r="O185" s="69"/>
      <c r="P185" s="68"/>
    </row>
    <row r="186">
      <c r="O186" s="69"/>
      <c r="P186" s="68"/>
    </row>
    <row r="187">
      <c r="O187" s="69"/>
      <c r="P187" s="68"/>
    </row>
    <row r="188">
      <c r="O188" s="69"/>
      <c r="P188" s="68"/>
    </row>
    <row r="189">
      <c r="O189" s="69"/>
      <c r="P189" s="68"/>
    </row>
    <row r="190">
      <c r="O190" s="69"/>
      <c r="P190" s="68"/>
    </row>
    <row r="191">
      <c r="O191" s="69"/>
      <c r="P191" s="68"/>
    </row>
    <row r="192">
      <c r="O192" s="69"/>
      <c r="P192" s="68"/>
    </row>
    <row r="193">
      <c r="O193" s="69"/>
      <c r="P193" s="68"/>
    </row>
    <row r="194">
      <c r="O194" s="69"/>
      <c r="P194" s="68"/>
    </row>
    <row r="195">
      <c r="O195" s="69"/>
      <c r="P195" s="68"/>
    </row>
    <row r="196">
      <c r="O196" s="69"/>
      <c r="P196" s="68"/>
    </row>
    <row r="197">
      <c r="O197" s="69"/>
      <c r="P197" s="68"/>
    </row>
    <row r="198">
      <c r="O198" s="69"/>
      <c r="P198" s="68"/>
    </row>
    <row r="199">
      <c r="O199" s="69"/>
      <c r="P199" s="68"/>
    </row>
    <row r="200">
      <c r="O200" s="69"/>
      <c r="P200" s="68"/>
    </row>
    <row r="201">
      <c r="O201" s="69"/>
      <c r="P201" s="68"/>
    </row>
    <row r="202">
      <c r="O202" s="69"/>
      <c r="P202" s="68"/>
    </row>
    <row r="203">
      <c r="O203" s="69"/>
      <c r="P203" s="68"/>
    </row>
    <row r="204">
      <c r="O204" s="69"/>
      <c r="P204" s="68"/>
    </row>
    <row r="205">
      <c r="O205" s="69"/>
      <c r="P205" s="68"/>
    </row>
    <row r="206">
      <c r="O206" s="69"/>
      <c r="P206" s="68"/>
    </row>
    <row r="207">
      <c r="O207" s="69"/>
      <c r="P207" s="68"/>
    </row>
    <row r="208">
      <c r="O208" s="69"/>
      <c r="P208" s="68"/>
    </row>
    <row r="209">
      <c r="O209" s="69"/>
      <c r="P209" s="68"/>
    </row>
    <row r="210">
      <c r="O210" s="69"/>
      <c r="P210" s="68"/>
    </row>
    <row r="211">
      <c r="O211" s="69"/>
      <c r="P211" s="68"/>
    </row>
    <row r="212">
      <c r="O212" s="69"/>
      <c r="P212" s="68"/>
    </row>
    <row r="213">
      <c r="O213" s="69"/>
      <c r="P213" s="68"/>
    </row>
    <row r="214">
      <c r="O214" s="69"/>
      <c r="P214" s="68"/>
    </row>
    <row r="215">
      <c r="O215" s="69"/>
      <c r="P215" s="68"/>
    </row>
    <row r="216">
      <c r="O216" s="69"/>
      <c r="P216" s="68"/>
    </row>
    <row r="217">
      <c r="O217" s="69"/>
      <c r="P217" s="68"/>
    </row>
    <row r="218">
      <c r="O218" s="69"/>
      <c r="P218" s="68"/>
    </row>
    <row r="219">
      <c r="O219" s="69"/>
      <c r="P219" s="68"/>
    </row>
    <row r="220">
      <c r="O220" s="69"/>
      <c r="P220" s="68"/>
    </row>
    <row r="221">
      <c r="O221" s="69"/>
      <c r="P221" s="68"/>
    </row>
    <row r="222">
      <c r="O222" s="69"/>
      <c r="P222" s="68"/>
    </row>
    <row r="223">
      <c r="O223" s="69"/>
      <c r="P223" s="68"/>
    </row>
    <row r="224">
      <c r="O224" s="69"/>
      <c r="P224" s="68"/>
    </row>
    <row r="225">
      <c r="O225" s="69"/>
      <c r="P225" s="68"/>
    </row>
    <row r="226">
      <c r="O226" s="69"/>
      <c r="P226" s="68"/>
    </row>
    <row r="227">
      <c r="O227" s="69"/>
      <c r="P227" s="68"/>
    </row>
    <row r="228">
      <c r="O228" s="69"/>
      <c r="P228" s="68"/>
    </row>
    <row r="229">
      <c r="O229" s="69"/>
      <c r="P229" s="68"/>
    </row>
    <row r="230">
      <c r="O230" s="69"/>
      <c r="P230" s="68"/>
    </row>
    <row r="231">
      <c r="O231" s="69"/>
      <c r="P231" s="68"/>
    </row>
    <row r="232">
      <c r="O232" s="69"/>
      <c r="P232" s="68"/>
    </row>
    <row r="233">
      <c r="O233" s="69"/>
      <c r="P233" s="68"/>
    </row>
    <row r="234">
      <c r="O234" s="69"/>
      <c r="P234" s="68"/>
    </row>
    <row r="235">
      <c r="O235" s="69"/>
      <c r="P235" s="68"/>
    </row>
    <row r="236">
      <c r="O236" s="69"/>
      <c r="P236" s="68"/>
    </row>
    <row r="237">
      <c r="O237" s="69"/>
      <c r="P237" s="68"/>
    </row>
    <row r="238">
      <c r="O238" s="69"/>
      <c r="P238" s="68"/>
    </row>
    <row r="239">
      <c r="O239" s="69"/>
      <c r="P239" s="68"/>
    </row>
    <row r="240">
      <c r="O240" s="69"/>
      <c r="P240" s="68"/>
    </row>
    <row r="241">
      <c r="O241" s="69"/>
      <c r="P241" s="68"/>
    </row>
    <row r="242">
      <c r="O242" s="69"/>
      <c r="P242" s="68"/>
    </row>
    <row r="243">
      <c r="O243" s="69"/>
      <c r="P243" s="68"/>
    </row>
    <row r="244">
      <c r="O244" s="69"/>
      <c r="P244" s="68"/>
    </row>
    <row r="245">
      <c r="O245" s="69"/>
      <c r="P245" s="68"/>
    </row>
    <row r="246">
      <c r="O246" s="69"/>
      <c r="P246" s="68"/>
    </row>
    <row r="247">
      <c r="O247" s="69"/>
      <c r="P247" s="68"/>
    </row>
    <row r="248">
      <c r="O248" s="69"/>
      <c r="P248" s="68"/>
    </row>
    <row r="249">
      <c r="O249" s="69"/>
      <c r="P249" s="68"/>
    </row>
    <row r="250">
      <c r="O250" s="69"/>
      <c r="P250" s="68"/>
    </row>
    <row r="251">
      <c r="O251" s="69"/>
      <c r="P251" s="68"/>
    </row>
    <row r="252">
      <c r="O252" s="69"/>
      <c r="P252" s="68"/>
    </row>
    <row r="253">
      <c r="O253" s="69"/>
      <c r="P253" s="68"/>
    </row>
    <row r="254">
      <c r="O254" s="69"/>
      <c r="P254" s="68"/>
    </row>
    <row r="255">
      <c r="O255" s="69"/>
      <c r="P255" s="68"/>
    </row>
    <row r="256">
      <c r="O256" s="69"/>
      <c r="P256" s="68"/>
    </row>
    <row r="257">
      <c r="O257" s="69"/>
      <c r="P257" s="68"/>
    </row>
    <row r="258">
      <c r="O258" s="69"/>
      <c r="P258" s="68"/>
    </row>
    <row r="259">
      <c r="O259" s="69"/>
      <c r="P259" s="68"/>
    </row>
    <row r="260">
      <c r="O260" s="69"/>
      <c r="P260" s="68"/>
    </row>
    <row r="261">
      <c r="O261" s="69"/>
      <c r="P261" s="68"/>
    </row>
    <row r="262">
      <c r="O262" s="69"/>
      <c r="P262" s="68"/>
    </row>
    <row r="263">
      <c r="O263" s="69"/>
      <c r="P263" s="68"/>
    </row>
    <row r="264">
      <c r="O264" s="69"/>
      <c r="P264" s="68"/>
    </row>
    <row r="265">
      <c r="O265" s="69"/>
      <c r="P265" s="68"/>
    </row>
    <row r="266">
      <c r="O266" s="69"/>
      <c r="P266" s="68"/>
    </row>
    <row r="267">
      <c r="O267" s="69"/>
      <c r="P267" s="68"/>
    </row>
    <row r="268">
      <c r="O268" s="69"/>
      <c r="P268" s="68"/>
    </row>
    <row r="269">
      <c r="O269" s="69"/>
      <c r="P269" s="68"/>
    </row>
    <row r="270">
      <c r="O270" s="69"/>
      <c r="P270" s="68"/>
    </row>
    <row r="271">
      <c r="O271" s="69"/>
      <c r="P271" s="68"/>
    </row>
    <row r="272">
      <c r="O272" s="69"/>
      <c r="P272" s="68"/>
    </row>
    <row r="273">
      <c r="O273" s="69"/>
      <c r="P273" s="68"/>
    </row>
    <row r="274">
      <c r="O274" s="69"/>
      <c r="P274" s="68"/>
    </row>
    <row r="275">
      <c r="O275" s="69"/>
      <c r="P275" s="68"/>
    </row>
    <row r="276">
      <c r="O276" s="69"/>
      <c r="P276" s="68"/>
    </row>
    <row r="277">
      <c r="O277" s="69"/>
      <c r="P277" s="68"/>
    </row>
    <row r="278">
      <c r="O278" s="69"/>
      <c r="P278" s="68"/>
    </row>
    <row r="279">
      <c r="O279" s="69"/>
      <c r="P279" s="68"/>
    </row>
    <row r="280">
      <c r="O280" s="69"/>
      <c r="P280" s="68"/>
    </row>
    <row r="281">
      <c r="O281" s="69"/>
      <c r="P281" s="68"/>
    </row>
    <row r="282">
      <c r="O282" s="69"/>
      <c r="P282" s="68"/>
    </row>
    <row r="283">
      <c r="O283" s="69"/>
      <c r="P283" s="68"/>
    </row>
    <row r="284">
      <c r="O284" s="69"/>
      <c r="P284" s="68"/>
    </row>
    <row r="285">
      <c r="O285" s="69"/>
      <c r="P285" s="68"/>
    </row>
    <row r="286">
      <c r="O286" s="69"/>
      <c r="P286" s="68"/>
    </row>
    <row r="287">
      <c r="O287" s="69"/>
      <c r="P287" s="68"/>
    </row>
    <row r="288">
      <c r="O288" s="69"/>
      <c r="P288" s="68"/>
    </row>
    <row r="289">
      <c r="O289" s="69"/>
      <c r="P289" s="68"/>
    </row>
    <row r="290">
      <c r="O290" s="69"/>
      <c r="P290" s="68"/>
    </row>
    <row r="291">
      <c r="O291" s="69"/>
      <c r="P291" s="68"/>
    </row>
    <row r="292">
      <c r="O292" s="69"/>
      <c r="P292" s="68"/>
    </row>
    <row r="293">
      <c r="O293" s="69"/>
      <c r="P293" s="68"/>
    </row>
    <row r="294">
      <c r="O294" s="69"/>
      <c r="P294" s="68"/>
    </row>
    <row r="295">
      <c r="O295" s="69"/>
      <c r="P295" s="68"/>
    </row>
    <row r="296">
      <c r="O296" s="69"/>
      <c r="P296" s="68"/>
    </row>
    <row r="297">
      <c r="O297" s="69"/>
      <c r="P297" s="68"/>
    </row>
    <row r="298">
      <c r="O298" s="69"/>
      <c r="P298" s="68"/>
    </row>
    <row r="299">
      <c r="O299" s="69"/>
      <c r="P299" s="68"/>
    </row>
    <row r="300">
      <c r="O300" s="69"/>
      <c r="P300" s="68"/>
    </row>
    <row r="301">
      <c r="O301" s="69"/>
      <c r="P301" s="68"/>
    </row>
    <row r="302">
      <c r="O302" s="69"/>
      <c r="P302" s="68"/>
    </row>
    <row r="303">
      <c r="O303" s="69"/>
      <c r="P303" s="68"/>
    </row>
    <row r="304">
      <c r="O304" s="69"/>
      <c r="P304" s="68"/>
    </row>
    <row r="305">
      <c r="O305" s="69"/>
      <c r="P305" s="68"/>
    </row>
    <row r="306">
      <c r="O306" s="69"/>
      <c r="P306" s="68"/>
    </row>
    <row r="307">
      <c r="O307" s="69"/>
      <c r="P307" s="68"/>
    </row>
    <row r="308">
      <c r="O308" s="69"/>
      <c r="P308" s="68"/>
    </row>
    <row r="309">
      <c r="O309" s="69"/>
      <c r="P309" s="68"/>
    </row>
    <row r="310">
      <c r="O310" s="69"/>
      <c r="P310" s="68"/>
    </row>
    <row r="311">
      <c r="O311" s="69"/>
      <c r="P311" s="68"/>
    </row>
    <row r="312">
      <c r="O312" s="69"/>
      <c r="P312" s="68"/>
    </row>
    <row r="313">
      <c r="O313" s="69"/>
      <c r="P313" s="68"/>
    </row>
    <row r="314">
      <c r="O314" s="69"/>
      <c r="P314" s="68"/>
    </row>
    <row r="315">
      <c r="O315" s="69"/>
      <c r="P315" s="68"/>
    </row>
    <row r="316">
      <c r="O316" s="69"/>
      <c r="P316" s="68"/>
    </row>
    <row r="317">
      <c r="O317" s="69"/>
      <c r="P317" s="68"/>
    </row>
    <row r="318">
      <c r="O318" s="69"/>
      <c r="P318" s="68"/>
    </row>
    <row r="319">
      <c r="O319" s="69"/>
      <c r="P319" s="68"/>
    </row>
    <row r="320">
      <c r="O320" s="69"/>
      <c r="P320" s="68"/>
    </row>
    <row r="321">
      <c r="O321" s="69"/>
      <c r="P321" s="68"/>
    </row>
    <row r="322">
      <c r="O322" s="69"/>
      <c r="P322" s="68"/>
    </row>
    <row r="323">
      <c r="O323" s="69"/>
      <c r="P323" s="68"/>
    </row>
    <row r="324">
      <c r="O324" s="69"/>
      <c r="P324" s="68"/>
    </row>
    <row r="325">
      <c r="O325" s="69"/>
      <c r="P325" s="68"/>
    </row>
    <row r="326">
      <c r="O326" s="69"/>
      <c r="P326" s="68"/>
    </row>
    <row r="327">
      <c r="O327" s="69"/>
      <c r="P327" s="68"/>
    </row>
    <row r="328">
      <c r="O328" s="69"/>
      <c r="P328" s="68"/>
    </row>
    <row r="329">
      <c r="O329" s="69"/>
      <c r="P329" s="68"/>
    </row>
    <row r="330">
      <c r="O330" s="69"/>
      <c r="P330" s="68"/>
    </row>
    <row r="331">
      <c r="O331" s="69"/>
      <c r="P331" s="68"/>
    </row>
    <row r="332">
      <c r="O332" s="69"/>
      <c r="P332" s="68"/>
    </row>
    <row r="333">
      <c r="O333" s="69"/>
      <c r="P333" s="68"/>
    </row>
    <row r="334">
      <c r="O334" s="69"/>
      <c r="P334" s="68"/>
    </row>
    <row r="335">
      <c r="O335" s="69"/>
      <c r="P335" s="68"/>
    </row>
    <row r="336">
      <c r="O336" s="69"/>
      <c r="P336" s="68"/>
    </row>
    <row r="337">
      <c r="O337" s="69"/>
      <c r="P337" s="68"/>
    </row>
    <row r="338">
      <c r="O338" s="69"/>
      <c r="P338" s="68"/>
    </row>
    <row r="339">
      <c r="O339" s="69"/>
      <c r="P339" s="68"/>
    </row>
    <row r="340">
      <c r="O340" s="69"/>
      <c r="P340" s="68"/>
    </row>
    <row r="341">
      <c r="O341" s="69"/>
      <c r="P341" s="68"/>
    </row>
    <row r="342">
      <c r="O342" s="69"/>
      <c r="P342" s="68"/>
    </row>
    <row r="343">
      <c r="O343" s="69"/>
      <c r="P343" s="68"/>
    </row>
    <row r="344">
      <c r="O344" s="69"/>
      <c r="P344" s="68"/>
    </row>
    <row r="345">
      <c r="O345" s="69"/>
      <c r="P345" s="68"/>
    </row>
    <row r="346">
      <c r="O346" s="69"/>
      <c r="P346" s="68"/>
    </row>
    <row r="347">
      <c r="O347" s="69"/>
      <c r="P347" s="68"/>
    </row>
    <row r="348">
      <c r="O348" s="69"/>
      <c r="P348" s="68"/>
    </row>
    <row r="349">
      <c r="O349" s="69"/>
      <c r="P349" s="68"/>
    </row>
    <row r="350">
      <c r="O350" s="69"/>
      <c r="P350" s="68"/>
    </row>
    <row r="351">
      <c r="O351" s="69"/>
      <c r="P351" s="68"/>
    </row>
    <row r="352">
      <c r="O352" s="69"/>
      <c r="P352" s="68"/>
    </row>
    <row r="353">
      <c r="O353" s="69"/>
      <c r="P353" s="68"/>
    </row>
    <row r="354">
      <c r="O354" s="69"/>
      <c r="P354" s="68"/>
    </row>
    <row r="355">
      <c r="O355" s="69"/>
      <c r="P355" s="68"/>
    </row>
    <row r="356">
      <c r="O356" s="69"/>
      <c r="P356" s="68"/>
    </row>
    <row r="357">
      <c r="O357" s="69"/>
      <c r="P357" s="68"/>
    </row>
    <row r="358">
      <c r="O358" s="69"/>
      <c r="P358" s="68"/>
    </row>
    <row r="359">
      <c r="O359" s="69"/>
      <c r="P359" s="68"/>
    </row>
    <row r="360">
      <c r="O360" s="69"/>
      <c r="P360" s="68"/>
    </row>
    <row r="361">
      <c r="O361" s="69"/>
      <c r="P361" s="68"/>
    </row>
    <row r="362">
      <c r="O362" s="69"/>
      <c r="P362" s="68"/>
    </row>
    <row r="363">
      <c r="O363" s="69"/>
      <c r="P363" s="68"/>
    </row>
    <row r="364">
      <c r="O364" s="69"/>
      <c r="P364" s="68"/>
    </row>
    <row r="365">
      <c r="O365" s="69"/>
      <c r="P365" s="68"/>
    </row>
    <row r="366">
      <c r="O366" s="69"/>
      <c r="P366" s="68"/>
    </row>
    <row r="367">
      <c r="O367" s="69"/>
      <c r="P367" s="68"/>
    </row>
    <row r="368">
      <c r="O368" s="69"/>
      <c r="P368" s="68"/>
    </row>
    <row r="369">
      <c r="O369" s="69"/>
      <c r="P369" s="68"/>
    </row>
    <row r="370">
      <c r="O370" s="69"/>
      <c r="P370" s="68"/>
    </row>
    <row r="371">
      <c r="O371" s="69"/>
      <c r="P371" s="68"/>
    </row>
    <row r="372">
      <c r="O372" s="69"/>
      <c r="P372" s="68"/>
    </row>
    <row r="373">
      <c r="O373" s="69"/>
      <c r="P373" s="68"/>
    </row>
    <row r="374">
      <c r="O374" s="69"/>
      <c r="P374" s="68"/>
    </row>
    <row r="375">
      <c r="O375" s="69"/>
      <c r="P375" s="68"/>
    </row>
    <row r="376">
      <c r="O376" s="69"/>
      <c r="P376" s="68"/>
    </row>
    <row r="377">
      <c r="O377" s="69"/>
      <c r="P377" s="68"/>
    </row>
    <row r="378">
      <c r="O378" s="69"/>
      <c r="P378" s="68"/>
    </row>
    <row r="379">
      <c r="O379" s="69"/>
      <c r="P379" s="68"/>
    </row>
    <row r="380">
      <c r="O380" s="69"/>
      <c r="P380" s="68"/>
    </row>
    <row r="381">
      <c r="O381" s="69"/>
      <c r="P381" s="68"/>
    </row>
    <row r="382">
      <c r="O382" s="69"/>
      <c r="P382" s="68"/>
    </row>
    <row r="383">
      <c r="O383" s="69"/>
      <c r="P383" s="68"/>
    </row>
    <row r="384">
      <c r="O384" s="69"/>
      <c r="P384" s="68"/>
    </row>
    <row r="385">
      <c r="O385" s="69"/>
      <c r="P385" s="68"/>
    </row>
    <row r="386">
      <c r="O386" s="69"/>
      <c r="P386" s="68"/>
    </row>
    <row r="387">
      <c r="O387" s="69"/>
      <c r="P387" s="68"/>
    </row>
    <row r="388">
      <c r="O388" s="69"/>
      <c r="P388" s="68"/>
    </row>
    <row r="389">
      <c r="O389" s="69"/>
      <c r="P389" s="68"/>
    </row>
    <row r="390">
      <c r="O390" s="69"/>
      <c r="P390" s="68"/>
    </row>
    <row r="391">
      <c r="O391" s="69"/>
      <c r="P391" s="68"/>
    </row>
    <row r="392">
      <c r="O392" s="69"/>
      <c r="P392" s="68"/>
    </row>
    <row r="393">
      <c r="O393" s="69"/>
      <c r="P393" s="68"/>
    </row>
    <row r="394">
      <c r="O394" s="69"/>
      <c r="P394" s="68"/>
    </row>
    <row r="395">
      <c r="O395" s="69"/>
      <c r="P395" s="68"/>
    </row>
    <row r="396">
      <c r="O396" s="69"/>
      <c r="P396" s="68"/>
    </row>
    <row r="397">
      <c r="O397" s="69"/>
      <c r="P397" s="68"/>
    </row>
    <row r="398">
      <c r="O398" s="69"/>
      <c r="P398" s="68"/>
    </row>
    <row r="399">
      <c r="O399" s="69"/>
      <c r="P399" s="68"/>
    </row>
    <row r="400">
      <c r="O400" s="69"/>
      <c r="P400" s="68"/>
    </row>
    <row r="401">
      <c r="O401" s="69"/>
      <c r="P401" s="68"/>
    </row>
    <row r="402">
      <c r="O402" s="69"/>
      <c r="P402" s="68"/>
    </row>
    <row r="403">
      <c r="O403" s="69"/>
      <c r="P403" s="68"/>
    </row>
    <row r="404">
      <c r="O404" s="69"/>
      <c r="P404" s="68"/>
    </row>
    <row r="405">
      <c r="O405" s="69"/>
      <c r="P405" s="68"/>
    </row>
    <row r="406">
      <c r="O406" s="69"/>
      <c r="P406" s="68"/>
    </row>
    <row r="407">
      <c r="O407" s="69"/>
      <c r="P407" s="68"/>
    </row>
    <row r="408">
      <c r="O408" s="69"/>
      <c r="P408" s="68"/>
    </row>
    <row r="409">
      <c r="O409" s="69"/>
      <c r="P409" s="68"/>
    </row>
    <row r="410">
      <c r="O410" s="69"/>
      <c r="P410" s="68"/>
    </row>
    <row r="411">
      <c r="O411" s="69"/>
      <c r="P411" s="68"/>
    </row>
    <row r="412">
      <c r="O412" s="69"/>
      <c r="P412" s="68"/>
    </row>
    <row r="413">
      <c r="O413" s="69"/>
      <c r="P413" s="68"/>
    </row>
    <row r="414">
      <c r="O414" s="69"/>
      <c r="P414" s="68"/>
    </row>
    <row r="415">
      <c r="O415" s="69"/>
      <c r="P415" s="68"/>
    </row>
    <row r="416">
      <c r="O416" s="69"/>
      <c r="P416" s="68"/>
    </row>
    <row r="417">
      <c r="O417" s="69"/>
      <c r="P417" s="68"/>
    </row>
    <row r="418">
      <c r="O418" s="69"/>
      <c r="P418" s="68"/>
    </row>
    <row r="419">
      <c r="O419" s="69"/>
      <c r="P419" s="68"/>
    </row>
    <row r="420">
      <c r="O420" s="69"/>
      <c r="P420" s="68"/>
    </row>
    <row r="421">
      <c r="O421" s="69"/>
      <c r="P421" s="68"/>
    </row>
    <row r="422">
      <c r="O422" s="69"/>
      <c r="P422" s="68"/>
    </row>
    <row r="423">
      <c r="O423" s="69"/>
      <c r="P423" s="68"/>
    </row>
    <row r="424">
      <c r="O424" s="69"/>
      <c r="P424" s="68"/>
    </row>
    <row r="425">
      <c r="O425" s="69"/>
      <c r="P425" s="68"/>
    </row>
    <row r="426">
      <c r="O426" s="69"/>
      <c r="P426" s="68"/>
    </row>
    <row r="427">
      <c r="O427" s="69"/>
      <c r="P427" s="68"/>
    </row>
    <row r="428">
      <c r="O428" s="69"/>
      <c r="P428" s="68"/>
    </row>
    <row r="429">
      <c r="O429" s="69"/>
      <c r="P429" s="68"/>
    </row>
    <row r="430">
      <c r="O430" s="69"/>
      <c r="P430" s="68"/>
    </row>
    <row r="431">
      <c r="O431" s="69"/>
      <c r="P431" s="68"/>
    </row>
    <row r="432">
      <c r="O432" s="69"/>
      <c r="P432" s="68"/>
    </row>
    <row r="433">
      <c r="O433" s="69"/>
      <c r="P433" s="68"/>
    </row>
    <row r="434">
      <c r="O434" s="69"/>
      <c r="P434" s="68"/>
    </row>
    <row r="435">
      <c r="O435" s="69"/>
      <c r="P435" s="68"/>
    </row>
    <row r="436">
      <c r="O436" s="69"/>
      <c r="P436" s="68"/>
    </row>
    <row r="437">
      <c r="O437" s="69"/>
      <c r="P437" s="68"/>
    </row>
    <row r="438">
      <c r="O438" s="69"/>
      <c r="P438" s="68"/>
    </row>
    <row r="439">
      <c r="O439" s="69"/>
      <c r="P439" s="68"/>
    </row>
    <row r="440">
      <c r="O440" s="69"/>
      <c r="P440" s="68"/>
    </row>
    <row r="441">
      <c r="O441" s="69"/>
      <c r="P441" s="68"/>
    </row>
    <row r="442">
      <c r="O442" s="69"/>
      <c r="P442" s="68"/>
    </row>
    <row r="443">
      <c r="O443" s="69"/>
      <c r="P443" s="68"/>
    </row>
    <row r="444">
      <c r="O444" s="69"/>
      <c r="P444" s="68"/>
    </row>
    <row r="445">
      <c r="O445" s="69"/>
      <c r="P445" s="68"/>
    </row>
    <row r="446">
      <c r="O446" s="69"/>
      <c r="P446" s="68"/>
    </row>
    <row r="447">
      <c r="O447" s="69"/>
      <c r="P447" s="68"/>
    </row>
    <row r="448">
      <c r="O448" s="69"/>
      <c r="P448" s="68"/>
    </row>
    <row r="449">
      <c r="O449" s="69"/>
      <c r="P449" s="68"/>
    </row>
    <row r="450">
      <c r="O450" s="69"/>
      <c r="P450" s="68"/>
    </row>
    <row r="451">
      <c r="O451" s="69"/>
      <c r="P451" s="68"/>
    </row>
    <row r="452">
      <c r="O452" s="69"/>
      <c r="P452" s="68"/>
    </row>
    <row r="453">
      <c r="O453" s="69"/>
      <c r="P453" s="68"/>
    </row>
    <row r="454">
      <c r="O454" s="69"/>
      <c r="P454" s="68"/>
    </row>
    <row r="455">
      <c r="O455" s="69"/>
      <c r="P455" s="68"/>
    </row>
    <row r="456">
      <c r="O456" s="69"/>
      <c r="P456" s="68"/>
    </row>
    <row r="457">
      <c r="O457" s="69"/>
      <c r="P457" s="68"/>
    </row>
    <row r="458">
      <c r="O458" s="69"/>
      <c r="P458" s="68"/>
    </row>
    <row r="459">
      <c r="O459" s="69"/>
      <c r="P459" s="68"/>
    </row>
    <row r="460">
      <c r="O460" s="69"/>
      <c r="P460" s="68"/>
    </row>
    <row r="461">
      <c r="O461" s="69"/>
      <c r="P461" s="68"/>
    </row>
    <row r="462">
      <c r="O462" s="69"/>
      <c r="P462" s="68"/>
    </row>
    <row r="463">
      <c r="O463" s="69"/>
      <c r="P463" s="68"/>
    </row>
    <row r="464">
      <c r="O464" s="69"/>
      <c r="P464" s="68"/>
    </row>
    <row r="465">
      <c r="O465" s="69"/>
      <c r="P465" s="68"/>
    </row>
    <row r="466">
      <c r="O466" s="69"/>
      <c r="P466" s="68"/>
    </row>
    <row r="467">
      <c r="O467" s="69"/>
      <c r="P467" s="68"/>
    </row>
    <row r="468">
      <c r="O468" s="69"/>
      <c r="P468" s="68"/>
    </row>
    <row r="469">
      <c r="O469" s="69"/>
      <c r="P469" s="68"/>
    </row>
    <row r="470">
      <c r="O470" s="69"/>
      <c r="P470" s="68"/>
    </row>
    <row r="471">
      <c r="O471" s="69"/>
      <c r="P471" s="68"/>
    </row>
    <row r="472">
      <c r="O472" s="69"/>
      <c r="P472" s="68"/>
    </row>
    <row r="473">
      <c r="O473" s="69"/>
      <c r="P473" s="68"/>
    </row>
    <row r="474">
      <c r="O474" s="69"/>
      <c r="P474" s="68"/>
    </row>
    <row r="475">
      <c r="O475" s="69"/>
      <c r="P475" s="68"/>
    </row>
    <row r="476">
      <c r="O476" s="69"/>
      <c r="P476" s="68"/>
    </row>
    <row r="477">
      <c r="O477" s="69"/>
      <c r="P477" s="68"/>
    </row>
    <row r="478">
      <c r="O478" s="69"/>
      <c r="P478" s="68"/>
    </row>
    <row r="479">
      <c r="O479" s="69"/>
      <c r="P479" s="68"/>
    </row>
    <row r="480">
      <c r="O480" s="69"/>
      <c r="P480" s="68"/>
    </row>
    <row r="481">
      <c r="O481" s="69"/>
      <c r="P481" s="68"/>
    </row>
    <row r="482">
      <c r="O482" s="69"/>
      <c r="P482" s="68"/>
    </row>
    <row r="483">
      <c r="O483" s="69"/>
      <c r="P483" s="68"/>
    </row>
    <row r="484">
      <c r="O484" s="69"/>
      <c r="P484" s="68"/>
    </row>
    <row r="485">
      <c r="O485" s="69"/>
      <c r="P485" s="68"/>
    </row>
    <row r="486">
      <c r="O486" s="69"/>
      <c r="P486" s="68"/>
    </row>
    <row r="487">
      <c r="O487" s="69"/>
      <c r="P487" s="68"/>
    </row>
    <row r="488">
      <c r="O488" s="69"/>
      <c r="P488" s="68"/>
    </row>
    <row r="489">
      <c r="O489" s="69"/>
      <c r="P489" s="68"/>
    </row>
    <row r="490">
      <c r="O490" s="69"/>
      <c r="P490" s="68"/>
    </row>
    <row r="491">
      <c r="O491" s="69"/>
      <c r="P491" s="68"/>
    </row>
    <row r="492">
      <c r="O492" s="69"/>
      <c r="P492" s="68"/>
    </row>
    <row r="493">
      <c r="O493" s="69"/>
      <c r="P493" s="68"/>
    </row>
    <row r="494">
      <c r="O494" s="69"/>
      <c r="P494" s="68"/>
    </row>
    <row r="495">
      <c r="O495" s="69"/>
      <c r="P495" s="68"/>
    </row>
    <row r="496">
      <c r="O496" s="69"/>
      <c r="P496" s="68"/>
    </row>
    <row r="497">
      <c r="O497" s="69"/>
      <c r="P497" s="68"/>
    </row>
    <row r="498">
      <c r="O498" s="69"/>
      <c r="P498" s="68"/>
    </row>
    <row r="499">
      <c r="O499" s="69"/>
      <c r="P499" s="68"/>
    </row>
    <row r="500">
      <c r="O500" s="69"/>
      <c r="P500" s="68"/>
    </row>
    <row r="501">
      <c r="O501" s="69"/>
      <c r="P501" s="68"/>
    </row>
    <row r="502">
      <c r="O502" s="69"/>
      <c r="P502" s="68"/>
    </row>
    <row r="503">
      <c r="O503" s="69"/>
      <c r="P503" s="68"/>
    </row>
    <row r="504">
      <c r="O504" s="69"/>
      <c r="P504" s="68"/>
    </row>
    <row r="505">
      <c r="O505" s="69"/>
      <c r="P505" s="68"/>
    </row>
    <row r="506">
      <c r="O506" s="69"/>
      <c r="P506" s="68"/>
    </row>
    <row r="507">
      <c r="O507" s="69"/>
      <c r="P507" s="68"/>
    </row>
    <row r="508">
      <c r="O508" s="69"/>
      <c r="P508" s="68"/>
    </row>
    <row r="509">
      <c r="O509" s="69"/>
      <c r="P509" s="68"/>
    </row>
    <row r="510">
      <c r="O510" s="69"/>
      <c r="P510" s="68"/>
    </row>
    <row r="511">
      <c r="O511" s="69"/>
      <c r="P511" s="68"/>
    </row>
    <row r="512">
      <c r="O512" s="69"/>
      <c r="P512" s="68"/>
    </row>
    <row r="513">
      <c r="O513" s="69"/>
      <c r="P513" s="68"/>
    </row>
    <row r="514">
      <c r="O514" s="69"/>
      <c r="P514" s="68"/>
    </row>
    <row r="515">
      <c r="O515" s="69"/>
      <c r="P515" s="68"/>
    </row>
    <row r="516">
      <c r="O516" s="69"/>
      <c r="P516" s="68"/>
    </row>
    <row r="517">
      <c r="O517" s="69"/>
      <c r="P517" s="68"/>
    </row>
    <row r="518">
      <c r="O518" s="69"/>
      <c r="P518" s="68"/>
    </row>
    <row r="519">
      <c r="O519" s="69"/>
      <c r="P519" s="68"/>
    </row>
    <row r="520">
      <c r="O520" s="69"/>
      <c r="P520" s="68"/>
    </row>
    <row r="521">
      <c r="O521" s="69"/>
      <c r="P521" s="68"/>
    </row>
    <row r="522">
      <c r="O522" s="69"/>
      <c r="P522" s="68"/>
    </row>
    <row r="523">
      <c r="O523" s="69"/>
      <c r="P523" s="68"/>
    </row>
    <row r="524">
      <c r="O524" s="69"/>
      <c r="P524" s="68"/>
    </row>
    <row r="525">
      <c r="O525" s="69"/>
      <c r="P525" s="68"/>
    </row>
    <row r="526">
      <c r="O526" s="69"/>
      <c r="P526" s="68"/>
    </row>
    <row r="527">
      <c r="O527" s="69"/>
      <c r="P527" s="68"/>
    </row>
    <row r="528">
      <c r="O528" s="69"/>
      <c r="P528" s="68"/>
    </row>
    <row r="529">
      <c r="O529" s="69"/>
      <c r="P529" s="68"/>
    </row>
    <row r="530">
      <c r="O530" s="69"/>
      <c r="P530" s="68"/>
    </row>
    <row r="531">
      <c r="O531" s="69"/>
      <c r="P531" s="68"/>
    </row>
    <row r="532">
      <c r="O532" s="69"/>
      <c r="P532" s="68"/>
    </row>
    <row r="533">
      <c r="O533" s="69"/>
      <c r="P533" s="68"/>
    </row>
    <row r="534">
      <c r="O534" s="69"/>
      <c r="P534" s="68"/>
    </row>
    <row r="535">
      <c r="O535" s="69"/>
      <c r="P535" s="68"/>
    </row>
    <row r="536">
      <c r="O536" s="69"/>
      <c r="P536" s="68"/>
    </row>
    <row r="537">
      <c r="O537" s="69"/>
      <c r="P537" s="68"/>
    </row>
    <row r="538">
      <c r="O538" s="69"/>
      <c r="P538" s="68"/>
    </row>
    <row r="539">
      <c r="O539" s="69"/>
      <c r="P539" s="68"/>
    </row>
    <row r="540">
      <c r="O540" s="69"/>
      <c r="P540" s="68"/>
    </row>
    <row r="541">
      <c r="O541" s="69"/>
      <c r="P541" s="68"/>
    </row>
    <row r="542">
      <c r="O542" s="69"/>
      <c r="P542" s="68"/>
    </row>
    <row r="543">
      <c r="O543" s="69"/>
      <c r="P543" s="68"/>
    </row>
    <row r="544">
      <c r="O544" s="69"/>
      <c r="P544" s="68"/>
    </row>
    <row r="545">
      <c r="O545" s="69"/>
      <c r="P545" s="68"/>
    </row>
    <row r="546">
      <c r="O546" s="69"/>
      <c r="P546" s="68"/>
    </row>
    <row r="547">
      <c r="O547" s="69"/>
      <c r="P547" s="68"/>
    </row>
    <row r="548">
      <c r="O548" s="69"/>
      <c r="P548" s="68"/>
    </row>
    <row r="549">
      <c r="O549" s="69"/>
      <c r="P549" s="68"/>
    </row>
    <row r="550">
      <c r="O550" s="69"/>
      <c r="P550" s="68"/>
    </row>
    <row r="551">
      <c r="O551" s="69"/>
      <c r="P551" s="68"/>
    </row>
    <row r="552">
      <c r="O552" s="69"/>
      <c r="P552" s="68"/>
    </row>
    <row r="553">
      <c r="O553" s="69"/>
      <c r="P553" s="68"/>
    </row>
    <row r="554">
      <c r="O554" s="69"/>
      <c r="P554" s="68"/>
    </row>
    <row r="555">
      <c r="O555" s="69"/>
      <c r="P555" s="68"/>
    </row>
    <row r="556">
      <c r="O556" s="69"/>
      <c r="P556" s="68"/>
    </row>
    <row r="557">
      <c r="O557" s="69"/>
      <c r="P557" s="68"/>
    </row>
    <row r="558">
      <c r="O558" s="69"/>
      <c r="P558" s="68"/>
    </row>
    <row r="559">
      <c r="O559" s="69"/>
      <c r="P559" s="68"/>
    </row>
    <row r="560">
      <c r="O560" s="69"/>
      <c r="P560" s="68"/>
    </row>
    <row r="561">
      <c r="O561" s="69"/>
      <c r="P561" s="68"/>
    </row>
    <row r="562">
      <c r="O562" s="69"/>
      <c r="P562" s="68"/>
    </row>
    <row r="563">
      <c r="O563" s="69"/>
      <c r="P563" s="68"/>
    </row>
    <row r="564">
      <c r="O564" s="69"/>
      <c r="P564" s="68"/>
    </row>
    <row r="565">
      <c r="O565" s="69"/>
      <c r="P565" s="68"/>
    </row>
    <row r="566">
      <c r="O566" s="69"/>
      <c r="P566" s="68"/>
    </row>
    <row r="567">
      <c r="O567" s="69"/>
      <c r="P567" s="68"/>
    </row>
    <row r="568">
      <c r="O568" s="69"/>
      <c r="P568" s="68"/>
    </row>
    <row r="569">
      <c r="O569" s="69"/>
      <c r="P569" s="68"/>
    </row>
    <row r="570">
      <c r="O570" s="69"/>
      <c r="P570" s="68"/>
    </row>
    <row r="571">
      <c r="O571" s="69"/>
      <c r="P571" s="68"/>
    </row>
    <row r="572">
      <c r="O572" s="69"/>
      <c r="P572" s="68"/>
    </row>
    <row r="573">
      <c r="O573" s="69"/>
      <c r="P573" s="68"/>
    </row>
    <row r="574">
      <c r="O574" s="69"/>
      <c r="P574" s="68"/>
    </row>
    <row r="575">
      <c r="O575" s="69"/>
      <c r="P575" s="68"/>
    </row>
    <row r="576">
      <c r="O576" s="69"/>
      <c r="P576" s="68"/>
    </row>
    <row r="577">
      <c r="O577" s="69"/>
      <c r="P577" s="68"/>
    </row>
    <row r="578">
      <c r="O578" s="69"/>
      <c r="P578" s="68"/>
    </row>
    <row r="579">
      <c r="O579" s="69"/>
      <c r="P579" s="68"/>
    </row>
    <row r="580">
      <c r="O580" s="69"/>
      <c r="P580" s="68"/>
    </row>
    <row r="581">
      <c r="O581" s="69"/>
      <c r="P581" s="68"/>
    </row>
    <row r="582">
      <c r="O582" s="69"/>
      <c r="P582" s="68"/>
    </row>
    <row r="583">
      <c r="O583" s="69"/>
      <c r="P583" s="68"/>
    </row>
    <row r="584">
      <c r="O584" s="69"/>
      <c r="P584" s="68"/>
    </row>
    <row r="585">
      <c r="O585" s="69"/>
      <c r="P585" s="68"/>
    </row>
    <row r="586">
      <c r="O586" s="69"/>
      <c r="P586" s="68"/>
    </row>
    <row r="587">
      <c r="O587" s="69"/>
      <c r="P587" s="68"/>
    </row>
    <row r="588">
      <c r="O588" s="69"/>
      <c r="P588" s="68"/>
    </row>
    <row r="589">
      <c r="O589" s="69"/>
      <c r="P589" s="68"/>
    </row>
    <row r="590">
      <c r="O590" s="69"/>
      <c r="P590" s="68"/>
    </row>
    <row r="591">
      <c r="O591" s="69"/>
      <c r="P591" s="68"/>
    </row>
    <row r="592">
      <c r="O592" s="69"/>
      <c r="P592" s="68"/>
    </row>
    <row r="593">
      <c r="O593" s="69"/>
      <c r="P593" s="68"/>
    </row>
    <row r="594">
      <c r="O594" s="69"/>
      <c r="P594" s="68"/>
    </row>
    <row r="595">
      <c r="O595" s="69"/>
      <c r="P595" s="68"/>
    </row>
    <row r="596">
      <c r="O596" s="69"/>
      <c r="P596" s="68"/>
    </row>
    <row r="597">
      <c r="O597" s="69"/>
      <c r="P597" s="68"/>
    </row>
    <row r="598">
      <c r="O598" s="69"/>
      <c r="P598" s="68"/>
    </row>
    <row r="599">
      <c r="O599" s="69"/>
      <c r="P599" s="68"/>
    </row>
    <row r="600">
      <c r="O600" s="69"/>
      <c r="P600" s="68"/>
    </row>
    <row r="601">
      <c r="O601" s="69"/>
      <c r="P601" s="68"/>
    </row>
    <row r="602">
      <c r="O602" s="69"/>
      <c r="P602" s="68"/>
    </row>
    <row r="603">
      <c r="O603" s="69"/>
      <c r="P603" s="68"/>
    </row>
    <row r="604">
      <c r="O604" s="69"/>
      <c r="P604" s="68"/>
    </row>
    <row r="605">
      <c r="O605" s="69"/>
      <c r="P605" s="68"/>
    </row>
    <row r="606">
      <c r="O606" s="69"/>
      <c r="P606" s="68"/>
    </row>
    <row r="607">
      <c r="O607" s="69"/>
      <c r="P607" s="68"/>
    </row>
    <row r="608">
      <c r="O608" s="69"/>
      <c r="P608" s="68"/>
    </row>
    <row r="609">
      <c r="O609" s="69"/>
      <c r="P609" s="68"/>
    </row>
    <row r="610">
      <c r="O610" s="69"/>
      <c r="P610" s="68"/>
    </row>
    <row r="611">
      <c r="O611" s="69"/>
      <c r="P611" s="68"/>
    </row>
    <row r="612">
      <c r="O612" s="69"/>
      <c r="P612" s="68"/>
    </row>
    <row r="613">
      <c r="O613" s="69"/>
      <c r="P613" s="68"/>
    </row>
    <row r="614">
      <c r="O614" s="69"/>
      <c r="P614" s="68"/>
    </row>
    <row r="615">
      <c r="O615" s="69"/>
      <c r="P615" s="68"/>
    </row>
    <row r="616">
      <c r="O616" s="69"/>
      <c r="P616" s="68"/>
    </row>
    <row r="617">
      <c r="O617" s="69"/>
      <c r="P617" s="68"/>
    </row>
    <row r="618">
      <c r="O618" s="69"/>
      <c r="P618" s="68"/>
    </row>
    <row r="619">
      <c r="O619" s="69"/>
      <c r="P619" s="68"/>
    </row>
    <row r="620">
      <c r="O620" s="69"/>
      <c r="P620" s="68"/>
    </row>
    <row r="621">
      <c r="O621" s="69"/>
      <c r="P621" s="68"/>
    </row>
    <row r="622">
      <c r="O622" s="69"/>
      <c r="P622" s="68"/>
    </row>
    <row r="623">
      <c r="O623" s="69"/>
      <c r="P623" s="68"/>
    </row>
    <row r="624">
      <c r="O624" s="69"/>
      <c r="P624" s="68"/>
    </row>
    <row r="625">
      <c r="O625" s="69"/>
      <c r="P625" s="68"/>
    </row>
    <row r="626">
      <c r="O626" s="69"/>
      <c r="P626" s="68"/>
    </row>
    <row r="627">
      <c r="O627" s="69"/>
      <c r="P627" s="68"/>
    </row>
    <row r="628">
      <c r="O628" s="69"/>
      <c r="P628" s="68"/>
    </row>
    <row r="629">
      <c r="O629" s="69"/>
      <c r="P629" s="68"/>
    </row>
    <row r="630">
      <c r="O630" s="69"/>
      <c r="P630" s="68"/>
    </row>
    <row r="631">
      <c r="O631" s="69"/>
      <c r="P631" s="68"/>
    </row>
    <row r="632">
      <c r="O632" s="69"/>
      <c r="P632" s="68"/>
    </row>
    <row r="633">
      <c r="O633" s="69"/>
      <c r="P633" s="68"/>
    </row>
    <row r="634">
      <c r="O634" s="69"/>
      <c r="P634" s="68"/>
    </row>
    <row r="635">
      <c r="O635" s="69"/>
      <c r="P635" s="68"/>
    </row>
    <row r="636">
      <c r="O636" s="69"/>
      <c r="P636" s="68"/>
    </row>
    <row r="637">
      <c r="O637" s="69"/>
      <c r="P637" s="68"/>
    </row>
    <row r="638">
      <c r="O638" s="69"/>
      <c r="P638" s="68"/>
    </row>
    <row r="639">
      <c r="O639" s="69"/>
      <c r="P639" s="68"/>
    </row>
    <row r="640">
      <c r="O640" s="69"/>
      <c r="P640" s="68"/>
    </row>
    <row r="641">
      <c r="O641" s="69"/>
      <c r="P641" s="68"/>
    </row>
    <row r="642">
      <c r="O642" s="69"/>
      <c r="P642" s="68"/>
    </row>
    <row r="643">
      <c r="O643" s="69"/>
      <c r="P643" s="68"/>
    </row>
    <row r="644">
      <c r="O644" s="69"/>
      <c r="P644" s="68"/>
    </row>
    <row r="645">
      <c r="O645" s="69"/>
      <c r="P645" s="68"/>
    </row>
    <row r="646">
      <c r="O646" s="69"/>
      <c r="P646" s="68"/>
    </row>
    <row r="647">
      <c r="O647" s="69"/>
      <c r="P647" s="68"/>
    </row>
    <row r="648">
      <c r="O648" s="69"/>
      <c r="P648" s="68"/>
    </row>
    <row r="649">
      <c r="O649" s="69"/>
      <c r="P649" s="68"/>
    </row>
    <row r="650">
      <c r="O650" s="69"/>
      <c r="P650" s="68"/>
    </row>
    <row r="651">
      <c r="O651" s="69"/>
      <c r="P651" s="68"/>
    </row>
    <row r="652">
      <c r="O652" s="69"/>
      <c r="P652" s="68"/>
    </row>
    <row r="653">
      <c r="O653" s="69"/>
      <c r="P653" s="68"/>
    </row>
    <row r="654">
      <c r="O654" s="69"/>
      <c r="P654" s="68"/>
    </row>
    <row r="655">
      <c r="O655" s="69"/>
      <c r="P655" s="68"/>
    </row>
    <row r="656">
      <c r="O656" s="69"/>
      <c r="P656" s="68"/>
    </row>
    <row r="657">
      <c r="O657" s="69"/>
      <c r="P657" s="68"/>
    </row>
    <row r="658">
      <c r="O658" s="69"/>
      <c r="P658" s="68"/>
    </row>
    <row r="659">
      <c r="O659" s="69"/>
      <c r="P659" s="68"/>
    </row>
    <row r="660">
      <c r="O660" s="69"/>
      <c r="P660" s="68"/>
    </row>
    <row r="661">
      <c r="O661" s="69"/>
      <c r="P661" s="68"/>
    </row>
    <row r="662">
      <c r="O662" s="69"/>
      <c r="P662" s="68"/>
    </row>
    <row r="663">
      <c r="O663" s="69"/>
      <c r="P663" s="68"/>
    </row>
    <row r="664">
      <c r="O664" s="69"/>
      <c r="P664" s="68"/>
    </row>
    <row r="665">
      <c r="O665" s="69"/>
      <c r="P665" s="68"/>
    </row>
    <row r="666">
      <c r="O666" s="69"/>
      <c r="P666" s="68"/>
    </row>
    <row r="667">
      <c r="O667" s="69"/>
      <c r="P667" s="68"/>
    </row>
    <row r="668">
      <c r="O668" s="69"/>
      <c r="P668" s="68"/>
    </row>
    <row r="669">
      <c r="O669" s="69"/>
      <c r="P669" s="68"/>
    </row>
    <row r="670">
      <c r="O670" s="69"/>
      <c r="P670" s="68"/>
    </row>
    <row r="671">
      <c r="O671" s="69"/>
      <c r="P671" s="68"/>
    </row>
    <row r="672">
      <c r="O672" s="69"/>
      <c r="P672" s="68"/>
    </row>
    <row r="673">
      <c r="O673" s="69"/>
      <c r="P673" s="68"/>
    </row>
    <row r="674">
      <c r="O674" s="69"/>
      <c r="P674" s="68"/>
    </row>
    <row r="675">
      <c r="O675" s="69"/>
      <c r="P675" s="68"/>
    </row>
    <row r="676">
      <c r="O676" s="69"/>
      <c r="P676" s="68"/>
    </row>
    <row r="677">
      <c r="O677" s="69"/>
      <c r="P677" s="68"/>
    </row>
    <row r="678">
      <c r="O678" s="69"/>
      <c r="P678" s="68"/>
    </row>
    <row r="679">
      <c r="O679" s="69"/>
      <c r="P679" s="68"/>
    </row>
    <row r="680">
      <c r="O680" s="69"/>
      <c r="P680" s="68"/>
    </row>
    <row r="681">
      <c r="O681" s="69"/>
      <c r="P681" s="68"/>
    </row>
    <row r="682">
      <c r="O682" s="69"/>
      <c r="P682" s="68"/>
    </row>
    <row r="683">
      <c r="O683" s="69"/>
      <c r="P683" s="68"/>
    </row>
    <row r="684">
      <c r="O684" s="69"/>
      <c r="P684" s="68"/>
    </row>
    <row r="685">
      <c r="O685" s="69"/>
      <c r="P685" s="68"/>
    </row>
    <row r="686">
      <c r="O686" s="69"/>
      <c r="P686" s="68"/>
    </row>
    <row r="687">
      <c r="O687" s="69"/>
      <c r="P687" s="68"/>
    </row>
    <row r="688">
      <c r="O688" s="69"/>
      <c r="P688" s="68"/>
    </row>
    <row r="689">
      <c r="O689" s="69"/>
      <c r="P689" s="68"/>
    </row>
    <row r="690">
      <c r="O690" s="69"/>
      <c r="P690" s="68"/>
    </row>
    <row r="691">
      <c r="O691" s="69"/>
      <c r="P691" s="68"/>
    </row>
    <row r="692">
      <c r="O692" s="69"/>
      <c r="P692" s="68"/>
    </row>
    <row r="693">
      <c r="O693" s="69"/>
      <c r="P693" s="68"/>
    </row>
    <row r="694">
      <c r="O694" s="69"/>
      <c r="P694" s="68"/>
    </row>
    <row r="695">
      <c r="O695" s="69"/>
      <c r="P695" s="68"/>
    </row>
    <row r="696">
      <c r="O696" s="69"/>
      <c r="P696" s="68"/>
    </row>
    <row r="697">
      <c r="O697" s="69"/>
      <c r="P697" s="68"/>
    </row>
    <row r="698">
      <c r="O698" s="69"/>
      <c r="P698" s="68"/>
    </row>
    <row r="699">
      <c r="O699" s="69"/>
      <c r="P699" s="68"/>
    </row>
    <row r="700">
      <c r="O700" s="69"/>
      <c r="P700" s="68"/>
    </row>
    <row r="701">
      <c r="O701" s="69"/>
      <c r="P701" s="68"/>
    </row>
    <row r="702">
      <c r="O702" s="69"/>
      <c r="P702" s="68"/>
    </row>
    <row r="703">
      <c r="O703" s="69"/>
      <c r="P703" s="68"/>
    </row>
    <row r="704">
      <c r="O704" s="69"/>
      <c r="P704" s="68"/>
    </row>
    <row r="705">
      <c r="O705" s="69"/>
      <c r="P705" s="68"/>
    </row>
    <row r="706">
      <c r="O706" s="69"/>
      <c r="P706" s="68"/>
    </row>
    <row r="707">
      <c r="O707" s="69"/>
      <c r="P707" s="68"/>
    </row>
    <row r="708">
      <c r="O708" s="69"/>
      <c r="P708" s="68"/>
    </row>
    <row r="709">
      <c r="O709" s="69"/>
      <c r="P709" s="68"/>
    </row>
    <row r="710">
      <c r="O710" s="69"/>
      <c r="P710" s="68"/>
    </row>
    <row r="711">
      <c r="O711" s="69"/>
      <c r="P711" s="68"/>
    </row>
    <row r="712">
      <c r="O712" s="69"/>
      <c r="P712" s="68"/>
    </row>
    <row r="713">
      <c r="O713" s="69"/>
      <c r="P713" s="68"/>
    </row>
    <row r="714">
      <c r="O714" s="69"/>
      <c r="P714" s="68"/>
    </row>
    <row r="715">
      <c r="O715" s="69"/>
      <c r="P715" s="68"/>
    </row>
    <row r="716">
      <c r="O716" s="69"/>
      <c r="P716" s="68"/>
    </row>
    <row r="717">
      <c r="O717" s="69"/>
      <c r="P717" s="68"/>
    </row>
    <row r="718">
      <c r="O718" s="69"/>
      <c r="P718" s="68"/>
    </row>
    <row r="719">
      <c r="O719" s="69"/>
      <c r="P719" s="68"/>
    </row>
    <row r="720">
      <c r="O720" s="69"/>
      <c r="P720" s="68"/>
    </row>
    <row r="721">
      <c r="O721" s="69"/>
      <c r="P721" s="68"/>
    </row>
    <row r="722">
      <c r="O722" s="69"/>
      <c r="P722" s="68"/>
    </row>
    <row r="723">
      <c r="O723" s="69"/>
      <c r="P723" s="68"/>
    </row>
    <row r="724">
      <c r="O724" s="69"/>
      <c r="P724" s="68"/>
    </row>
    <row r="725">
      <c r="O725" s="69"/>
      <c r="P725" s="68"/>
    </row>
    <row r="726">
      <c r="O726" s="69"/>
      <c r="P726" s="68"/>
    </row>
    <row r="727">
      <c r="O727" s="69"/>
      <c r="P727" s="68"/>
    </row>
    <row r="728">
      <c r="O728" s="69"/>
      <c r="P728" s="68"/>
    </row>
    <row r="729">
      <c r="O729" s="69"/>
      <c r="P729" s="68"/>
    </row>
    <row r="730">
      <c r="O730" s="69"/>
      <c r="P730" s="68"/>
    </row>
    <row r="731">
      <c r="O731" s="69"/>
      <c r="P731" s="68"/>
    </row>
    <row r="732">
      <c r="O732" s="69"/>
      <c r="P732" s="68"/>
    </row>
    <row r="733">
      <c r="O733" s="69"/>
      <c r="P733" s="68"/>
    </row>
    <row r="734">
      <c r="O734" s="69"/>
      <c r="P734" s="68"/>
    </row>
    <row r="735">
      <c r="O735" s="69"/>
      <c r="P735" s="68"/>
    </row>
    <row r="736">
      <c r="O736" s="69"/>
      <c r="P736" s="68"/>
    </row>
    <row r="737">
      <c r="O737" s="69"/>
      <c r="P737" s="68"/>
    </row>
    <row r="738">
      <c r="O738" s="69"/>
      <c r="P738" s="68"/>
    </row>
    <row r="739">
      <c r="O739" s="69"/>
      <c r="P739" s="68"/>
    </row>
    <row r="740">
      <c r="O740" s="69"/>
      <c r="P740" s="68"/>
    </row>
    <row r="741">
      <c r="O741" s="69"/>
      <c r="P741" s="68"/>
    </row>
    <row r="742">
      <c r="O742" s="69"/>
      <c r="P742" s="68"/>
    </row>
    <row r="743">
      <c r="O743" s="69"/>
      <c r="P743" s="68"/>
    </row>
    <row r="744">
      <c r="O744" s="69"/>
      <c r="P744" s="68"/>
    </row>
    <row r="745">
      <c r="O745" s="69"/>
      <c r="P745" s="68"/>
    </row>
    <row r="746">
      <c r="O746" s="69"/>
      <c r="P746" s="68"/>
    </row>
    <row r="747">
      <c r="O747" s="69"/>
      <c r="P747" s="68"/>
    </row>
    <row r="748">
      <c r="O748" s="69"/>
      <c r="P748" s="68"/>
    </row>
    <row r="749">
      <c r="O749" s="69"/>
      <c r="P749" s="68"/>
    </row>
    <row r="750">
      <c r="O750" s="69"/>
      <c r="P750" s="68"/>
    </row>
    <row r="751">
      <c r="O751" s="69"/>
      <c r="P751" s="68"/>
    </row>
    <row r="752">
      <c r="O752" s="69"/>
      <c r="P752" s="68"/>
    </row>
    <row r="753">
      <c r="O753" s="69"/>
      <c r="P753" s="68"/>
    </row>
    <row r="754">
      <c r="O754" s="69"/>
      <c r="P754" s="68"/>
    </row>
    <row r="755">
      <c r="O755" s="69"/>
      <c r="P755" s="68"/>
    </row>
    <row r="756">
      <c r="O756" s="69"/>
      <c r="P756" s="68"/>
    </row>
    <row r="757">
      <c r="O757" s="69"/>
      <c r="P757" s="68"/>
    </row>
    <row r="758">
      <c r="O758" s="69"/>
      <c r="P758" s="68"/>
    </row>
    <row r="759">
      <c r="O759" s="69"/>
      <c r="P759" s="68"/>
    </row>
    <row r="760">
      <c r="O760" s="69"/>
      <c r="P760" s="68"/>
    </row>
    <row r="761">
      <c r="O761" s="69"/>
      <c r="P761" s="68"/>
    </row>
    <row r="762">
      <c r="O762" s="69"/>
      <c r="P762" s="68"/>
    </row>
    <row r="763">
      <c r="O763" s="69"/>
      <c r="P763" s="68"/>
    </row>
    <row r="764">
      <c r="O764" s="69"/>
      <c r="P764" s="68"/>
    </row>
    <row r="765">
      <c r="O765" s="69"/>
      <c r="P765" s="68"/>
    </row>
    <row r="766">
      <c r="O766" s="69"/>
      <c r="P766" s="68"/>
    </row>
    <row r="767">
      <c r="O767" s="69"/>
      <c r="P767" s="68"/>
    </row>
    <row r="768">
      <c r="O768" s="69"/>
      <c r="P768" s="68"/>
    </row>
    <row r="769">
      <c r="O769" s="69"/>
      <c r="P769" s="68"/>
    </row>
    <row r="770">
      <c r="O770" s="69"/>
      <c r="P770" s="68"/>
    </row>
    <row r="771">
      <c r="O771" s="69"/>
      <c r="P771" s="68"/>
    </row>
    <row r="772">
      <c r="O772" s="69"/>
      <c r="P772" s="68"/>
    </row>
    <row r="773">
      <c r="O773" s="69"/>
      <c r="P773" s="68"/>
    </row>
    <row r="774">
      <c r="O774" s="69"/>
      <c r="P774" s="68"/>
    </row>
    <row r="775">
      <c r="O775" s="69"/>
      <c r="P775" s="68"/>
    </row>
    <row r="776">
      <c r="O776" s="69"/>
      <c r="P776" s="68"/>
    </row>
    <row r="777">
      <c r="O777" s="69"/>
      <c r="P777" s="68"/>
    </row>
    <row r="778">
      <c r="O778" s="69"/>
      <c r="P778" s="68"/>
    </row>
    <row r="779">
      <c r="O779" s="69"/>
      <c r="P779" s="68"/>
    </row>
    <row r="780">
      <c r="O780" s="69"/>
      <c r="P780" s="68"/>
    </row>
    <row r="781">
      <c r="O781" s="69"/>
      <c r="P781" s="68"/>
    </row>
    <row r="782">
      <c r="O782" s="69"/>
      <c r="P782" s="68"/>
    </row>
    <row r="783">
      <c r="O783" s="69"/>
      <c r="P783" s="68"/>
    </row>
    <row r="784">
      <c r="O784" s="69"/>
      <c r="P784" s="68"/>
    </row>
    <row r="785">
      <c r="O785" s="69"/>
      <c r="P785" s="68"/>
    </row>
    <row r="786">
      <c r="O786" s="69"/>
      <c r="P786" s="68"/>
    </row>
    <row r="787">
      <c r="O787" s="69"/>
      <c r="P787" s="68"/>
    </row>
    <row r="788">
      <c r="O788" s="69"/>
      <c r="P788" s="68"/>
    </row>
    <row r="789">
      <c r="O789" s="69"/>
      <c r="P789" s="68"/>
    </row>
    <row r="790">
      <c r="O790" s="69"/>
      <c r="P790" s="68"/>
    </row>
    <row r="791">
      <c r="O791" s="69"/>
      <c r="P791" s="68"/>
    </row>
    <row r="792">
      <c r="O792" s="69"/>
      <c r="P792" s="68"/>
    </row>
    <row r="793">
      <c r="O793" s="69"/>
      <c r="P793" s="68"/>
    </row>
    <row r="794">
      <c r="O794" s="69"/>
      <c r="P794" s="68"/>
    </row>
    <row r="795">
      <c r="O795" s="69"/>
      <c r="P795" s="68"/>
    </row>
    <row r="796">
      <c r="O796" s="69"/>
      <c r="P796" s="68"/>
    </row>
    <row r="797">
      <c r="O797" s="69"/>
      <c r="P797" s="68"/>
    </row>
    <row r="798">
      <c r="O798" s="69"/>
      <c r="P798" s="68"/>
    </row>
    <row r="799">
      <c r="O799" s="69"/>
      <c r="P799" s="68"/>
    </row>
    <row r="800">
      <c r="O800" s="69"/>
      <c r="P800" s="68"/>
    </row>
    <row r="801">
      <c r="O801" s="69"/>
      <c r="P801" s="68"/>
    </row>
    <row r="802">
      <c r="O802" s="69"/>
      <c r="P802" s="68"/>
    </row>
    <row r="803">
      <c r="O803" s="69"/>
      <c r="P803" s="68"/>
    </row>
    <row r="804">
      <c r="O804" s="69"/>
      <c r="P804" s="68"/>
    </row>
    <row r="805">
      <c r="O805" s="69"/>
      <c r="P805" s="68"/>
    </row>
    <row r="806">
      <c r="O806" s="69"/>
      <c r="P806" s="68"/>
    </row>
    <row r="807">
      <c r="O807" s="69"/>
      <c r="P807" s="68"/>
    </row>
    <row r="808">
      <c r="O808" s="69"/>
      <c r="P808" s="68"/>
    </row>
    <row r="809">
      <c r="O809" s="69"/>
      <c r="P809" s="68"/>
    </row>
    <row r="810">
      <c r="O810" s="69"/>
      <c r="P810" s="68"/>
    </row>
    <row r="811">
      <c r="O811" s="69"/>
      <c r="P811" s="68"/>
    </row>
    <row r="812">
      <c r="O812" s="69"/>
      <c r="P812" s="68"/>
    </row>
    <row r="813">
      <c r="O813" s="69"/>
      <c r="P813" s="68"/>
    </row>
    <row r="814">
      <c r="O814" s="69"/>
      <c r="P814" s="68"/>
    </row>
    <row r="815">
      <c r="O815" s="69"/>
      <c r="P815" s="68"/>
    </row>
    <row r="816">
      <c r="O816" s="69"/>
      <c r="P816" s="68"/>
    </row>
    <row r="817">
      <c r="O817" s="69"/>
      <c r="P817" s="68"/>
    </row>
    <row r="818">
      <c r="O818" s="69"/>
      <c r="P818" s="68"/>
    </row>
    <row r="819">
      <c r="O819" s="69"/>
      <c r="P819" s="68"/>
    </row>
    <row r="820">
      <c r="O820" s="69"/>
      <c r="P820" s="68"/>
    </row>
    <row r="821">
      <c r="O821" s="69"/>
      <c r="P821" s="68"/>
    </row>
    <row r="822">
      <c r="O822" s="69"/>
      <c r="P822" s="68"/>
    </row>
    <row r="823">
      <c r="O823" s="69"/>
      <c r="P823" s="68"/>
    </row>
    <row r="824">
      <c r="O824" s="69"/>
      <c r="P824" s="68"/>
    </row>
    <row r="825">
      <c r="O825" s="69"/>
      <c r="P825" s="68"/>
    </row>
    <row r="826">
      <c r="O826" s="69"/>
      <c r="P826" s="68"/>
    </row>
    <row r="827">
      <c r="O827" s="69"/>
      <c r="P827" s="68"/>
    </row>
    <row r="828">
      <c r="O828" s="69"/>
      <c r="P828" s="68"/>
    </row>
    <row r="829">
      <c r="O829" s="69"/>
      <c r="P829" s="68"/>
    </row>
    <row r="830">
      <c r="O830" s="69"/>
      <c r="P830" s="68"/>
    </row>
    <row r="831">
      <c r="O831" s="69"/>
      <c r="P831" s="68"/>
    </row>
    <row r="832">
      <c r="O832" s="69"/>
      <c r="P832" s="68"/>
    </row>
    <row r="833">
      <c r="O833" s="69"/>
      <c r="P833" s="68"/>
    </row>
    <row r="834">
      <c r="O834" s="69"/>
      <c r="P834" s="68"/>
    </row>
    <row r="835">
      <c r="O835" s="69"/>
      <c r="P835" s="68"/>
    </row>
    <row r="836">
      <c r="O836" s="69"/>
      <c r="P836" s="68"/>
    </row>
    <row r="837">
      <c r="O837" s="69"/>
      <c r="P837" s="68"/>
    </row>
    <row r="838">
      <c r="O838" s="69"/>
      <c r="P838" s="68"/>
    </row>
    <row r="839">
      <c r="O839" s="69"/>
      <c r="P839" s="68"/>
    </row>
    <row r="840">
      <c r="O840" s="69"/>
      <c r="P840" s="68"/>
    </row>
    <row r="841">
      <c r="O841" s="69"/>
      <c r="P841" s="68"/>
    </row>
    <row r="842">
      <c r="O842" s="69"/>
      <c r="P842" s="68"/>
    </row>
    <row r="843">
      <c r="O843" s="69"/>
      <c r="P843" s="68"/>
    </row>
    <row r="844">
      <c r="O844" s="69"/>
      <c r="P844" s="68"/>
    </row>
    <row r="845">
      <c r="O845" s="69"/>
      <c r="P845" s="68"/>
    </row>
    <row r="846">
      <c r="O846" s="69"/>
      <c r="P846" s="68"/>
    </row>
    <row r="847">
      <c r="O847" s="69"/>
      <c r="P847" s="68"/>
    </row>
    <row r="848">
      <c r="O848" s="69"/>
      <c r="P848" s="68"/>
    </row>
    <row r="849">
      <c r="O849" s="69"/>
      <c r="P849" s="68"/>
    </row>
    <row r="850">
      <c r="O850" s="69"/>
      <c r="P850" s="68"/>
    </row>
    <row r="851">
      <c r="O851" s="69"/>
      <c r="P851" s="68"/>
    </row>
    <row r="852">
      <c r="O852" s="69"/>
      <c r="P852" s="68"/>
    </row>
    <row r="853">
      <c r="O853" s="69"/>
      <c r="P853" s="68"/>
    </row>
    <row r="854">
      <c r="O854" s="69"/>
      <c r="P854" s="68"/>
    </row>
    <row r="855">
      <c r="O855" s="69"/>
      <c r="P855" s="68"/>
    </row>
    <row r="856">
      <c r="O856" s="69"/>
      <c r="P856" s="68"/>
    </row>
    <row r="857">
      <c r="O857" s="69"/>
      <c r="P857" s="68"/>
    </row>
    <row r="858">
      <c r="O858" s="69"/>
      <c r="P858" s="68"/>
    </row>
    <row r="859">
      <c r="O859" s="69"/>
      <c r="P859" s="68"/>
    </row>
    <row r="860">
      <c r="O860" s="69"/>
      <c r="P860" s="68"/>
    </row>
    <row r="861">
      <c r="O861" s="69"/>
      <c r="P861" s="68"/>
    </row>
    <row r="862">
      <c r="O862" s="69"/>
      <c r="P862" s="68"/>
    </row>
    <row r="863">
      <c r="O863" s="69"/>
      <c r="P863" s="68"/>
    </row>
    <row r="864">
      <c r="O864" s="69"/>
      <c r="P864" s="68"/>
    </row>
    <row r="865">
      <c r="O865" s="69"/>
      <c r="P865" s="68"/>
    </row>
    <row r="866">
      <c r="O866" s="69"/>
      <c r="P866" s="68"/>
    </row>
    <row r="867">
      <c r="O867" s="69"/>
      <c r="P867" s="68"/>
    </row>
    <row r="868">
      <c r="O868" s="69"/>
      <c r="P868" s="68"/>
    </row>
    <row r="869">
      <c r="O869" s="69"/>
      <c r="P869" s="68"/>
    </row>
    <row r="870">
      <c r="O870" s="69"/>
      <c r="P870" s="68"/>
    </row>
    <row r="871">
      <c r="O871" s="69"/>
      <c r="P871" s="68"/>
    </row>
    <row r="872">
      <c r="O872" s="69"/>
      <c r="P872" s="68"/>
    </row>
    <row r="873">
      <c r="O873" s="69"/>
      <c r="P873" s="68"/>
    </row>
    <row r="874">
      <c r="O874" s="69"/>
      <c r="P874" s="68"/>
    </row>
    <row r="875">
      <c r="O875" s="69"/>
      <c r="P875" s="68"/>
    </row>
    <row r="876">
      <c r="O876" s="69"/>
      <c r="P876" s="68"/>
    </row>
    <row r="877">
      <c r="O877" s="69"/>
      <c r="P877" s="68"/>
    </row>
    <row r="878">
      <c r="O878" s="69"/>
      <c r="P878" s="68"/>
    </row>
    <row r="879">
      <c r="O879" s="69"/>
      <c r="P879" s="68"/>
    </row>
    <row r="880">
      <c r="O880" s="69"/>
      <c r="P880" s="68"/>
    </row>
    <row r="881">
      <c r="O881" s="69"/>
      <c r="P881" s="68"/>
    </row>
    <row r="882">
      <c r="O882" s="69"/>
      <c r="P882" s="68"/>
    </row>
    <row r="883">
      <c r="O883" s="69"/>
      <c r="P883" s="68"/>
    </row>
    <row r="884">
      <c r="O884" s="69"/>
      <c r="P884" s="68"/>
    </row>
    <row r="885">
      <c r="O885" s="69"/>
      <c r="P885" s="68"/>
    </row>
    <row r="886">
      <c r="O886" s="69"/>
      <c r="P886" s="68"/>
    </row>
    <row r="887">
      <c r="O887" s="69"/>
      <c r="P887" s="68"/>
    </row>
    <row r="888">
      <c r="O888" s="69"/>
      <c r="P888" s="68"/>
    </row>
    <row r="889">
      <c r="O889" s="69"/>
      <c r="P889" s="68"/>
    </row>
    <row r="890">
      <c r="O890" s="69"/>
      <c r="P890" s="68"/>
    </row>
    <row r="891">
      <c r="O891" s="69"/>
      <c r="P891" s="68"/>
    </row>
    <row r="892">
      <c r="O892" s="69"/>
      <c r="P892" s="68"/>
    </row>
    <row r="893">
      <c r="O893" s="69"/>
      <c r="P893" s="68"/>
    </row>
    <row r="894">
      <c r="O894" s="69"/>
      <c r="P894" s="68"/>
    </row>
    <row r="895">
      <c r="O895" s="69"/>
      <c r="P895" s="68"/>
    </row>
    <row r="896">
      <c r="O896" s="69"/>
      <c r="P896" s="68"/>
    </row>
    <row r="897">
      <c r="O897" s="69"/>
      <c r="P897" s="68"/>
    </row>
    <row r="898">
      <c r="O898" s="69"/>
      <c r="P898" s="68"/>
    </row>
    <row r="899">
      <c r="O899" s="69"/>
      <c r="P899" s="68"/>
    </row>
    <row r="900">
      <c r="O900" s="69"/>
      <c r="P900" s="68"/>
    </row>
    <row r="901">
      <c r="O901" s="69"/>
      <c r="P901" s="68"/>
    </row>
    <row r="902">
      <c r="O902" s="69"/>
      <c r="P902" s="68"/>
    </row>
    <row r="903">
      <c r="O903" s="69"/>
      <c r="P903" s="68"/>
    </row>
    <row r="904">
      <c r="O904" s="69"/>
      <c r="P904" s="68"/>
    </row>
    <row r="905">
      <c r="O905" s="69"/>
      <c r="P905" s="68"/>
    </row>
    <row r="906">
      <c r="O906" s="69"/>
      <c r="P906" s="68"/>
    </row>
    <row r="907">
      <c r="O907" s="69"/>
      <c r="P907" s="68"/>
    </row>
    <row r="908">
      <c r="O908" s="69"/>
      <c r="P908" s="68"/>
    </row>
    <row r="909">
      <c r="O909" s="69"/>
      <c r="P909" s="68"/>
    </row>
    <row r="910">
      <c r="O910" s="69"/>
      <c r="P910" s="68"/>
    </row>
    <row r="911">
      <c r="O911" s="69"/>
      <c r="P911" s="68"/>
    </row>
    <row r="912">
      <c r="O912" s="69"/>
      <c r="P912" s="68"/>
    </row>
    <row r="913">
      <c r="O913" s="69"/>
      <c r="P913" s="68"/>
    </row>
    <row r="914">
      <c r="O914" s="69"/>
      <c r="P914" s="68"/>
    </row>
    <row r="915">
      <c r="O915" s="69"/>
      <c r="P915" s="68"/>
    </row>
    <row r="916">
      <c r="O916" s="69"/>
      <c r="P916" s="68"/>
    </row>
    <row r="917">
      <c r="O917" s="69"/>
      <c r="P917" s="68"/>
    </row>
    <row r="918">
      <c r="O918" s="69"/>
      <c r="P918" s="68"/>
    </row>
    <row r="919">
      <c r="O919" s="69"/>
      <c r="P919" s="68"/>
    </row>
    <row r="920">
      <c r="O920" s="69"/>
      <c r="P920" s="68"/>
    </row>
    <row r="921">
      <c r="O921" s="69"/>
      <c r="P921" s="68"/>
    </row>
    <row r="922">
      <c r="O922" s="69"/>
      <c r="P922" s="68"/>
    </row>
    <row r="923">
      <c r="O923" s="69"/>
      <c r="P923" s="68"/>
    </row>
    <row r="924">
      <c r="O924" s="69"/>
      <c r="P924" s="68"/>
    </row>
    <row r="925">
      <c r="O925" s="69"/>
      <c r="P925" s="68"/>
    </row>
    <row r="926">
      <c r="O926" s="69"/>
      <c r="P926" s="68"/>
    </row>
    <row r="927">
      <c r="O927" s="69"/>
      <c r="P927" s="68"/>
    </row>
    <row r="928">
      <c r="O928" s="69"/>
      <c r="P928" s="68"/>
    </row>
    <row r="929">
      <c r="O929" s="69"/>
      <c r="P929" s="68"/>
    </row>
    <row r="930">
      <c r="O930" s="69"/>
      <c r="P930" s="68"/>
    </row>
    <row r="931">
      <c r="O931" s="69"/>
      <c r="P931" s="68"/>
    </row>
    <row r="932">
      <c r="O932" s="69"/>
      <c r="P932" s="68"/>
    </row>
    <row r="933">
      <c r="O933" s="69"/>
      <c r="P933" s="68"/>
    </row>
    <row r="934">
      <c r="O934" s="69"/>
      <c r="P934" s="68"/>
    </row>
    <row r="935">
      <c r="O935" s="69"/>
      <c r="P935" s="68"/>
    </row>
    <row r="936">
      <c r="O936" s="69"/>
      <c r="P936" s="68"/>
    </row>
    <row r="937">
      <c r="O937" s="69"/>
      <c r="P937" s="68"/>
    </row>
    <row r="938">
      <c r="O938" s="69"/>
      <c r="P938" s="68"/>
    </row>
    <row r="939">
      <c r="O939" s="69"/>
      <c r="P939" s="68"/>
    </row>
    <row r="940">
      <c r="O940" s="69"/>
      <c r="P940" s="68"/>
    </row>
    <row r="941">
      <c r="O941" s="69"/>
      <c r="P941" s="68"/>
    </row>
    <row r="942">
      <c r="O942" s="69"/>
      <c r="P942" s="68"/>
    </row>
    <row r="943">
      <c r="O943" s="69"/>
      <c r="P943" s="68"/>
    </row>
    <row r="944">
      <c r="O944" s="69"/>
      <c r="P944" s="68"/>
    </row>
    <row r="945">
      <c r="O945" s="69"/>
      <c r="P945" s="68"/>
    </row>
    <row r="946">
      <c r="O946" s="69"/>
      <c r="P946" s="68"/>
    </row>
    <row r="947">
      <c r="O947" s="69"/>
      <c r="P947" s="68"/>
    </row>
    <row r="948">
      <c r="O948" s="69"/>
      <c r="P948" s="68"/>
    </row>
    <row r="949">
      <c r="O949" s="69"/>
      <c r="P949" s="68"/>
    </row>
    <row r="950">
      <c r="O950" s="69"/>
      <c r="P950" s="68"/>
    </row>
    <row r="951">
      <c r="O951" s="69"/>
      <c r="P951" s="68"/>
    </row>
    <row r="952">
      <c r="O952" s="69"/>
      <c r="P952" s="68"/>
    </row>
    <row r="953">
      <c r="O953" s="69"/>
      <c r="P953" s="68"/>
    </row>
    <row r="954">
      <c r="O954" s="69"/>
      <c r="P954" s="68"/>
    </row>
    <row r="955">
      <c r="O955" s="69"/>
      <c r="P955" s="68"/>
    </row>
    <row r="956">
      <c r="O956" s="69"/>
      <c r="P956" s="68"/>
    </row>
    <row r="957">
      <c r="O957" s="69"/>
      <c r="P957" s="68"/>
    </row>
    <row r="958">
      <c r="O958" s="69"/>
      <c r="P958" s="68"/>
    </row>
    <row r="959">
      <c r="O959" s="69"/>
      <c r="P959" s="68"/>
    </row>
    <row r="960">
      <c r="O960" s="69"/>
      <c r="P960" s="68"/>
    </row>
    <row r="961">
      <c r="O961" s="69"/>
      <c r="P961" s="68"/>
    </row>
    <row r="962">
      <c r="O962" s="69"/>
      <c r="P962" s="68"/>
    </row>
    <row r="963">
      <c r="O963" s="69"/>
      <c r="P963" s="68"/>
    </row>
    <row r="964">
      <c r="O964" s="69"/>
      <c r="P964" s="68"/>
    </row>
    <row r="965">
      <c r="O965" s="69"/>
      <c r="P965" s="68"/>
    </row>
    <row r="966">
      <c r="O966" s="69"/>
      <c r="P966" s="68"/>
    </row>
    <row r="967">
      <c r="O967" s="69"/>
      <c r="P967" s="68"/>
    </row>
    <row r="968">
      <c r="O968" s="69"/>
      <c r="P968" s="68"/>
    </row>
    <row r="969">
      <c r="O969" s="69"/>
      <c r="P969" s="68"/>
    </row>
    <row r="970">
      <c r="O970" s="69"/>
      <c r="P970" s="68"/>
    </row>
    <row r="971">
      <c r="O971" s="69"/>
      <c r="P971" s="68"/>
    </row>
    <row r="972">
      <c r="O972" s="69"/>
      <c r="P972" s="68"/>
    </row>
    <row r="973">
      <c r="O973" s="69"/>
      <c r="P973" s="68"/>
    </row>
    <row r="974">
      <c r="O974" s="69"/>
      <c r="P974" s="68"/>
    </row>
    <row r="975">
      <c r="O975" s="69"/>
      <c r="P975" s="68"/>
    </row>
    <row r="976">
      <c r="O976" s="69"/>
      <c r="P976" s="68"/>
    </row>
    <row r="977">
      <c r="O977" s="69"/>
      <c r="P977" s="68"/>
    </row>
    <row r="978">
      <c r="O978" s="69"/>
      <c r="P978" s="68"/>
    </row>
    <row r="979">
      <c r="O979" s="69"/>
      <c r="P979" s="68"/>
    </row>
    <row r="980">
      <c r="O980" s="69"/>
      <c r="P980" s="68"/>
    </row>
    <row r="981">
      <c r="O981" s="69"/>
      <c r="P981" s="68"/>
    </row>
    <row r="982">
      <c r="O982" s="69"/>
      <c r="P982" s="68"/>
    </row>
    <row r="983">
      <c r="O983" s="69"/>
      <c r="P983" s="68"/>
    </row>
    <row r="984">
      <c r="O984" s="69"/>
      <c r="P984" s="68"/>
    </row>
    <row r="985">
      <c r="O985" s="69"/>
      <c r="P985" s="68"/>
    </row>
    <row r="986">
      <c r="O986" s="69"/>
      <c r="P986" s="68"/>
    </row>
    <row r="987">
      <c r="O987" s="69"/>
      <c r="P987" s="68"/>
    </row>
    <row r="988">
      <c r="O988" s="69"/>
      <c r="P988" s="68"/>
    </row>
    <row r="989">
      <c r="O989" s="69"/>
      <c r="P989" s="68"/>
    </row>
    <row r="990">
      <c r="O990" s="69"/>
      <c r="P990" s="68"/>
    </row>
    <row r="991">
      <c r="O991" s="69"/>
      <c r="P991" s="68"/>
    </row>
    <row r="992">
      <c r="O992" s="69"/>
      <c r="P992" s="68"/>
    </row>
    <row r="993">
      <c r="O993" s="69"/>
      <c r="P993" s="68"/>
    </row>
    <row r="994">
      <c r="O994" s="69"/>
      <c r="P994" s="68"/>
    </row>
    <row r="995">
      <c r="O995" s="69"/>
      <c r="P995" s="68"/>
    </row>
    <row r="996">
      <c r="O996" s="69"/>
      <c r="P996" s="68"/>
    </row>
    <row r="997">
      <c r="O997" s="69"/>
      <c r="P997" s="68"/>
    </row>
    <row r="998">
      <c r="O998" s="69"/>
      <c r="P998" s="68"/>
    </row>
    <row r="999">
      <c r="O999" s="69"/>
      <c r="P999" s="68"/>
    </row>
    <row r="1000">
      <c r="O1000" s="69"/>
      <c r="P1000" s="68"/>
    </row>
  </sheetData>
  <mergeCells count="600">
    <mergeCell ref="D9:F9"/>
    <mergeCell ref="G9:H9"/>
    <mergeCell ref="B10:C10"/>
    <mergeCell ref="D10:F10"/>
    <mergeCell ref="G10:H10"/>
    <mergeCell ref="D11:F11"/>
    <mergeCell ref="G11:H11"/>
    <mergeCell ref="B11:C11"/>
    <mergeCell ref="B12:C12"/>
    <mergeCell ref="D12:F12"/>
    <mergeCell ref="G12:H12"/>
    <mergeCell ref="I12:J12"/>
    <mergeCell ref="K12:L12"/>
    <mergeCell ref="M12:N12"/>
    <mergeCell ref="E3:E4"/>
    <mergeCell ref="F3:H3"/>
    <mergeCell ref="F4:G4"/>
    <mergeCell ref="C5:D5"/>
    <mergeCell ref="F5:G5"/>
    <mergeCell ref="I3:K3"/>
    <mergeCell ref="L3:N3"/>
    <mergeCell ref="J4:K4"/>
    <mergeCell ref="L4:M4"/>
    <mergeCell ref="J5:K5"/>
    <mergeCell ref="L5:M5"/>
    <mergeCell ref="B1:H1"/>
    <mergeCell ref="J1:N1"/>
    <mergeCell ref="B2:H2"/>
    <mergeCell ref="J2:N2"/>
    <mergeCell ref="A3:A4"/>
    <mergeCell ref="B3:B4"/>
    <mergeCell ref="C3:D4"/>
    <mergeCell ref="I9:J9"/>
    <mergeCell ref="K9:L9"/>
    <mergeCell ref="I10:J10"/>
    <mergeCell ref="K10:L10"/>
    <mergeCell ref="M10:N10"/>
    <mergeCell ref="I11:J11"/>
    <mergeCell ref="K11:L11"/>
    <mergeCell ref="M11:N11"/>
    <mergeCell ref="A6:N6"/>
    <mergeCell ref="A7:N7"/>
    <mergeCell ref="A8:A9"/>
    <mergeCell ref="B8:F8"/>
    <mergeCell ref="G8:J8"/>
    <mergeCell ref="K8:N8"/>
    <mergeCell ref="B9:C9"/>
    <mergeCell ref="M9:N9"/>
    <mergeCell ref="I14:J14"/>
    <mergeCell ref="K14:L14"/>
    <mergeCell ref="B13:C13"/>
    <mergeCell ref="D13:F13"/>
    <mergeCell ref="G13:H13"/>
    <mergeCell ref="I13:J13"/>
    <mergeCell ref="K13:L13"/>
    <mergeCell ref="M13:N13"/>
    <mergeCell ref="B14:C14"/>
    <mergeCell ref="M14:N14"/>
    <mergeCell ref="D14:F14"/>
    <mergeCell ref="G14:H14"/>
    <mergeCell ref="D15:F15"/>
    <mergeCell ref="G15:H15"/>
    <mergeCell ref="I15:J15"/>
    <mergeCell ref="K15:L15"/>
    <mergeCell ref="M15:N15"/>
    <mergeCell ref="B15:C15"/>
    <mergeCell ref="B16:C16"/>
    <mergeCell ref="D16:F16"/>
    <mergeCell ref="G16:H16"/>
    <mergeCell ref="I16:J16"/>
    <mergeCell ref="K16:L16"/>
    <mergeCell ref="M16:N16"/>
    <mergeCell ref="I18:J18"/>
    <mergeCell ref="K18:L18"/>
    <mergeCell ref="I19:J19"/>
    <mergeCell ref="K19:L19"/>
    <mergeCell ref="M19:N19"/>
    <mergeCell ref="I20:J20"/>
    <mergeCell ref="K20:L20"/>
    <mergeCell ref="M20:N20"/>
    <mergeCell ref="B17:C17"/>
    <mergeCell ref="D17:F17"/>
    <mergeCell ref="G17:H17"/>
    <mergeCell ref="I17:J17"/>
    <mergeCell ref="K17:L17"/>
    <mergeCell ref="M17:N17"/>
    <mergeCell ref="B18:C18"/>
    <mergeCell ref="M18:N18"/>
    <mergeCell ref="D18:F18"/>
    <mergeCell ref="G18:H18"/>
    <mergeCell ref="B19:C19"/>
    <mergeCell ref="D19:F19"/>
    <mergeCell ref="G19:H19"/>
    <mergeCell ref="D20:F20"/>
    <mergeCell ref="G20:H20"/>
    <mergeCell ref="B20:C20"/>
    <mergeCell ref="B21:C21"/>
    <mergeCell ref="D21:F21"/>
    <mergeCell ref="G21:H21"/>
    <mergeCell ref="I21:J21"/>
    <mergeCell ref="K21:L21"/>
    <mergeCell ref="M21:N21"/>
    <mergeCell ref="D35:F35"/>
    <mergeCell ref="G35:H35"/>
    <mergeCell ref="A32:N32"/>
    <mergeCell ref="A33:N33"/>
    <mergeCell ref="A34:A35"/>
    <mergeCell ref="B34:F34"/>
    <mergeCell ref="G34:J34"/>
    <mergeCell ref="K34:N34"/>
    <mergeCell ref="B35:C35"/>
    <mergeCell ref="M35:N35"/>
    <mergeCell ref="I35:J35"/>
    <mergeCell ref="K35:L35"/>
    <mergeCell ref="D36:F36"/>
    <mergeCell ref="G36:H36"/>
    <mergeCell ref="I36:J36"/>
    <mergeCell ref="K36:L36"/>
    <mergeCell ref="M36:N36"/>
    <mergeCell ref="B36:C36"/>
    <mergeCell ref="B37:C37"/>
    <mergeCell ref="D37:F37"/>
    <mergeCell ref="G37:H37"/>
    <mergeCell ref="I37:J37"/>
    <mergeCell ref="K37:L37"/>
    <mergeCell ref="M37:N37"/>
    <mergeCell ref="I23:J23"/>
    <mergeCell ref="K23:L23"/>
    <mergeCell ref="I24:J24"/>
    <mergeCell ref="K24:L24"/>
    <mergeCell ref="M24:N24"/>
    <mergeCell ref="J27:N27"/>
    <mergeCell ref="J28:N28"/>
    <mergeCell ref="B22:C22"/>
    <mergeCell ref="D22:F22"/>
    <mergeCell ref="G22:H22"/>
    <mergeCell ref="I22:J22"/>
    <mergeCell ref="K22:L22"/>
    <mergeCell ref="M22:N22"/>
    <mergeCell ref="B23:C23"/>
    <mergeCell ref="M23:N23"/>
    <mergeCell ref="D23:F23"/>
    <mergeCell ref="G23:H23"/>
    <mergeCell ref="B24:C24"/>
    <mergeCell ref="D24:F24"/>
    <mergeCell ref="G24:H24"/>
    <mergeCell ref="B27:H27"/>
    <mergeCell ref="B28:H28"/>
    <mergeCell ref="I29:K29"/>
    <mergeCell ref="J30:K30"/>
    <mergeCell ref="J31:K31"/>
    <mergeCell ref="L31:M31"/>
    <mergeCell ref="C29:D30"/>
    <mergeCell ref="C31:D31"/>
    <mergeCell ref="F31:G31"/>
    <mergeCell ref="A29:A30"/>
    <mergeCell ref="B29:B30"/>
    <mergeCell ref="E29:E30"/>
    <mergeCell ref="F29:H29"/>
    <mergeCell ref="L29:N29"/>
    <mergeCell ref="F30:G30"/>
    <mergeCell ref="L30:M30"/>
    <mergeCell ref="I39:J39"/>
    <mergeCell ref="K39:L39"/>
    <mergeCell ref="B38:C38"/>
    <mergeCell ref="D38:F38"/>
    <mergeCell ref="G38:H38"/>
    <mergeCell ref="I38:J38"/>
    <mergeCell ref="K38:L38"/>
    <mergeCell ref="M38:N38"/>
    <mergeCell ref="B39:C39"/>
    <mergeCell ref="M39:N39"/>
    <mergeCell ref="D39:F39"/>
    <mergeCell ref="G39:H39"/>
    <mergeCell ref="D40:F40"/>
    <mergeCell ref="G40:H40"/>
    <mergeCell ref="I40:J40"/>
    <mergeCell ref="K40:L40"/>
    <mergeCell ref="M40:N40"/>
    <mergeCell ref="B40:C40"/>
    <mergeCell ref="B41:C41"/>
    <mergeCell ref="D41:F41"/>
    <mergeCell ref="G41:H41"/>
    <mergeCell ref="I41:J41"/>
    <mergeCell ref="K41:L41"/>
    <mergeCell ref="M41:N41"/>
    <mergeCell ref="I43:J43"/>
    <mergeCell ref="K43:L43"/>
    <mergeCell ref="I44:J44"/>
    <mergeCell ref="K44:L44"/>
    <mergeCell ref="M44:N44"/>
    <mergeCell ref="I45:J45"/>
    <mergeCell ref="K45:L45"/>
    <mergeCell ref="M45:N45"/>
    <mergeCell ref="B42:C42"/>
    <mergeCell ref="D42:F42"/>
    <mergeCell ref="G42:H42"/>
    <mergeCell ref="I42:J42"/>
    <mergeCell ref="K42:L42"/>
    <mergeCell ref="M42:N42"/>
    <mergeCell ref="B43:C43"/>
    <mergeCell ref="M43:N43"/>
    <mergeCell ref="D43:F43"/>
    <mergeCell ref="G43:H43"/>
    <mergeCell ref="B44:C44"/>
    <mergeCell ref="D44:F44"/>
    <mergeCell ref="G44:H44"/>
    <mergeCell ref="D45:F45"/>
    <mergeCell ref="G45:H45"/>
    <mergeCell ref="B45:C45"/>
    <mergeCell ref="B46:C46"/>
    <mergeCell ref="D46:F46"/>
    <mergeCell ref="G46:H46"/>
    <mergeCell ref="I46:J46"/>
    <mergeCell ref="K46:L46"/>
    <mergeCell ref="M46:N46"/>
    <mergeCell ref="I63:J63"/>
    <mergeCell ref="K63:L63"/>
    <mergeCell ref="I64:J64"/>
    <mergeCell ref="K64:L64"/>
    <mergeCell ref="M64:N64"/>
    <mergeCell ref="I65:J65"/>
    <mergeCell ref="K65:L65"/>
    <mergeCell ref="M65:N65"/>
    <mergeCell ref="B62:C62"/>
    <mergeCell ref="D62:F62"/>
    <mergeCell ref="G62:H62"/>
    <mergeCell ref="I62:J62"/>
    <mergeCell ref="K62:L62"/>
    <mergeCell ref="M62:N62"/>
    <mergeCell ref="B63:C63"/>
    <mergeCell ref="M63:N63"/>
    <mergeCell ref="D63:F63"/>
    <mergeCell ref="G63:H63"/>
    <mergeCell ref="B64:C64"/>
    <mergeCell ref="D64:F64"/>
    <mergeCell ref="G64:H64"/>
    <mergeCell ref="D65:F65"/>
    <mergeCell ref="G65:H65"/>
    <mergeCell ref="B65:C65"/>
    <mergeCell ref="B66:C66"/>
    <mergeCell ref="D66:F66"/>
    <mergeCell ref="G66:H66"/>
    <mergeCell ref="I66:J66"/>
    <mergeCell ref="K66:L66"/>
    <mergeCell ref="M66:N66"/>
    <mergeCell ref="I68:J68"/>
    <mergeCell ref="K68:L68"/>
    <mergeCell ref="I69:J69"/>
    <mergeCell ref="K69:L69"/>
    <mergeCell ref="M69:N69"/>
    <mergeCell ref="I70:J70"/>
    <mergeCell ref="K70:L70"/>
    <mergeCell ref="M70:N70"/>
    <mergeCell ref="B67:C67"/>
    <mergeCell ref="D67:F67"/>
    <mergeCell ref="G67:H67"/>
    <mergeCell ref="I67:J67"/>
    <mergeCell ref="K67:L67"/>
    <mergeCell ref="M67:N67"/>
    <mergeCell ref="B68:C68"/>
    <mergeCell ref="M68:N68"/>
    <mergeCell ref="F81:H81"/>
    <mergeCell ref="I81:K81"/>
    <mergeCell ref="B76:C76"/>
    <mergeCell ref="D76:F76"/>
    <mergeCell ref="G76:H76"/>
    <mergeCell ref="I76:J76"/>
    <mergeCell ref="K76:L76"/>
    <mergeCell ref="M76:N76"/>
    <mergeCell ref="J79:N79"/>
    <mergeCell ref="E81:E82"/>
    <mergeCell ref="F82:G82"/>
    <mergeCell ref="C83:D83"/>
    <mergeCell ref="F83:G83"/>
    <mergeCell ref="J82:K82"/>
    <mergeCell ref="L82:M82"/>
    <mergeCell ref="J83:K83"/>
    <mergeCell ref="L83:M83"/>
    <mergeCell ref="B79:H79"/>
    <mergeCell ref="B80:H80"/>
    <mergeCell ref="J80:N80"/>
    <mergeCell ref="A81:A82"/>
    <mergeCell ref="B81:B82"/>
    <mergeCell ref="C81:D82"/>
    <mergeCell ref="L81:N81"/>
    <mergeCell ref="I87:J87"/>
    <mergeCell ref="K87:L87"/>
    <mergeCell ref="I88:J88"/>
    <mergeCell ref="K88:L88"/>
    <mergeCell ref="M88:N88"/>
    <mergeCell ref="I89:J89"/>
    <mergeCell ref="K89:L89"/>
    <mergeCell ref="M89:N89"/>
    <mergeCell ref="A84:N84"/>
    <mergeCell ref="A85:N85"/>
    <mergeCell ref="A86:A87"/>
    <mergeCell ref="B86:F86"/>
    <mergeCell ref="G86:J86"/>
    <mergeCell ref="K86:N86"/>
    <mergeCell ref="B87:C87"/>
    <mergeCell ref="M87:N87"/>
    <mergeCell ref="I92:J92"/>
    <mergeCell ref="K92:L92"/>
    <mergeCell ref="M92:N92"/>
    <mergeCell ref="D113:F113"/>
    <mergeCell ref="G113:H113"/>
    <mergeCell ref="A110:N110"/>
    <mergeCell ref="A111:N111"/>
    <mergeCell ref="A112:A113"/>
    <mergeCell ref="B112:F112"/>
    <mergeCell ref="G112:J112"/>
    <mergeCell ref="K112:N112"/>
    <mergeCell ref="B113:C113"/>
    <mergeCell ref="M113:N113"/>
    <mergeCell ref="I113:J113"/>
    <mergeCell ref="K113:L113"/>
    <mergeCell ref="D114:F114"/>
    <mergeCell ref="G114:H114"/>
    <mergeCell ref="I114:J114"/>
    <mergeCell ref="K114:L114"/>
    <mergeCell ref="M114:N114"/>
    <mergeCell ref="B114:C114"/>
    <mergeCell ref="B115:C115"/>
    <mergeCell ref="D115:F115"/>
    <mergeCell ref="G115:H115"/>
    <mergeCell ref="I115:J115"/>
    <mergeCell ref="K115:L115"/>
    <mergeCell ref="M115:N115"/>
    <mergeCell ref="I101:J101"/>
    <mergeCell ref="K101:L101"/>
    <mergeCell ref="I102:J102"/>
    <mergeCell ref="K102:L102"/>
    <mergeCell ref="M102:N102"/>
    <mergeCell ref="J105:N105"/>
    <mergeCell ref="J106:N106"/>
    <mergeCell ref="B100:C100"/>
    <mergeCell ref="D100:F100"/>
    <mergeCell ref="G100:H100"/>
    <mergeCell ref="I100:J100"/>
    <mergeCell ref="K100:L100"/>
    <mergeCell ref="M100:N100"/>
    <mergeCell ref="B101:C101"/>
    <mergeCell ref="M101:N101"/>
    <mergeCell ref="D101:F101"/>
    <mergeCell ref="G101:H101"/>
    <mergeCell ref="B102:C102"/>
    <mergeCell ref="D102:F102"/>
    <mergeCell ref="G102:H102"/>
    <mergeCell ref="B105:H105"/>
    <mergeCell ref="B106:H106"/>
    <mergeCell ref="I107:K107"/>
    <mergeCell ref="J108:K108"/>
    <mergeCell ref="J109:K109"/>
    <mergeCell ref="L109:M109"/>
    <mergeCell ref="C107:D108"/>
    <mergeCell ref="C109:D109"/>
    <mergeCell ref="F109:G109"/>
    <mergeCell ref="A107:A108"/>
    <mergeCell ref="B107:B108"/>
    <mergeCell ref="E107:E108"/>
    <mergeCell ref="F107:H107"/>
    <mergeCell ref="L107:N107"/>
    <mergeCell ref="F108:G108"/>
    <mergeCell ref="L108:M108"/>
    <mergeCell ref="I117:J117"/>
    <mergeCell ref="K117:L117"/>
    <mergeCell ref="D126:F126"/>
    <mergeCell ref="G126:H126"/>
    <mergeCell ref="B127:C127"/>
    <mergeCell ref="D127:F127"/>
    <mergeCell ref="G127:H127"/>
    <mergeCell ref="B128:C128"/>
    <mergeCell ref="D128:F128"/>
    <mergeCell ref="G128:H128"/>
    <mergeCell ref="I126:J126"/>
    <mergeCell ref="K126:L126"/>
    <mergeCell ref="I127:J127"/>
    <mergeCell ref="K127:L127"/>
    <mergeCell ref="M127:N127"/>
    <mergeCell ref="I128:J128"/>
    <mergeCell ref="K128:L128"/>
    <mergeCell ref="M128:N128"/>
    <mergeCell ref="B125:C125"/>
    <mergeCell ref="D125:F125"/>
    <mergeCell ref="G125:H125"/>
    <mergeCell ref="I125:J125"/>
    <mergeCell ref="K125:L125"/>
    <mergeCell ref="M125:N125"/>
    <mergeCell ref="B126:C126"/>
    <mergeCell ref="M126:N126"/>
    <mergeCell ref="B116:C116"/>
    <mergeCell ref="D116:F116"/>
    <mergeCell ref="G116:H116"/>
    <mergeCell ref="I116:J116"/>
    <mergeCell ref="K116:L116"/>
    <mergeCell ref="M116:N116"/>
    <mergeCell ref="B117:C117"/>
    <mergeCell ref="M117:N117"/>
    <mergeCell ref="D117:F117"/>
    <mergeCell ref="G117:H117"/>
    <mergeCell ref="D118:F118"/>
    <mergeCell ref="G118:H118"/>
    <mergeCell ref="I118:J118"/>
    <mergeCell ref="K118:L118"/>
    <mergeCell ref="M118:N118"/>
    <mergeCell ref="B118:C118"/>
    <mergeCell ref="B119:C119"/>
    <mergeCell ref="D119:F119"/>
    <mergeCell ref="G119:H119"/>
    <mergeCell ref="I119:J119"/>
    <mergeCell ref="K119:L119"/>
    <mergeCell ref="M119:N119"/>
    <mergeCell ref="I121:J121"/>
    <mergeCell ref="K121:L121"/>
    <mergeCell ref="I122:J122"/>
    <mergeCell ref="K122:L122"/>
    <mergeCell ref="M122:N122"/>
    <mergeCell ref="I123:J123"/>
    <mergeCell ref="K123:L123"/>
    <mergeCell ref="M123:N123"/>
    <mergeCell ref="B120:C120"/>
    <mergeCell ref="D120:F120"/>
    <mergeCell ref="G120:H120"/>
    <mergeCell ref="I120:J120"/>
    <mergeCell ref="K120:L120"/>
    <mergeCell ref="M120:N120"/>
    <mergeCell ref="B121:C121"/>
    <mergeCell ref="M121:N121"/>
    <mergeCell ref="D121:F121"/>
    <mergeCell ref="G121:H121"/>
    <mergeCell ref="B122:C122"/>
    <mergeCell ref="D122:F122"/>
    <mergeCell ref="G122:H122"/>
    <mergeCell ref="D123:F123"/>
    <mergeCell ref="G123:H123"/>
    <mergeCell ref="B123:C123"/>
    <mergeCell ref="B124:C124"/>
    <mergeCell ref="D124:F124"/>
    <mergeCell ref="G124:H124"/>
    <mergeCell ref="I124:J124"/>
    <mergeCell ref="K124:L124"/>
    <mergeCell ref="M124:N124"/>
    <mergeCell ref="B60:F60"/>
    <mergeCell ref="G60:J60"/>
    <mergeCell ref="C57:D57"/>
    <mergeCell ref="F57:G57"/>
    <mergeCell ref="J57:K57"/>
    <mergeCell ref="L57:M57"/>
    <mergeCell ref="A58:N58"/>
    <mergeCell ref="A59:N59"/>
    <mergeCell ref="K60:N60"/>
    <mergeCell ref="B47:C47"/>
    <mergeCell ref="D47:F47"/>
    <mergeCell ref="G47:H47"/>
    <mergeCell ref="I47:J47"/>
    <mergeCell ref="K47:L47"/>
    <mergeCell ref="M47:N47"/>
    <mergeCell ref="B48:C48"/>
    <mergeCell ref="M48:N48"/>
    <mergeCell ref="D48:F48"/>
    <mergeCell ref="G48:H48"/>
    <mergeCell ref="B49:C49"/>
    <mergeCell ref="D49:F49"/>
    <mergeCell ref="G49:H49"/>
    <mergeCell ref="B50:C50"/>
    <mergeCell ref="G50:H50"/>
    <mergeCell ref="M50:N50"/>
    <mergeCell ref="J53:N53"/>
    <mergeCell ref="J54:N54"/>
    <mergeCell ref="I55:K55"/>
    <mergeCell ref="L55:N55"/>
    <mergeCell ref="I48:J48"/>
    <mergeCell ref="K48:L48"/>
    <mergeCell ref="I49:J49"/>
    <mergeCell ref="K49:L49"/>
    <mergeCell ref="M49:N49"/>
    <mergeCell ref="I50:J50"/>
    <mergeCell ref="K50:L50"/>
    <mergeCell ref="F55:H55"/>
    <mergeCell ref="F56:G56"/>
    <mergeCell ref="J56:K56"/>
    <mergeCell ref="L56:M56"/>
    <mergeCell ref="D50:F50"/>
    <mergeCell ref="B53:H53"/>
    <mergeCell ref="B54:H54"/>
    <mergeCell ref="A55:A56"/>
    <mergeCell ref="B55:B56"/>
    <mergeCell ref="C55:D56"/>
    <mergeCell ref="E55:E56"/>
    <mergeCell ref="A60:A61"/>
    <mergeCell ref="B61:C61"/>
    <mergeCell ref="D61:F61"/>
    <mergeCell ref="G61:H61"/>
    <mergeCell ref="I61:J61"/>
    <mergeCell ref="K61:L61"/>
    <mergeCell ref="M61:N61"/>
    <mergeCell ref="D68:F68"/>
    <mergeCell ref="G68:H68"/>
    <mergeCell ref="B69:C69"/>
    <mergeCell ref="D69:F69"/>
    <mergeCell ref="G69:H69"/>
    <mergeCell ref="D70:F70"/>
    <mergeCell ref="G70:H70"/>
    <mergeCell ref="B70:C70"/>
    <mergeCell ref="B71:C71"/>
    <mergeCell ref="D71:F71"/>
    <mergeCell ref="G71:H71"/>
    <mergeCell ref="I71:J71"/>
    <mergeCell ref="K71:L71"/>
    <mergeCell ref="M71:N71"/>
    <mergeCell ref="D73:F73"/>
    <mergeCell ref="G73:H73"/>
    <mergeCell ref="B72:C72"/>
    <mergeCell ref="D72:F72"/>
    <mergeCell ref="G72:H72"/>
    <mergeCell ref="I72:J72"/>
    <mergeCell ref="K72:L72"/>
    <mergeCell ref="M72:N72"/>
    <mergeCell ref="B73:C73"/>
    <mergeCell ref="M73:N73"/>
    <mergeCell ref="I73:J73"/>
    <mergeCell ref="K73:L73"/>
    <mergeCell ref="D74:F74"/>
    <mergeCell ref="G74:H74"/>
    <mergeCell ref="I74:J74"/>
    <mergeCell ref="K74:L74"/>
    <mergeCell ref="M74:N74"/>
    <mergeCell ref="B74:C74"/>
    <mergeCell ref="B75:C75"/>
    <mergeCell ref="D75:F75"/>
    <mergeCell ref="G75:H75"/>
    <mergeCell ref="I75:J75"/>
    <mergeCell ref="K75:L75"/>
    <mergeCell ref="M75:N75"/>
    <mergeCell ref="D87:F87"/>
    <mergeCell ref="G87:H87"/>
    <mergeCell ref="B88:C88"/>
    <mergeCell ref="D88:F88"/>
    <mergeCell ref="G88:H88"/>
    <mergeCell ref="D89:F89"/>
    <mergeCell ref="G89:H89"/>
    <mergeCell ref="B89:C89"/>
    <mergeCell ref="B90:C90"/>
    <mergeCell ref="D90:F90"/>
    <mergeCell ref="G90:H90"/>
    <mergeCell ref="I90:J90"/>
    <mergeCell ref="K90:L90"/>
    <mergeCell ref="M90:N90"/>
    <mergeCell ref="B91:C91"/>
    <mergeCell ref="D91:F91"/>
    <mergeCell ref="G91:H91"/>
    <mergeCell ref="I91:J91"/>
    <mergeCell ref="K91:L91"/>
    <mergeCell ref="M91:N91"/>
    <mergeCell ref="B92:C92"/>
    <mergeCell ref="D92:F92"/>
    <mergeCell ref="G92:H92"/>
    <mergeCell ref="D93:F93"/>
    <mergeCell ref="G93:H93"/>
    <mergeCell ref="I93:J93"/>
    <mergeCell ref="K93:L93"/>
    <mergeCell ref="M93:N93"/>
    <mergeCell ref="B93:C93"/>
    <mergeCell ref="B94:C94"/>
    <mergeCell ref="D94:F94"/>
    <mergeCell ref="G94:H94"/>
    <mergeCell ref="I94:J94"/>
    <mergeCell ref="K94:L94"/>
    <mergeCell ref="M94:N94"/>
    <mergeCell ref="I96:J96"/>
    <mergeCell ref="K96:L96"/>
    <mergeCell ref="I97:J97"/>
    <mergeCell ref="K97:L97"/>
    <mergeCell ref="M97:N97"/>
    <mergeCell ref="I98:J98"/>
    <mergeCell ref="K98:L98"/>
    <mergeCell ref="M98:N98"/>
    <mergeCell ref="B95:C95"/>
    <mergeCell ref="D95:F95"/>
    <mergeCell ref="G95:H95"/>
    <mergeCell ref="I95:J95"/>
    <mergeCell ref="K95:L95"/>
    <mergeCell ref="M95:N95"/>
    <mergeCell ref="B96:C96"/>
    <mergeCell ref="M96:N96"/>
    <mergeCell ref="D96:F96"/>
    <mergeCell ref="G96:H96"/>
    <mergeCell ref="B97:C97"/>
    <mergeCell ref="D97:F97"/>
    <mergeCell ref="G97:H97"/>
    <mergeCell ref="D98:F98"/>
    <mergeCell ref="G98:H98"/>
    <mergeCell ref="B98:C98"/>
    <mergeCell ref="B99:C99"/>
    <mergeCell ref="D99:F99"/>
    <mergeCell ref="G99:H99"/>
    <mergeCell ref="I99:J99"/>
    <mergeCell ref="K99:L99"/>
    <mergeCell ref="M99:N9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>
        <v>0.3541666666666667</v>
      </c>
      <c r="B1" s="2" t="s">
        <v>1</v>
      </c>
      <c r="C1" s="3"/>
      <c r="D1" s="3"/>
      <c r="E1" s="3"/>
      <c r="F1" s="3"/>
      <c r="G1" s="3"/>
      <c r="H1" s="4"/>
      <c r="I1" s="1" t="s">
        <v>2</v>
      </c>
      <c r="J1" s="10" t="s">
        <v>33</v>
      </c>
      <c r="K1" s="3"/>
      <c r="L1" s="3"/>
      <c r="M1" s="3"/>
      <c r="N1" s="4"/>
      <c r="O1" s="65"/>
      <c r="P1" s="57"/>
      <c r="Q1" s="61"/>
    </row>
    <row r="2">
      <c r="A2" s="1" t="s">
        <v>4</v>
      </c>
      <c r="B2" s="9" t="s">
        <v>188</v>
      </c>
      <c r="C2" s="3"/>
      <c r="D2" s="3"/>
      <c r="E2" s="3"/>
      <c r="F2" s="3"/>
      <c r="G2" s="3"/>
      <c r="H2" s="4"/>
      <c r="I2" s="1" t="s">
        <v>6</v>
      </c>
      <c r="J2" s="10">
        <v>6.0</v>
      </c>
      <c r="K2" s="3"/>
      <c r="L2" s="3"/>
      <c r="M2" s="3"/>
      <c r="N2" s="4"/>
      <c r="O2" s="65"/>
      <c r="P2" s="57"/>
      <c r="Q2" s="61"/>
    </row>
    <row r="3">
      <c r="A3" s="70" t="s">
        <v>144</v>
      </c>
      <c r="B3" s="71" t="s">
        <v>145</v>
      </c>
      <c r="C3" s="80" t="s">
        <v>165</v>
      </c>
      <c r="D3" s="39"/>
      <c r="E3" s="71" t="s">
        <v>168</v>
      </c>
      <c r="F3" s="88" t="s">
        <v>169</v>
      </c>
      <c r="G3" s="3"/>
      <c r="H3" s="4"/>
      <c r="I3" s="81" t="s">
        <v>146</v>
      </c>
      <c r="J3" s="3"/>
      <c r="K3" s="4"/>
      <c r="L3" s="81" t="s">
        <v>170</v>
      </c>
      <c r="M3" s="3"/>
      <c r="N3" s="4"/>
      <c r="O3" s="65"/>
      <c r="P3" s="57"/>
      <c r="Q3" s="61"/>
    </row>
    <row r="4">
      <c r="A4" s="16"/>
      <c r="B4" s="73"/>
      <c r="C4" s="73"/>
      <c r="D4" s="46"/>
      <c r="E4" s="73"/>
      <c r="F4" s="89" t="s">
        <v>171</v>
      </c>
      <c r="G4" s="4"/>
      <c r="H4" s="1" t="s">
        <v>172</v>
      </c>
      <c r="I4" s="1" t="s">
        <v>147</v>
      </c>
      <c r="J4" s="90" t="s">
        <v>166</v>
      </c>
      <c r="K4" s="4"/>
      <c r="L4" s="90" t="s">
        <v>147</v>
      </c>
      <c r="M4" s="4"/>
      <c r="N4" s="1" t="s">
        <v>166</v>
      </c>
      <c r="O4" s="65"/>
      <c r="P4" s="57"/>
      <c r="Q4" s="61"/>
    </row>
    <row r="5">
      <c r="A5" s="74">
        <v>11.0</v>
      </c>
      <c r="B5" s="75">
        <v>0.0</v>
      </c>
      <c r="C5" s="83">
        <v>0.0</v>
      </c>
      <c r="D5" s="4"/>
      <c r="E5" s="75">
        <v>0.0</v>
      </c>
      <c r="F5" s="83">
        <v>0.0</v>
      </c>
      <c r="G5" s="4"/>
      <c r="H5" s="74">
        <v>22.8</v>
      </c>
      <c r="I5" s="74">
        <v>0.0</v>
      </c>
      <c r="J5" s="91">
        <v>0.0</v>
      </c>
      <c r="K5" s="4"/>
      <c r="L5" s="91">
        <v>0.0</v>
      </c>
      <c r="M5" s="4"/>
      <c r="N5" s="74">
        <v>0.0</v>
      </c>
      <c r="O5" s="65"/>
      <c r="P5" s="57"/>
      <c r="Q5" s="61"/>
    </row>
    <row r="6">
      <c r="A6" s="19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65"/>
      <c r="P6" s="57"/>
      <c r="Q6" s="61"/>
    </row>
    <row r="7">
      <c r="A7" s="11" t="s">
        <v>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"/>
      <c r="O7" s="65"/>
      <c r="P7" s="57"/>
      <c r="Q7" s="61"/>
    </row>
    <row r="8">
      <c r="A8" s="15" t="s">
        <v>11</v>
      </c>
      <c r="B8" s="2" t="s">
        <v>12</v>
      </c>
      <c r="C8" s="3"/>
      <c r="D8" s="3"/>
      <c r="E8" s="3"/>
      <c r="F8" s="4"/>
      <c r="G8" s="2" t="s">
        <v>13</v>
      </c>
      <c r="H8" s="3"/>
      <c r="I8" s="3"/>
      <c r="J8" s="3"/>
      <c r="K8" s="10" t="s">
        <v>14</v>
      </c>
      <c r="L8" s="3"/>
      <c r="M8" s="3"/>
      <c r="N8" s="4"/>
      <c r="O8" s="65"/>
      <c r="P8" s="57"/>
      <c r="Q8" s="61"/>
    </row>
    <row r="9">
      <c r="A9" s="16"/>
      <c r="B9" s="17" t="s">
        <v>15</v>
      </c>
      <c r="C9" s="4"/>
      <c r="D9" s="17" t="s">
        <v>16</v>
      </c>
      <c r="E9" s="3"/>
      <c r="F9" s="4"/>
      <c r="G9" s="17" t="s">
        <v>15</v>
      </c>
      <c r="H9" s="4"/>
      <c r="I9" s="17" t="s">
        <v>16</v>
      </c>
      <c r="J9" s="4"/>
      <c r="K9" s="17" t="s">
        <v>15</v>
      </c>
      <c r="L9" s="4"/>
      <c r="M9" s="17" t="s">
        <v>16</v>
      </c>
      <c r="N9" s="4"/>
      <c r="O9" s="95" t="s">
        <v>8</v>
      </c>
      <c r="P9" s="96" t="s">
        <v>124</v>
      </c>
      <c r="Q9" s="97" t="s">
        <v>125</v>
      </c>
    </row>
    <row r="10">
      <c r="A10" s="18" t="s">
        <v>65</v>
      </c>
      <c r="B10" s="23"/>
      <c r="C10" s="4"/>
      <c r="D10" s="24"/>
      <c r="E10" s="3"/>
      <c r="F10" s="3"/>
      <c r="G10" s="25"/>
      <c r="H10" s="3"/>
      <c r="I10" s="26"/>
      <c r="J10" s="3"/>
      <c r="K10" s="24"/>
      <c r="L10" s="3"/>
      <c r="M10" s="24"/>
      <c r="N10" s="4"/>
      <c r="O10" s="65"/>
      <c r="P10" s="57"/>
      <c r="Q10" s="61"/>
    </row>
    <row r="11">
      <c r="A11" s="18" t="s">
        <v>189</v>
      </c>
      <c r="B11" s="23"/>
      <c r="C11" s="4"/>
      <c r="D11" s="24"/>
      <c r="E11" s="3"/>
      <c r="F11" s="3"/>
      <c r="G11" s="25"/>
      <c r="H11" s="3"/>
      <c r="I11" s="26"/>
      <c r="J11" s="3"/>
      <c r="K11" s="24"/>
      <c r="L11" s="3"/>
      <c r="M11" s="24"/>
      <c r="N11" s="4"/>
      <c r="O11" s="65"/>
      <c r="P11" s="57"/>
      <c r="Q11" s="61"/>
    </row>
    <row r="12">
      <c r="A12" s="18" t="s">
        <v>190</v>
      </c>
      <c r="B12" s="20">
        <v>0.18611111111111112</v>
      </c>
      <c r="C12" s="4"/>
      <c r="D12" s="19"/>
      <c r="E12" s="3"/>
      <c r="F12" s="4"/>
      <c r="G12" s="20">
        <v>0.5493055555555556</v>
      </c>
      <c r="H12" s="4"/>
      <c r="I12" s="19"/>
      <c r="J12" s="4"/>
      <c r="K12" s="19"/>
      <c r="L12" s="4"/>
      <c r="M12" s="19"/>
      <c r="N12" s="4"/>
      <c r="O12" s="65">
        <f t="shared" ref="O12:O13" si="1">G12-B12</f>
        <v>0.3631944444</v>
      </c>
      <c r="P12" s="58">
        <v>0.3541666666666667</v>
      </c>
      <c r="Q12" s="61"/>
    </row>
    <row r="13">
      <c r="A13" s="18" t="s">
        <v>191</v>
      </c>
      <c r="B13" s="20">
        <v>0.19652777777777777</v>
      </c>
      <c r="C13" s="4"/>
      <c r="D13" s="19"/>
      <c r="E13" s="3"/>
      <c r="F13" s="4"/>
      <c r="G13" s="20">
        <v>0.5430555555555555</v>
      </c>
      <c r="H13" s="4"/>
      <c r="I13" s="19"/>
      <c r="J13" s="4"/>
      <c r="K13" s="19"/>
      <c r="L13" s="4"/>
      <c r="M13" s="19"/>
      <c r="N13" s="4"/>
      <c r="O13" s="65">
        <f t="shared" si="1"/>
        <v>0.3465277778</v>
      </c>
      <c r="P13" s="58">
        <v>0.3541666666666667</v>
      </c>
      <c r="Q13" s="61"/>
    </row>
    <row r="14">
      <c r="A14" s="22" t="s">
        <v>192</v>
      </c>
      <c r="B14" s="20">
        <v>0.19722222222222222</v>
      </c>
      <c r="C14" s="4"/>
      <c r="D14" s="20">
        <v>0.6659722222222222</v>
      </c>
      <c r="E14" s="3"/>
      <c r="F14" s="4"/>
      <c r="G14" s="19"/>
      <c r="H14" s="4"/>
      <c r="I14" s="19"/>
      <c r="J14" s="4"/>
      <c r="K14" s="19"/>
      <c r="L14" s="4"/>
      <c r="M14" s="19"/>
      <c r="N14" s="4"/>
      <c r="O14" s="65">
        <f>D14-B14</f>
        <v>0.46875</v>
      </c>
      <c r="P14" s="58">
        <v>0.3541666666666667</v>
      </c>
      <c r="Q14" s="65">
        <f>O14-P14</f>
        <v>0.1145833333</v>
      </c>
    </row>
    <row r="15">
      <c r="A15" s="22" t="s">
        <v>193</v>
      </c>
      <c r="B15" s="19"/>
      <c r="C15" s="4"/>
      <c r="D15" s="19"/>
      <c r="E15" s="3"/>
      <c r="F15" s="4"/>
      <c r="G15" s="19"/>
      <c r="H15" s="4"/>
      <c r="I15" s="19"/>
      <c r="J15" s="4"/>
      <c r="K15" s="19"/>
      <c r="L15" s="4"/>
      <c r="M15" s="19"/>
      <c r="N15" s="4"/>
      <c r="O15" s="65"/>
      <c r="P15" s="57"/>
      <c r="Q15" s="61"/>
    </row>
    <row r="16">
      <c r="A16" s="18" t="s">
        <v>194</v>
      </c>
      <c r="B16" s="23"/>
      <c r="C16" s="4"/>
      <c r="D16" s="24"/>
      <c r="E16" s="3"/>
      <c r="F16" s="3"/>
      <c r="G16" s="25"/>
      <c r="H16" s="3"/>
      <c r="I16" s="26"/>
      <c r="J16" s="3"/>
      <c r="K16" s="24"/>
      <c r="L16" s="3"/>
      <c r="M16" s="24"/>
      <c r="N16" s="4"/>
      <c r="O16" s="65"/>
      <c r="P16" s="57"/>
      <c r="Q16" s="61"/>
    </row>
    <row r="17">
      <c r="A17" s="18" t="s">
        <v>195</v>
      </c>
      <c r="B17" s="20">
        <v>0.1909722222222222</v>
      </c>
      <c r="C17" s="4"/>
      <c r="D17" s="19"/>
      <c r="E17" s="3"/>
      <c r="F17" s="4"/>
      <c r="G17" s="20">
        <v>0.55</v>
      </c>
      <c r="H17" s="4"/>
      <c r="I17" s="19"/>
      <c r="J17" s="4"/>
      <c r="K17" s="19"/>
      <c r="L17" s="4"/>
      <c r="M17" s="19"/>
      <c r="N17" s="4"/>
      <c r="O17" s="65">
        <f t="shared" ref="O17:O20" si="2">G17-B17</f>
        <v>0.3590277778</v>
      </c>
      <c r="P17" s="58">
        <v>0.3541666666666667</v>
      </c>
      <c r="Q17" s="61"/>
    </row>
    <row r="18">
      <c r="A18" s="18" t="s">
        <v>196</v>
      </c>
      <c r="B18" s="20">
        <v>0.19444444444444445</v>
      </c>
      <c r="C18" s="4"/>
      <c r="D18" s="19"/>
      <c r="E18" s="3"/>
      <c r="F18" s="4"/>
      <c r="G18" s="20">
        <v>0.5555555555555556</v>
      </c>
      <c r="H18" s="4"/>
      <c r="I18" s="19"/>
      <c r="J18" s="4"/>
      <c r="K18" s="19"/>
      <c r="L18" s="4"/>
      <c r="M18" s="19"/>
      <c r="N18" s="4"/>
      <c r="O18" s="65">
        <f t="shared" si="2"/>
        <v>0.3611111111</v>
      </c>
      <c r="P18" s="58">
        <v>0.3541666666666667</v>
      </c>
      <c r="Q18" s="61"/>
    </row>
    <row r="19">
      <c r="A19" s="18" t="s">
        <v>197</v>
      </c>
      <c r="B19" s="20">
        <v>0.19652777777777777</v>
      </c>
      <c r="C19" s="4"/>
      <c r="D19" s="19"/>
      <c r="E19" s="3"/>
      <c r="F19" s="4"/>
      <c r="G19" s="20">
        <v>0.5472222222222223</v>
      </c>
      <c r="H19" s="4"/>
      <c r="I19" s="19"/>
      <c r="J19" s="4"/>
      <c r="K19" s="19"/>
      <c r="L19" s="4"/>
      <c r="M19" s="19"/>
      <c r="N19" s="4"/>
      <c r="O19" s="65">
        <f t="shared" si="2"/>
        <v>0.3506944444</v>
      </c>
      <c r="P19" s="58">
        <v>0.3541666666666667</v>
      </c>
      <c r="Q19" s="61"/>
    </row>
    <row r="20">
      <c r="A20" s="18" t="s">
        <v>198</v>
      </c>
      <c r="B20" s="20">
        <v>0.19444444444444445</v>
      </c>
      <c r="C20" s="4"/>
      <c r="D20" s="19"/>
      <c r="E20" s="3"/>
      <c r="F20" s="4"/>
      <c r="G20" s="20">
        <v>0.5430555555555555</v>
      </c>
      <c r="H20" s="4"/>
      <c r="I20" s="19"/>
      <c r="J20" s="4"/>
      <c r="K20" s="19"/>
      <c r="L20" s="4"/>
      <c r="M20" s="19"/>
      <c r="N20" s="4"/>
      <c r="O20" s="65">
        <f t="shared" si="2"/>
        <v>0.3486111111</v>
      </c>
      <c r="P20" s="58">
        <v>0.3541666666666667</v>
      </c>
      <c r="Q20" s="61"/>
    </row>
    <row r="21">
      <c r="A21" s="22" t="s">
        <v>199</v>
      </c>
      <c r="B21" s="20">
        <v>0.1909722222222222</v>
      </c>
      <c r="C21" s="4"/>
      <c r="D21" s="20">
        <v>0.6722222222222223</v>
      </c>
      <c r="E21" s="3"/>
      <c r="F21" s="4"/>
      <c r="G21" s="19"/>
      <c r="H21" s="4"/>
      <c r="I21" s="19"/>
      <c r="J21" s="4"/>
      <c r="K21" s="19"/>
      <c r="L21" s="4"/>
      <c r="M21" s="19"/>
      <c r="N21" s="4"/>
      <c r="O21" s="65">
        <f>D21-B21</f>
        <v>0.48125</v>
      </c>
      <c r="P21" s="58">
        <v>0.3541666666666667</v>
      </c>
      <c r="Q21" s="65">
        <f>O21-P21</f>
        <v>0.1270833333</v>
      </c>
    </row>
    <row r="22">
      <c r="A22" s="22" t="s">
        <v>200</v>
      </c>
      <c r="B22" s="19"/>
      <c r="C22" s="4"/>
      <c r="D22" s="19"/>
      <c r="E22" s="3"/>
      <c r="F22" s="4"/>
      <c r="G22" s="19"/>
      <c r="H22" s="4"/>
      <c r="I22" s="19"/>
      <c r="J22" s="4"/>
      <c r="K22" s="19"/>
      <c r="L22" s="4"/>
      <c r="M22" s="19"/>
      <c r="N22" s="4"/>
      <c r="O22" s="65"/>
      <c r="P22" s="57"/>
      <c r="Q22" s="61"/>
    </row>
    <row r="23">
      <c r="A23" s="18" t="s">
        <v>201</v>
      </c>
      <c r="B23" s="23"/>
      <c r="C23" s="4"/>
      <c r="D23" s="24"/>
      <c r="E23" s="3"/>
      <c r="F23" s="3"/>
      <c r="G23" s="25"/>
      <c r="H23" s="3"/>
      <c r="I23" s="26"/>
      <c r="J23" s="3"/>
      <c r="K23" s="24"/>
      <c r="L23" s="3"/>
      <c r="M23" s="24"/>
      <c r="N23" s="4"/>
      <c r="O23" s="65"/>
      <c r="P23" s="57"/>
      <c r="Q23" s="61"/>
    </row>
    <row r="24">
      <c r="A24" s="18" t="s">
        <v>148</v>
      </c>
      <c r="B24" s="20">
        <v>0.19375</v>
      </c>
      <c r="C24" s="4"/>
      <c r="D24" s="19"/>
      <c r="E24" s="3"/>
      <c r="F24" s="4"/>
      <c r="G24" s="20">
        <v>0.5423611111111111</v>
      </c>
      <c r="H24" s="4"/>
      <c r="I24" s="19"/>
      <c r="J24" s="4"/>
      <c r="K24" s="19"/>
      <c r="L24" s="4"/>
      <c r="M24" s="19"/>
      <c r="N24" s="4"/>
      <c r="O24" s="65">
        <f>G24-B24</f>
        <v>0.3486111111</v>
      </c>
      <c r="P24" s="58">
        <v>0.3541666666666667</v>
      </c>
      <c r="Q24" s="61"/>
    </row>
    <row r="25">
      <c r="O25" s="65"/>
      <c r="P25" s="57"/>
      <c r="Q25" s="66">
        <f>Q14+Q21</f>
        <v>0.2416666667</v>
      </c>
    </row>
    <row r="26">
      <c r="O26" s="65"/>
      <c r="P26" s="57"/>
      <c r="Q26" s="61"/>
    </row>
    <row r="27">
      <c r="A27" s="1" t="s">
        <v>0</v>
      </c>
      <c r="B27" s="2" t="s">
        <v>1</v>
      </c>
      <c r="C27" s="3"/>
      <c r="D27" s="3"/>
      <c r="E27" s="3"/>
      <c r="F27" s="3"/>
      <c r="G27" s="3"/>
      <c r="H27" s="4"/>
      <c r="I27" s="1" t="s">
        <v>2</v>
      </c>
      <c r="J27" s="10" t="s">
        <v>34</v>
      </c>
      <c r="K27" s="3"/>
      <c r="L27" s="3"/>
      <c r="M27" s="3"/>
      <c r="N27" s="4"/>
      <c r="O27" s="65"/>
      <c r="P27" s="57"/>
      <c r="Q27" s="61"/>
    </row>
    <row r="28">
      <c r="A28" s="1" t="s">
        <v>4</v>
      </c>
      <c r="B28" s="9" t="s">
        <v>188</v>
      </c>
      <c r="C28" s="3"/>
      <c r="D28" s="3"/>
      <c r="E28" s="3"/>
      <c r="F28" s="3"/>
      <c r="G28" s="3"/>
      <c r="H28" s="4"/>
      <c r="I28" s="1" t="s">
        <v>6</v>
      </c>
      <c r="J28" s="10">
        <v>7.0</v>
      </c>
      <c r="K28" s="3"/>
      <c r="L28" s="3"/>
      <c r="M28" s="3"/>
      <c r="N28" s="4"/>
      <c r="O28" s="65"/>
      <c r="P28" s="57"/>
      <c r="Q28" s="61"/>
    </row>
    <row r="29">
      <c r="A29" s="70" t="s">
        <v>144</v>
      </c>
      <c r="B29" s="71" t="s">
        <v>145</v>
      </c>
      <c r="C29" s="80" t="s">
        <v>165</v>
      </c>
      <c r="D29" s="39"/>
      <c r="E29" s="71" t="s">
        <v>168</v>
      </c>
      <c r="F29" s="88" t="s">
        <v>169</v>
      </c>
      <c r="G29" s="3"/>
      <c r="H29" s="4"/>
      <c r="I29" s="81" t="s">
        <v>146</v>
      </c>
      <c r="J29" s="3"/>
      <c r="K29" s="4"/>
      <c r="L29" s="81" t="s">
        <v>170</v>
      </c>
      <c r="M29" s="3"/>
      <c r="N29" s="4"/>
      <c r="O29" s="65"/>
      <c r="P29" s="57"/>
      <c r="Q29" s="61"/>
    </row>
    <row r="30">
      <c r="A30" s="16"/>
      <c r="B30" s="73"/>
      <c r="C30" s="73"/>
      <c r="D30" s="46"/>
      <c r="E30" s="73"/>
      <c r="F30" s="89" t="s">
        <v>171</v>
      </c>
      <c r="G30" s="4"/>
      <c r="H30" s="1" t="s">
        <v>172</v>
      </c>
      <c r="I30" s="1" t="s">
        <v>147</v>
      </c>
      <c r="J30" s="90" t="s">
        <v>166</v>
      </c>
      <c r="K30" s="4"/>
      <c r="L30" s="90" t="s">
        <v>147</v>
      </c>
      <c r="M30" s="4"/>
      <c r="N30" s="1" t="s">
        <v>166</v>
      </c>
      <c r="O30" s="65"/>
      <c r="P30" s="57"/>
      <c r="Q30" s="61"/>
    </row>
    <row r="31">
      <c r="A31" s="74">
        <v>11.0</v>
      </c>
      <c r="B31" s="75">
        <v>0.0</v>
      </c>
      <c r="C31" s="83">
        <v>0.0</v>
      </c>
      <c r="D31" s="4"/>
      <c r="E31" s="75">
        <v>0.0</v>
      </c>
      <c r="F31" s="83">
        <v>0.0</v>
      </c>
      <c r="G31" s="4"/>
      <c r="H31" s="74">
        <v>0.0</v>
      </c>
      <c r="I31" s="74">
        <v>0.0</v>
      </c>
      <c r="J31" s="91">
        <v>0.0</v>
      </c>
      <c r="K31" s="4"/>
      <c r="L31" s="91">
        <v>0.0</v>
      </c>
      <c r="M31" s="4"/>
      <c r="N31" s="74">
        <v>0.0</v>
      </c>
      <c r="O31" s="65"/>
      <c r="P31" s="57"/>
      <c r="Q31" s="61"/>
    </row>
    <row r="32">
      <c r="A32" s="19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65"/>
      <c r="P32" s="57"/>
      <c r="Q32" s="61"/>
    </row>
    <row r="33">
      <c r="A33" s="11" t="s">
        <v>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4"/>
      <c r="O33" s="65"/>
      <c r="P33" s="57"/>
      <c r="Q33" s="61"/>
    </row>
    <row r="34">
      <c r="A34" s="15" t="s">
        <v>11</v>
      </c>
      <c r="B34" s="2" t="s">
        <v>12</v>
      </c>
      <c r="C34" s="3"/>
      <c r="D34" s="3"/>
      <c r="E34" s="3"/>
      <c r="F34" s="4"/>
      <c r="G34" s="2" t="s">
        <v>13</v>
      </c>
      <c r="H34" s="3"/>
      <c r="I34" s="3"/>
      <c r="J34" s="3"/>
      <c r="K34" s="10" t="s">
        <v>14</v>
      </c>
      <c r="L34" s="3"/>
      <c r="M34" s="3"/>
      <c r="N34" s="4"/>
      <c r="O34" s="65"/>
      <c r="P34" s="57"/>
      <c r="Q34" s="61"/>
    </row>
    <row r="35">
      <c r="A35" s="16"/>
      <c r="B35" s="17" t="s">
        <v>15</v>
      </c>
      <c r="C35" s="4"/>
      <c r="D35" s="17" t="s">
        <v>16</v>
      </c>
      <c r="E35" s="3"/>
      <c r="F35" s="4"/>
      <c r="G35" s="17" t="s">
        <v>15</v>
      </c>
      <c r="H35" s="4"/>
      <c r="I35" s="17" t="s">
        <v>16</v>
      </c>
      <c r="J35" s="4"/>
      <c r="K35" s="17" t="s">
        <v>15</v>
      </c>
      <c r="L35" s="4"/>
      <c r="M35" s="17" t="s">
        <v>16</v>
      </c>
      <c r="N35" s="4"/>
      <c r="O35" s="95" t="s">
        <v>8</v>
      </c>
      <c r="P35" s="96" t="s">
        <v>124</v>
      </c>
      <c r="Q35" s="97" t="s">
        <v>125</v>
      </c>
    </row>
    <row r="36">
      <c r="A36" s="18" t="s">
        <v>65</v>
      </c>
      <c r="B36" s="20">
        <v>0.3298611111111111</v>
      </c>
      <c r="C36" s="4"/>
      <c r="D36" s="19"/>
      <c r="E36" s="3"/>
      <c r="F36" s="4"/>
      <c r="G36" s="19"/>
      <c r="H36" s="4"/>
      <c r="I36" s="20">
        <v>0.7479166666666667</v>
      </c>
      <c r="J36" s="4"/>
      <c r="K36" s="19"/>
      <c r="L36" s="4"/>
      <c r="M36" s="19"/>
      <c r="N36" s="4"/>
      <c r="O36" s="65">
        <f t="shared" ref="O36:O39" si="3">I36-B36</f>
        <v>0.4180555556</v>
      </c>
      <c r="P36" s="58">
        <v>0.3541666666666667</v>
      </c>
      <c r="Q36" s="65">
        <f t="shared" ref="Q36:Q38" si="4">O36-P36</f>
        <v>0.06388888889</v>
      </c>
    </row>
    <row r="37">
      <c r="A37" s="18" t="s">
        <v>189</v>
      </c>
      <c r="B37" s="20">
        <v>0.34652777777777777</v>
      </c>
      <c r="C37" s="4"/>
      <c r="D37" s="19"/>
      <c r="E37" s="3"/>
      <c r="F37" s="4"/>
      <c r="G37" s="19"/>
      <c r="H37" s="4"/>
      <c r="I37" s="20">
        <v>0.7604166666666666</v>
      </c>
      <c r="J37" s="4"/>
      <c r="K37" s="19"/>
      <c r="L37" s="4"/>
      <c r="M37" s="19"/>
      <c r="N37" s="4"/>
      <c r="O37" s="65">
        <f t="shared" si="3"/>
        <v>0.4138888889</v>
      </c>
      <c r="P37" s="58">
        <v>0.3541666666666667</v>
      </c>
      <c r="Q37" s="65">
        <f t="shared" si="4"/>
        <v>0.05972222222</v>
      </c>
    </row>
    <row r="38">
      <c r="A38" s="18" t="s">
        <v>190</v>
      </c>
      <c r="B38" s="20">
        <v>0.38055555555555554</v>
      </c>
      <c r="C38" s="4"/>
      <c r="D38" s="19"/>
      <c r="E38" s="3"/>
      <c r="F38" s="4"/>
      <c r="G38" s="19"/>
      <c r="H38" s="4"/>
      <c r="I38" s="20">
        <v>0.7333333333333333</v>
      </c>
      <c r="J38" s="4"/>
      <c r="K38" s="19"/>
      <c r="L38" s="4"/>
      <c r="M38" s="19"/>
      <c r="N38" s="4"/>
      <c r="O38" s="65">
        <f t="shared" si="3"/>
        <v>0.3527777778</v>
      </c>
      <c r="P38" s="58">
        <v>0.3541666666666667</v>
      </c>
      <c r="Q38" s="65">
        <f t="shared" si="4"/>
        <v>-0.001388888889</v>
      </c>
    </row>
    <row r="39">
      <c r="A39" s="18" t="s">
        <v>191</v>
      </c>
      <c r="B39" s="20">
        <v>0.4076388888888889</v>
      </c>
      <c r="C39" s="4"/>
      <c r="D39" s="19"/>
      <c r="E39" s="3"/>
      <c r="F39" s="4"/>
      <c r="G39" s="19"/>
      <c r="H39" s="4"/>
      <c r="I39" s="20">
        <v>0.7520833333333333</v>
      </c>
      <c r="J39" s="4"/>
      <c r="K39" s="19"/>
      <c r="L39" s="4"/>
      <c r="M39" s="19"/>
      <c r="N39" s="4"/>
      <c r="O39" s="65">
        <f t="shared" si="3"/>
        <v>0.3444444444</v>
      </c>
      <c r="P39" s="58">
        <v>0.3541666666666667</v>
      </c>
      <c r="Q39" s="61"/>
    </row>
    <row r="40">
      <c r="A40" s="22" t="s">
        <v>192</v>
      </c>
      <c r="B40" s="19"/>
      <c r="C40" s="4"/>
      <c r="D40" s="19"/>
      <c r="E40" s="3"/>
      <c r="F40" s="4"/>
      <c r="G40" s="19"/>
      <c r="H40" s="4"/>
      <c r="I40" s="19"/>
      <c r="J40" s="4"/>
      <c r="K40" s="19"/>
      <c r="L40" s="4"/>
      <c r="M40" s="19"/>
      <c r="N40" s="4"/>
      <c r="O40" s="65"/>
      <c r="P40" s="57"/>
      <c r="Q40" s="61"/>
    </row>
    <row r="41">
      <c r="A41" s="22" t="s">
        <v>193</v>
      </c>
      <c r="B41" s="19"/>
      <c r="C41" s="4"/>
      <c r="D41" s="19"/>
      <c r="E41" s="3"/>
      <c r="F41" s="4"/>
      <c r="G41" s="19"/>
      <c r="H41" s="4"/>
      <c r="I41" s="19"/>
      <c r="J41" s="4"/>
      <c r="K41" s="19"/>
      <c r="L41" s="4"/>
      <c r="M41" s="19"/>
      <c r="N41" s="4"/>
      <c r="O41" s="65"/>
      <c r="P41" s="57"/>
      <c r="Q41" s="61"/>
    </row>
    <row r="42">
      <c r="A42" s="18" t="s">
        <v>194</v>
      </c>
      <c r="B42" s="20">
        <v>0.4152777777777778</v>
      </c>
      <c r="C42" s="4"/>
      <c r="D42" s="19"/>
      <c r="E42" s="3"/>
      <c r="F42" s="4"/>
      <c r="G42" s="19"/>
      <c r="H42" s="4"/>
      <c r="I42" s="20">
        <v>0.75</v>
      </c>
      <c r="J42" s="4"/>
      <c r="K42" s="19"/>
      <c r="L42" s="4"/>
      <c r="M42" s="19"/>
      <c r="N42" s="4"/>
      <c r="O42" s="65">
        <f t="shared" ref="O42:O45" si="5">I42-B42</f>
        <v>0.3347222222</v>
      </c>
      <c r="P42" s="58">
        <v>0.3541666666666667</v>
      </c>
      <c r="Q42" s="61"/>
    </row>
    <row r="43">
      <c r="A43" s="18" t="s">
        <v>195</v>
      </c>
      <c r="B43" s="20">
        <v>0.40208333333333335</v>
      </c>
      <c r="C43" s="4"/>
      <c r="D43" s="19"/>
      <c r="E43" s="3"/>
      <c r="F43" s="4"/>
      <c r="G43" s="19"/>
      <c r="H43" s="4"/>
      <c r="I43" s="20">
        <v>0.7381944444444445</v>
      </c>
      <c r="J43" s="4"/>
      <c r="K43" s="19"/>
      <c r="L43" s="4"/>
      <c r="M43" s="19"/>
      <c r="N43" s="4"/>
      <c r="O43" s="65">
        <f t="shared" si="5"/>
        <v>0.3361111111</v>
      </c>
      <c r="P43" s="58">
        <v>0.3541666666666667</v>
      </c>
      <c r="Q43" s="61"/>
    </row>
    <row r="44">
      <c r="A44" s="18" t="s">
        <v>196</v>
      </c>
      <c r="B44" s="20">
        <v>0.4097222222222222</v>
      </c>
      <c r="C44" s="4"/>
      <c r="D44" s="19"/>
      <c r="E44" s="3"/>
      <c r="F44" s="4"/>
      <c r="G44" s="19"/>
      <c r="H44" s="4"/>
      <c r="I44" s="20">
        <v>0.7527777777777778</v>
      </c>
      <c r="J44" s="4"/>
      <c r="K44" s="19"/>
      <c r="L44" s="4"/>
      <c r="M44" s="19"/>
      <c r="N44" s="4"/>
      <c r="O44" s="65">
        <f t="shared" si="5"/>
        <v>0.3430555556</v>
      </c>
      <c r="P44" s="58">
        <v>0.3541666666666667</v>
      </c>
      <c r="Q44" s="61"/>
    </row>
    <row r="45">
      <c r="A45" s="18" t="s">
        <v>197</v>
      </c>
      <c r="B45" s="20">
        <v>0.39861111111111114</v>
      </c>
      <c r="C45" s="4"/>
      <c r="D45" s="19"/>
      <c r="E45" s="3"/>
      <c r="F45" s="4"/>
      <c r="G45" s="19"/>
      <c r="H45" s="4"/>
      <c r="I45" s="20">
        <v>0.7118055555555556</v>
      </c>
      <c r="J45" s="4"/>
      <c r="K45" s="19"/>
      <c r="L45" s="4"/>
      <c r="M45" s="19"/>
      <c r="N45" s="4"/>
      <c r="O45" s="65">
        <f t="shared" si="5"/>
        <v>0.3131944444</v>
      </c>
      <c r="P45" s="58">
        <v>0.3541666666666667</v>
      </c>
      <c r="Q45" s="61"/>
    </row>
    <row r="46">
      <c r="A46" s="18" t="s">
        <v>198</v>
      </c>
      <c r="B46" s="19"/>
      <c r="C46" s="4"/>
      <c r="D46" s="20">
        <v>0.4666666666666667</v>
      </c>
      <c r="E46" s="3"/>
      <c r="F46" s="4"/>
      <c r="G46" s="19"/>
      <c r="H46" s="4"/>
      <c r="I46" s="19"/>
      <c r="J46" s="4"/>
      <c r="K46" s="19"/>
      <c r="L46" s="4"/>
      <c r="M46" s="20">
        <v>0.8756944444444444</v>
      </c>
      <c r="N46" s="4"/>
      <c r="O46" s="65">
        <f>M46-D46</f>
        <v>0.4090277778</v>
      </c>
      <c r="P46" s="58">
        <v>0.3541666666666667</v>
      </c>
      <c r="Q46" s="65">
        <f>O46-P46</f>
        <v>0.05486111111</v>
      </c>
    </row>
    <row r="47">
      <c r="A47" s="22" t="s">
        <v>199</v>
      </c>
      <c r="B47" s="19"/>
      <c r="C47" s="4"/>
      <c r="D47" s="19"/>
      <c r="E47" s="3"/>
      <c r="F47" s="4"/>
      <c r="G47" s="19"/>
      <c r="H47" s="4"/>
      <c r="I47" s="19"/>
      <c r="J47" s="4"/>
      <c r="K47" s="19"/>
      <c r="L47" s="4"/>
      <c r="M47" s="19"/>
      <c r="N47" s="4"/>
      <c r="O47" s="65"/>
      <c r="P47" s="57"/>
      <c r="Q47" s="61"/>
    </row>
    <row r="48">
      <c r="A48" s="22" t="s">
        <v>200</v>
      </c>
      <c r="B48" s="19"/>
      <c r="C48" s="4"/>
      <c r="D48" s="19"/>
      <c r="E48" s="3"/>
      <c r="F48" s="4"/>
      <c r="G48" s="19"/>
      <c r="H48" s="4"/>
      <c r="I48" s="19"/>
      <c r="J48" s="4"/>
      <c r="K48" s="19"/>
      <c r="L48" s="4"/>
      <c r="M48" s="19"/>
      <c r="N48" s="4"/>
      <c r="O48" s="65"/>
      <c r="P48" s="57"/>
      <c r="Q48" s="61"/>
    </row>
    <row r="49">
      <c r="A49" s="18" t="s">
        <v>201</v>
      </c>
      <c r="B49" s="19"/>
      <c r="C49" s="4"/>
      <c r="D49" s="20">
        <v>0.44513888888888886</v>
      </c>
      <c r="E49" s="3"/>
      <c r="F49" s="4"/>
      <c r="G49" s="19"/>
      <c r="H49" s="4"/>
      <c r="I49" s="19"/>
      <c r="J49" s="4"/>
      <c r="K49" s="19"/>
      <c r="L49" s="4"/>
      <c r="M49" s="20">
        <v>0.8631944444444445</v>
      </c>
      <c r="N49" s="4"/>
      <c r="O49" s="65">
        <f>M49-D49</f>
        <v>0.4180555556</v>
      </c>
      <c r="P49" s="58">
        <v>0.3541666666666667</v>
      </c>
      <c r="Q49" s="65">
        <f>O49-P49</f>
        <v>0.06388888889</v>
      </c>
    </row>
    <row r="50">
      <c r="A50" s="18" t="s">
        <v>148</v>
      </c>
      <c r="B50" s="20">
        <v>0.4152777777777778</v>
      </c>
      <c r="C50" s="4"/>
      <c r="D50" s="19"/>
      <c r="E50" s="3"/>
      <c r="F50" s="4"/>
      <c r="G50" s="19"/>
      <c r="H50" s="4"/>
      <c r="I50" s="19"/>
      <c r="J50" s="4"/>
      <c r="K50" s="19"/>
      <c r="L50" s="4"/>
      <c r="M50" s="19"/>
      <c r="N50" s="4"/>
      <c r="O50" s="65"/>
      <c r="P50" s="57"/>
      <c r="Q50" s="61"/>
    </row>
    <row r="51">
      <c r="O51" s="65"/>
      <c r="P51" s="57"/>
      <c r="Q51" s="66">
        <f>Q36+Q37+Q46+Q49</f>
        <v>0.2423611111</v>
      </c>
    </row>
    <row r="52">
      <c r="O52" s="65"/>
      <c r="P52" s="57"/>
      <c r="Q52" s="61"/>
    </row>
    <row r="53">
      <c r="A53" s="1" t="s">
        <v>0</v>
      </c>
      <c r="B53" s="2" t="s">
        <v>1</v>
      </c>
      <c r="C53" s="3"/>
      <c r="D53" s="3"/>
      <c r="E53" s="3"/>
      <c r="F53" s="3"/>
      <c r="G53" s="3"/>
      <c r="H53" s="4"/>
      <c r="I53" s="1" t="s">
        <v>2</v>
      </c>
      <c r="J53" s="10" t="s">
        <v>36</v>
      </c>
      <c r="K53" s="3"/>
      <c r="L53" s="3"/>
      <c r="M53" s="3"/>
      <c r="N53" s="4"/>
      <c r="O53" s="65"/>
      <c r="P53" s="57"/>
      <c r="Q53" s="61"/>
    </row>
    <row r="54">
      <c r="A54" s="1" t="s">
        <v>4</v>
      </c>
      <c r="B54" s="9" t="s">
        <v>188</v>
      </c>
      <c r="C54" s="3"/>
      <c r="D54" s="3"/>
      <c r="E54" s="3"/>
      <c r="F54" s="3"/>
      <c r="G54" s="3"/>
      <c r="H54" s="4"/>
      <c r="I54" s="1" t="s">
        <v>6</v>
      </c>
      <c r="J54" s="10">
        <v>9.0</v>
      </c>
      <c r="K54" s="3"/>
      <c r="L54" s="3"/>
      <c r="M54" s="3"/>
      <c r="N54" s="4"/>
      <c r="O54" s="65"/>
      <c r="P54" s="57"/>
      <c r="Q54" s="61"/>
    </row>
    <row r="55">
      <c r="A55" s="70" t="s">
        <v>144</v>
      </c>
      <c r="B55" s="71" t="s">
        <v>145</v>
      </c>
      <c r="C55" s="80" t="s">
        <v>165</v>
      </c>
      <c r="D55" s="39"/>
      <c r="E55" s="71" t="s">
        <v>168</v>
      </c>
      <c r="F55" s="88" t="s">
        <v>169</v>
      </c>
      <c r="G55" s="3"/>
      <c r="H55" s="4"/>
      <c r="I55" s="81" t="s">
        <v>146</v>
      </c>
      <c r="J55" s="3"/>
      <c r="K55" s="4"/>
      <c r="L55" s="81" t="s">
        <v>170</v>
      </c>
      <c r="M55" s="3"/>
      <c r="N55" s="4"/>
      <c r="O55" s="65"/>
      <c r="P55" s="57"/>
      <c r="Q55" s="61"/>
    </row>
    <row r="56">
      <c r="A56" s="16"/>
      <c r="B56" s="73"/>
      <c r="C56" s="73"/>
      <c r="D56" s="46"/>
      <c r="E56" s="73"/>
      <c r="F56" s="89" t="s">
        <v>171</v>
      </c>
      <c r="G56" s="4"/>
      <c r="H56" s="1" t="s">
        <v>172</v>
      </c>
      <c r="I56" s="1" t="s">
        <v>147</v>
      </c>
      <c r="J56" s="90" t="s">
        <v>166</v>
      </c>
      <c r="K56" s="4"/>
      <c r="L56" s="90" t="s">
        <v>147</v>
      </c>
      <c r="M56" s="4"/>
      <c r="N56" s="1" t="s">
        <v>166</v>
      </c>
      <c r="O56" s="65"/>
      <c r="P56" s="57"/>
      <c r="Q56" s="61"/>
    </row>
    <row r="57">
      <c r="A57" s="74">
        <v>11.0</v>
      </c>
      <c r="B57" s="75">
        <v>0.0</v>
      </c>
      <c r="C57" s="83">
        <v>0.0</v>
      </c>
      <c r="D57" s="4"/>
      <c r="E57" s="75">
        <v>0.0</v>
      </c>
      <c r="F57" s="83">
        <v>0.0</v>
      </c>
      <c r="G57" s="4"/>
      <c r="H57" s="74">
        <v>18.9</v>
      </c>
      <c r="I57" s="74">
        <v>0.0</v>
      </c>
      <c r="J57" s="91">
        <v>0.0</v>
      </c>
      <c r="K57" s="4"/>
      <c r="L57" s="91">
        <v>0.0</v>
      </c>
      <c r="M57" s="4"/>
      <c r="N57" s="74">
        <v>0.0</v>
      </c>
      <c r="O57" s="65"/>
      <c r="P57" s="57"/>
      <c r="Q57" s="61"/>
    </row>
    <row r="58">
      <c r="A58" s="19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65"/>
      <c r="P58" s="57"/>
      <c r="Q58" s="61"/>
    </row>
    <row r="59">
      <c r="A59" s="11" t="s">
        <v>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4"/>
      <c r="O59" s="65"/>
      <c r="P59" s="57"/>
      <c r="Q59" s="61"/>
    </row>
    <row r="60">
      <c r="A60" s="15" t="s">
        <v>11</v>
      </c>
      <c r="B60" s="2" t="s">
        <v>12</v>
      </c>
      <c r="C60" s="3"/>
      <c r="D60" s="3"/>
      <c r="E60" s="3"/>
      <c r="F60" s="4"/>
      <c r="G60" s="2" t="s">
        <v>13</v>
      </c>
      <c r="H60" s="3"/>
      <c r="I60" s="3"/>
      <c r="J60" s="3"/>
      <c r="K60" s="10" t="s">
        <v>14</v>
      </c>
      <c r="L60" s="3"/>
      <c r="M60" s="3"/>
      <c r="N60" s="4"/>
      <c r="O60" s="65"/>
      <c r="P60" s="57"/>
      <c r="Q60" s="61"/>
    </row>
    <row r="61">
      <c r="A61" s="16"/>
      <c r="B61" s="17" t="s">
        <v>15</v>
      </c>
      <c r="C61" s="4"/>
      <c r="D61" s="17" t="s">
        <v>16</v>
      </c>
      <c r="E61" s="3"/>
      <c r="F61" s="4"/>
      <c r="G61" s="17" t="s">
        <v>15</v>
      </c>
      <c r="H61" s="4"/>
      <c r="I61" s="17" t="s">
        <v>16</v>
      </c>
      <c r="J61" s="4"/>
      <c r="K61" s="17" t="s">
        <v>15</v>
      </c>
      <c r="L61" s="4"/>
      <c r="M61" s="17" t="s">
        <v>16</v>
      </c>
      <c r="N61" s="4"/>
      <c r="O61" s="95" t="s">
        <v>8</v>
      </c>
      <c r="P61" s="96" t="s">
        <v>124</v>
      </c>
      <c r="Q61" s="97" t="s">
        <v>125</v>
      </c>
    </row>
    <row r="62">
      <c r="A62" s="18" t="s">
        <v>65</v>
      </c>
      <c r="B62" s="20">
        <v>0.3854166666666667</v>
      </c>
      <c r="C62" s="4"/>
      <c r="D62" s="19"/>
      <c r="E62" s="3"/>
      <c r="F62" s="4"/>
      <c r="G62" s="19"/>
      <c r="H62" s="4"/>
      <c r="I62" s="20">
        <v>0.7479166666666667</v>
      </c>
      <c r="J62" s="4"/>
      <c r="K62" s="19"/>
      <c r="L62" s="4"/>
      <c r="M62" s="19"/>
      <c r="N62" s="4"/>
      <c r="O62" s="65">
        <f t="shared" ref="O62:O63" si="6">I62-B62</f>
        <v>0.3625</v>
      </c>
      <c r="P62" s="58">
        <v>0.3541666666666667</v>
      </c>
      <c r="Q62" s="61"/>
    </row>
    <row r="63">
      <c r="A63" s="18" t="s">
        <v>189</v>
      </c>
      <c r="B63" s="20">
        <v>0.3861111111111111</v>
      </c>
      <c r="C63" s="4"/>
      <c r="D63" s="19"/>
      <c r="E63" s="3"/>
      <c r="F63" s="4"/>
      <c r="G63" s="19"/>
      <c r="H63" s="4"/>
      <c r="I63" s="20">
        <v>0.7423611111111111</v>
      </c>
      <c r="J63" s="4"/>
      <c r="K63" s="19"/>
      <c r="L63" s="4"/>
      <c r="M63" s="19"/>
      <c r="N63" s="4"/>
      <c r="O63" s="65">
        <f t="shared" si="6"/>
        <v>0.35625</v>
      </c>
      <c r="P63" s="58">
        <v>0.3541666666666667</v>
      </c>
      <c r="Q63" s="61"/>
    </row>
    <row r="64">
      <c r="A64" s="18" t="s">
        <v>190</v>
      </c>
      <c r="B64" s="23"/>
      <c r="C64" s="4"/>
      <c r="D64" s="24"/>
      <c r="E64" s="3"/>
      <c r="F64" s="3"/>
      <c r="G64" s="25"/>
      <c r="H64" s="3"/>
      <c r="I64" s="26"/>
      <c r="J64" s="3"/>
      <c r="K64" s="24"/>
      <c r="L64" s="3"/>
      <c r="M64" s="24"/>
      <c r="N64" s="4"/>
      <c r="O64" s="65"/>
      <c r="P64" s="57"/>
      <c r="Q64" s="61"/>
    </row>
    <row r="65">
      <c r="A65" s="18" t="s">
        <v>191</v>
      </c>
      <c r="B65" s="20">
        <v>0.37916666666666665</v>
      </c>
      <c r="C65" s="4"/>
      <c r="D65" s="19"/>
      <c r="E65" s="3"/>
      <c r="F65" s="4"/>
      <c r="G65" s="19"/>
      <c r="H65" s="4"/>
      <c r="I65" s="20">
        <v>0.7527777777777778</v>
      </c>
      <c r="J65" s="4"/>
      <c r="K65" s="19"/>
      <c r="L65" s="4"/>
      <c r="M65" s="19"/>
      <c r="N65" s="4"/>
      <c r="O65" s="65">
        <f>I65-B65</f>
        <v>0.3736111111</v>
      </c>
      <c r="P65" s="58">
        <v>0.3541666666666667</v>
      </c>
      <c r="Q65" s="61"/>
    </row>
    <row r="66">
      <c r="A66" s="22" t="s">
        <v>192</v>
      </c>
      <c r="B66" s="20">
        <v>0.21388888888888888</v>
      </c>
      <c r="C66" s="4"/>
      <c r="D66" s="20">
        <v>0.5916666666666667</v>
      </c>
      <c r="E66" s="3"/>
      <c r="F66" s="4"/>
      <c r="G66" s="19"/>
      <c r="H66" s="4"/>
      <c r="I66" s="19"/>
      <c r="J66" s="4"/>
      <c r="K66" s="19"/>
      <c r="L66" s="4"/>
      <c r="M66" s="19"/>
      <c r="N66" s="4"/>
      <c r="O66" s="65">
        <f>D66-B66</f>
        <v>0.3777777778</v>
      </c>
      <c r="P66" s="58">
        <v>0.3541666666666667</v>
      </c>
      <c r="Q66" s="65">
        <f>O66-P66</f>
        <v>0.02361111111</v>
      </c>
    </row>
    <row r="67">
      <c r="A67" s="22" t="s">
        <v>193</v>
      </c>
      <c r="B67" s="19"/>
      <c r="C67" s="4"/>
      <c r="D67" s="19"/>
      <c r="E67" s="3"/>
      <c r="F67" s="4"/>
      <c r="G67" s="19"/>
      <c r="H67" s="4"/>
      <c r="I67" s="19"/>
      <c r="J67" s="4"/>
      <c r="K67" s="19"/>
      <c r="L67" s="4"/>
      <c r="M67" s="19"/>
      <c r="N67" s="4"/>
      <c r="O67" s="65"/>
      <c r="P67" s="57"/>
      <c r="Q67" s="61"/>
    </row>
    <row r="68">
      <c r="A68" s="18" t="s">
        <v>194</v>
      </c>
      <c r="B68" s="20">
        <v>0.21180555555555555</v>
      </c>
      <c r="C68" s="4"/>
      <c r="D68" s="19"/>
      <c r="E68" s="3"/>
      <c r="F68" s="4"/>
      <c r="G68" s="20">
        <v>0.6090277777777777</v>
      </c>
      <c r="H68" s="4"/>
      <c r="I68" s="19"/>
      <c r="J68" s="4"/>
      <c r="K68" s="19"/>
      <c r="L68" s="4"/>
      <c r="M68" s="19"/>
      <c r="N68" s="4"/>
      <c r="O68" s="65">
        <f>G68-B68</f>
        <v>0.3972222222</v>
      </c>
      <c r="P68" s="58">
        <v>0.3541666666666667</v>
      </c>
      <c r="Q68" s="65">
        <f>O68-P68</f>
        <v>0.04305555556</v>
      </c>
    </row>
    <row r="69">
      <c r="A69" s="18" t="s">
        <v>195</v>
      </c>
      <c r="B69" s="20">
        <v>0.38055555555555554</v>
      </c>
      <c r="C69" s="4"/>
      <c r="D69" s="19"/>
      <c r="E69" s="3"/>
      <c r="F69" s="4"/>
      <c r="G69" s="19"/>
      <c r="H69" s="4"/>
      <c r="I69" s="20">
        <v>0.7388888888888889</v>
      </c>
      <c r="J69" s="4"/>
      <c r="K69" s="19"/>
      <c r="L69" s="4"/>
      <c r="M69" s="19"/>
      <c r="N69" s="4"/>
      <c r="O69" s="65">
        <f t="shared" ref="O69:O70" si="7">I69-B69</f>
        <v>0.3583333333</v>
      </c>
      <c r="P69" s="58">
        <v>0.3541666666666667</v>
      </c>
      <c r="Q69" s="61"/>
    </row>
    <row r="70">
      <c r="A70" s="18" t="s">
        <v>196</v>
      </c>
      <c r="B70" s="20">
        <v>0.3784722222222222</v>
      </c>
      <c r="C70" s="4"/>
      <c r="D70" s="19"/>
      <c r="E70" s="3"/>
      <c r="F70" s="4"/>
      <c r="G70" s="19"/>
      <c r="H70" s="4"/>
      <c r="I70" s="20">
        <v>0.7506944444444444</v>
      </c>
      <c r="J70" s="4"/>
      <c r="K70" s="19"/>
      <c r="L70" s="4"/>
      <c r="M70" s="19"/>
      <c r="N70" s="4"/>
      <c r="O70" s="65">
        <f t="shared" si="7"/>
        <v>0.3722222222</v>
      </c>
      <c r="P70" s="58">
        <v>0.3541666666666667</v>
      </c>
      <c r="Q70" s="61"/>
    </row>
    <row r="71">
      <c r="A71" s="18" t="s">
        <v>197</v>
      </c>
      <c r="B71" s="23"/>
      <c r="C71" s="4"/>
      <c r="D71" s="24"/>
      <c r="E71" s="3"/>
      <c r="F71" s="3"/>
      <c r="G71" s="25"/>
      <c r="H71" s="3"/>
      <c r="I71" s="26"/>
      <c r="J71" s="3"/>
      <c r="K71" s="24"/>
      <c r="L71" s="3"/>
      <c r="M71" s="24"/>
      <c r="N71" s="4"/>
      <c r="O71" s="65"/>
      <c r="P71" s="57"/>
      <c r="Q71" s="61"/>
    </row>
    <row r="72">
      <c r="A72" s="18" t="s">
        <v>198</v>
      </c>
      <c r="B72" s="20">
        <v>0.3888888888888889</v>
      </c>
      <c r="C72" s="4"/>
      <c r="D72" s="19"/>
      <c r="E72" s="3"/>
      <c r="F72" s="4"/>
      <c r="G72" s="19"/>
      <c r="H72" s="4"/>
      <c r="I72" s="20">
        <v>0.7534722222222222</v>
      </c>
      <c r="J72" s="4"/>
      <c r="K72" s="19"/>
      <c r="L72" s="4"/>
      <c r="M72" s="19"/>
      <c r="N72" s="4"/>
      <c r="O72" s="65">
        <f>I72-B72</f>
        <v>0.3645833333</v>
      </c>
      <c r="P72" s="58">
        <v>0.3541666666666667</v>
      </c>
      <c r="Q72" s="61"/>
    </row>
    <row r="73">
      <c r="A73" s="22" t="s">
        <v>199</v>
      </c>
      <c r="B73" s="20">
        <v>0.22083333333333333</v>
      </c>
      <c r="C73" s="4"/>
      <c r="D73" s="20">
        <v>0.6284722222222222</v>
      </c>
      <c r="E73" s="3"/>
      <c r="F73" s="4"/>
      <c r="G73" s="19"/>
      <c r="H73" s="4"/>
      <c r="I73" s="19"/>
      <c r="J73" s="4"/>
      <c r="K73" s="19"/>
      <c r="L73" s="4"/>
      <c r="M73" s="19"/>
      <c r="N73" s="4"/>
      <c r="O73" s="65">
        <f>D73-B73</f>
        <v>0.4076388889</v>
      </c>
      <c r="P73" s="58">
        <v>0.3541666666666667</v>
      </c>
      <c r="Q73" s="65">
        <f>O73-P73</f>
        <v>0.05347222222</v>
      </c>
    </row>
    <row r="74">
      <c r="A74" s="22" t="s">
        <v>200</v>
      </c>
      <c r="B74" s="19"/>
      <c r="C74" s="4"/>
      <c r="D74" s="19"/>
      <c r="E74" s="3"/>
      <c r="F74" s="4"/>
      <c r="G74" s="19"/>
      <c r="H74" s="4"/>
      <c r="I74" s="19"/>
      <c r="J74" s="4"/>
      <c r="K74" s="19"/>
      <c r="L74" s="4"/>
      <c r="M74" s="19"/>
      <c r="N74" s="4"/>
      <c r="O74" s="65"/>
      <c r="P74" s="57"/>
      <c r="Q74" s="61"/>
    </row>
    <row r="75">
      <c r="A75" s="18" t="s">
        <v>201</v>
      </c>
      <c r="B75" s="20">
        <v>0.21944444444444444</v>
      </c>
      <c r="C75" s="4"/>
      <c r="D75" s="19"/>
      <c r="E75" s="3"/>
      <c r="F75" s="4"/>
      <c r="G75" s="20">
        <v>0.5833333333333334</v>
      </c>
      <c r="H75" s="4"/>
      <c r="I75" s="19"/>
      <c r="J75" s="4"/>
      <c r="K75" s="19"/>
      <c r="L75" s="4"/>
      <c r="M75" s="19"/>
      <c r="N75" s="4"/>
      <c r="O75" s="65">
        <f t="shared" ref="O75:O76" si="8">G75-B75</f>
        <v>0.3638888889</v>
      </c>
      <c r="P75" s="58">
        <v>0.3541666666666667</v>
      </c>
      <c r="Q75" s="61"/>
    </row>
    <row r="76">
      <c r="A76" s="18" t="s">
        <v>148</v>
      </c>
      <c r="B76" s="20">
        <v>0.39305555555555555</v>
      </c>
      <c r="C76" s="4"/>
      <c r="D76" s="19"/>
      <c r="E76" s="3"/>
      <c r="F76" s="4"/>
      <c r="G76" s="20">
        <v>0.7083333333333334</v>
      </c>
      <c r="H76" s="4"/>
      <c r="I76" s="19"/>
      <c r="J76" s="4"/>
      <c r="K76" s="19"/>
      <c r="L76" s="4"/>
      <c r="M76" s="19"/>
      <c r="N76" s="4"/>
      <c r="O76" s="65">
        <f t="shared" si="8"/>
        <v>0.3152777778</v>
      </c>
      <c r="P76" s="58">
        <v>0.3541666666666667</v>
      </c>
      <c r="Q76" s="61"/>
    </row>
    <row r="77">
      <c r="O77" s="65"/>
      <c r="P77" s="57"/>
      <c r="Q77" s="66">
        <f>Q68+Q73</f>
        <v>0.09652777778</v>
      </c>
    </row>
    <row r="78">
      <c r="O78" s="65"/>
      <c r="P78" s="57"/>
      <c r="Q78" s="61"/>
    </row>
    <row r="79">
      <c r="A79" s="1" t="s">
        <v>0</v>
      </c>
      <c r="B79" s="2" t="s">
        <v>1</v>
      </c>
      <c r="C79" s="3"/>
      <c r="D79" s="3"/>
      <c r="E79" s="3"/>
      <c r="F79" s="3"/>
      <c r="G79" s="3"/>
      <c r="H79" s="4"/>
      <c r="I79" s="1" t="s">
        <v>2</v>
      </c>
      <c r="J79" s="10" t="s">
        <v>37</v>
      </c>
      <c r="K79" s="3"/>
      <c r="L79" s="3"/>
      <c r="M79" s="3"/>
      <c r="N79" s="4"/>
      <c r="O79" s="65"/>
      <c r="P79" s="57"/>
      <c r="Q79" s="61"/>
    </row>
    <row r="80">
      <c r="A80" s="1" t="s">
        <v>4</v>
      </c>
      <c r="B80" s="9" t="s">
        <v>188</v>
      </c>
      <c r="C80" s="3"/>
      <c r="D80" s="3"/>
      <c r="E80" s="3"/>
      <c r="F80" s="3"/>
      <c r="G80" s="3"/>
      <c r="H80" s="4"/>
      <c r="I80" s="1" t="s">
        <v>6</v>
      </c>
      <c r="J80" s="10">
        <v>10.0</v>
      </c>
      <c r="K80" s="3"/>
      <c r="L80" s="3"/>
      <c r="M80" s="3"/>
      <c r="N80" s="4"/>
      <c r="O80" s="65"/>
      <c r="P80" s="57"/>
      <c r="Q80" s="61"/>
    </row>
    <row r="81">
      <c r="A81" s="70" t="s">
        <v>144</v>
      </c>
      <c r="B81" s="71" t="s">
        <v>145</v>
      </c>
      <c r="C81" s="80" t="s">
        <v>165</v>
      </c>
      <c r="D81" s="39"/>
      <c r="E81" s="71" t="s">
        <v>168</v>
      </c>
      <c r="F81" s="88" t="s">
        <v>169</v>
      </c>
      <c r="G81" s="3"/>
      <c r="H81" s="4"/>
      <c r="I81" s="81" t="s">
        <v>146</v>
      </c>
      <c r="J81" s="3"/>
      <c r="K81" s="4"/>
      <c r="L81" s="81" t="s">
        <v>170</v>
      </c>
      <c r="M81" s="3"/>
      <c r="N81" s="4"/>
      <c r="O81" s="65"/>
      <c r="P81" s="57"/>
      <c r="Q81" s="61"/>
    </row>
    <row r="82">
      <c r="A82" s="16"/>
      <c r="B82" s="73"/>
      <c r="C82" s="73"/>
      <c r="D82" s="46"/>
      <c r="E82" s="73"/>
      <c r="F82" s="89" t="s">
        <v>171</v>
      </c>
      <c r="G82" s="4"/>
      <c r="H82" s="1" t="s">
        <v>172</v>
      </c>
      <c r="I82" s="1" t="s">
        <v>147</v>
      </c>
      <c r="J82" s="90" t="s">
        <v>166</v>
      </c>
      <c r="K82" s="4"/>
      <c r="L82" s="90" t="s">
        <v>147</v>
      </c>
      <c r="M82" s="4"/>
      <c r="N82" s="1" t="s">
        <v>166</v>
      </c>
      <c r="O82" s="65"/>
      <c r="P82" s="57"/>
      <c r="Q82" s="61"/>
    </row>
    <row r="83">
      <c r="A83" s="74">
        <v>11.0</v>
      </c>
      <c r="B83" s="75">
        <v>0.0</v>
      </c>
      <c r="C83" s="83">
        <v>0.0</v>
      </c>
      <c r="D83" s="4"/>
      <c r="E83" s="75">
        <v>0.0</v>
      </c>
      <c r="F83" s="83">
        <v>0.0</v>
      </c>
      <c r="G83" s="4"/>
      <c r="H83" s="74">
        <v>14.1</v>
      </c>
      <c r="I83" s="74">
        <v>0.0</v>
      </c>
      <c r="J83" s="91">
        <v>0.0</v>
      </c>
      <c r="K83" s="4"/>
      <c r="L83" s="91">
        <v>0.0</v>
      </c>
      <c r="M83" s="4"/>
      <c r="N83" s="74">
        <v>0.0</v>
      </c>
      <c r="O83" s="65"/>
      <c r="P83" s="57"/>
      <c r="Q83" s="61"/>
    </row>
    <row r="84">
      <c r="A84" s="19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65"/>
      <c r="P84" s="57"/>
      <c r="Q84" s="61"/>
    </row>
    <row r="85">
      <c r="A85" s="11" t="s">
        <v>7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4"/>
      <c r="O85" s="65"/>
      <c r="P85" s="57"/>
      <c r="Q85" s="61"/>
    </row>
    <row r="86">
      <c r="A86" s="15" t="s">
        <v>11</v>
      </c>
      <c r="B86" s="2" t="s">
        <v>12</v>
      </c>
      <c r="C86" s="3"/>
      <c r="D86" s="3"/>
      <c r="E86" s="3"/>
      <c r="F86" s="4"/>
      <c r="G86" s="2" t="s">
        <v>13</v>
      </c>
      <c r="H86" s="3"/>
      <c r="I86" s="3"/>
      <c r="J86" s="3"/>
      <c r="K86" s="10" t="s">
        <v>14</v>
      </c>
      <c r="L86" s="3"/>
      <c r="M86" s="3"/>
      <c r="N86" s="4"/>
      <c r="O86" s="65"/>
      <c r="P86" s="57"/>
      <c r="Q86" s="61"/>
    </row>
    <row r="87">
      <c r="A87" s="16"/>
      <c r="B87" s="17" t="s">
        <v>15</v>
      </c>
      <c r="C87" s="4"/>
      <c r="D87" s="17" t="s">
        <v>16</v>
      </c>
      <c r="E87" s="3"/>
      <c r="F87" s="4"/>
      <c r="G87" s="17" t="s">
        <v>15</v>
      </c>
      <c r="H87" s="4"/>
      <c r="I87" s="17" t="s">
        <v>16</v>
      </c>
      <c r="J87" s="4"/>
      <c r="K87" s="17" t="s">
        <v>15</v>
      </c>
      <c r="L87" s="4"/>
      <c r="M87" s="17" t="s">
        <v>16</v>
      </c>
      <c r="N87" s="4"/>
      <c r="O87" s="95" t="s">
        <v>8</v>
      </c>
      <c r="P87" s="96" t="s">
        <v>124</v>
      </c>
      <c r="Q87" s="97" t="s">
        <v>125</v>
      </c>
    </row>
    <row r="88">
      <c r="A88" s="18" t="s">
        <v>65</v>
      </c>
      <c r="B88" s="20">
        <v>0.3638888888888889</v>
      </c>
      <c r="C88" s="4"/>
      <c r="D88" s="19"/>
      <c r="E88" s="3"/>
      <c r="F88" s="4"/>
      <c r="G88" s="19"/>
      <c r="H88" s="4"/>
      <c r="I88" s="20">
        <v>0.7138888888888889</v>
      </c>
      <c r="J88" s="4"/>
      <c r="K88" s="19"/>
      <c r="L88" s="4"/>
      <c r="M88" s="19"/>
      <c r="N88" s="4"/>
      <c r="O88" s="65">
        <f>I88-B88</f>
        <v>0.35</v>
      </c>
      <c r="P88" s="58">
        <v>0.375</v>
      </c>
      <c r="Q88" s="61"/>
    </row>
    <row r="89">
      <c r="A89" s="18" t="s">
        <v>189</v>
      </c>
      <c r="B89" s="20">
        <v>0.36527777777777776</v>
      </c>
      <c r="C89" s="4"/>
      <c r="D89" s="19"/>
      <c r="E89" s="3"/>
      <c r="F89" s="4"/>
      <c r="G89" s="19"/>
      <c r="H89" s="4"/>
      <c r="I89" s="19"/>
      <c r="J89" s="4"/>
      <c r="K89" s="19"/>
      <c r="L89" s="4"/>
      <c r="M89" s="20">
        <v>0.8652777777777778</v>
      </c>
      <c r="N89" s="4"/>
      <c r="O89" s="65">
        <f>M89-B89</f>
        <v>0.5</v>
      </c>
      <c r="P89" s="58">
        <v>0.375</v>
      </c>
      <c r="Q89" s="65">
        <f>O89-P89</f>
        <v>0.125</v>
      </c>
    </row>
    <row r="90">
      <c r="A90" s="18" t="s">
        <v>190</v>
      </c>
      <c r="B90" s="33">
        <v>0.3541666666666667</v>
      </c>
      <c r="C90" s="4"/>
      <c r="D90" s="34">
        <v>0.7291666666666666</v>
      </c>
      <c r="E90" s="3"/>
      <c r="F90" s="3"/>
      <c r="G90" s="25"/>
      <c r="H90" s="3"/>
      <c r="I90" s="26"/>
      <c r="J90" s="3"/>
      <c r="K90" s="24"/>
      <c r="L90" s="3"/>
      <c r="M90" s="24"/>
      <c r="N90" s="4"/>
      <c r="O90" s="65">
        <f>D90-B90</f>
        <v>0.375</v>
      </c>
      <c r="P90" s="58">
        <v>0.375</v>
      </c>
      <c r="Q90" s="61"/>
    </row>
    <row r="91">
      <c r="A91" s="18" t="s">
        <v>191</v>
      </c>
      <c r="B91" s="20">
        <v>0.3763888888888889</v>
      </c>
      <c r="C91" s="4"/>
      <c r="D91" s="19"/>
      <c r="E91" s="3"/>
      <c r="F91" s="4"/>
      <c r="G91" s="19"/>
      <c r="H91" s="4"/>
      <c r="I91" s="19"/>
      <c r="J91" s="4"/>
      <c r="K91" s="19"/>
      <c r="L91" s="4"/>
      <c r="M91" s="20">
        <v>0.8784722222222222</v>
      </c>
      <c r="N91" s="4"/>
      <c r="O91" s="65">
        <f>M91-B91</f>
        <v>0.5020833333</v>
      </c>
      <c r="P91" s="58">
        <v>0.375</v>
      </c>
      <c r="Q91" s="65">
        <f>O91-P91</f>
        <v>0.1270833333</v>
      </c>
    </row>
    <row r="92">
      <c r="A92" s="22" t="s">
        <v>192</v>
      </c>
      <c r="B92" s="20">
        <v>0.3527777777777778</v>
      </c>
      <c r="C92" s="4"/>
      <c r="D92" s="20">
        <v>0.6694444444444444</v>
      </c>
      <c r="E92" s="3"/>
      <c r="F92" s="4"/>
      <c r="G92" s="19"/>
      <c r="H92" s="4"/>
      <c r="I92" s="19"/>
      <c r="J92" s="4"/>
      <c r="K92" s="19"/>
      <c r="L92" s="4"/>
      <c r="M92" s="19"/>
      <c r="N92" s="4"/>
      <c r="O92" s="65">
        <f>D92-B92</f>
        <v>0.3166666667</v>
      </c>
      <c r="P92" s="58">
        <v>0.375</v>
      </c>
      <c r="Q92" s="65">
        <f>O92</f>
        <v>0.3166666667</v>
      </c>
    </row>
    <row r="93">
      <c r="A93" s="22" t="s">
        <v>193</v>
      </c>
      <c r="B93" s="19"/>
      <c r="C93" s="4"/>
      <c r="D93" s="19"/>
      <c r="E93" s="3"/>
      <c r="F93" s="4"/>
      <c r="G93" s="19"/>
      <c r="H93" s="4"/>
      <c r="I93" s="19"/>
      <c r="J93" s="4"/>
      <c r="K93" s="19"/>
      <c r="L93" s="4"/>
      <c r="M93" s="19"/>
      <c r="N93" s="4"/>
      <c r="O93" s="65"/>
      <c r="P93" s="57"/>
      <c r="Q93" s="61"/>
    </row>
    <row r="94">
      <c r="A94" s="18" t="s">
        <v>194</v>
      </c>
      <c r="B94" s="20">
        <v>0.35347222222222224</v>
      </c>
      <c r="C94" s="4"/>
      <c r="D94" s="19"/>
      <c r="E94" s="3"/>
      <c r="F94" s="4"/>
      <c r="G94" s="19"/>
      <c r="H94" s="4"/>
      <c r="I94" s="19"/>
      <c r="J94" s="4"/>
      <c r="K94" s="19"/>
      <c r="L94" s="4"/>
      <c r="M94" s="20">
        <v>0.9083333333333333</v>
      </c>
      <c r="N94" s="4"/>
      <c r="O94" s="65">
        <f>M94-B94</f>
        <v>0.5548611111</v>
      </c>
      <c r="P94" s="58">
        <v>0.375</v>
      </c>
      <c r="Q94" s="65">
        <f>O94-P94</f>
        <v>0.1798611111</v>
      </c>
    </row>
    <row r="95">
      <c r="A95" s="18" t="s">
        <v>195</v>
      </c>
      <c r="B95" s="20">
        <v>0.4111111111111111</v>
      </c>
      <c r="C95" s="4"/>
      <c r="D95" s="19"/>
      <c r="E95" s="3"/>
      <c r="F95" s="4"/>
      <c r="G95" s="19"/>
      <c r="H95" s="4"/>
      <c r="I95" s="20">
        <v>0.7388888888888889</v>
      </c>
      <c r="J95" s="4"/>
      <c r="K95" s="19"/>
      <c r="L95" s="4"/>
      <c r="M95" s="19"/>
      <c r="N95" s="4"/>
      <c r="O95" s="65">
        <f>I95-B95</f>
        <v>0.3277777778</v>
      </c>
      <c r="P95" s="58">
        <v>0.375</v>
      </c>
      <c r="Q95" s="61"/>
    </row>
    <row r="96">
      <c r="A96" s="18" t="s">
        <v>196</v>
      </c>
      <c r="B96" s="20">
        <v>0.3715277777777778</v>
      </c>
      <c r="C96" s="4"/>
      <c r="D96" s="19"/>
      <c r="E96" s="3"/>
      <c r="F96" s="4"/>
      <c r="G96" s="19"/>
      <c r="H96" s="4"/>
      <c r="I96" s="19"/>
      <c r="J96" s="4"/>
      <c r="K96" s="19"/>
      <c r="L96" s="4"/>
      <c r="M96" s="20">
        <v>0.8965277777777778</v>
      </c>
      <c r="N96" s="4"/>
      <c r="O96" s="65">
        <f>M96-B96</f>
        <v>0.525</v>
      </c>
      <c r="P96" s="58">
        <v>0.375</v>
      </c>
      <c r="Q96" s="65">
        <f>O96-P96</f>
        <v>0.15</v>
      </c>
    </row>
    <row r="97">
      <c r="A97" s="18" t="s">
        <v>197</v>
      </c>
      <c r="B97" s="20">
        <v>0.3701388888888889</v>
      </c>
      <c r="C97" s="4"/>
      <c r="D97" s="19"/>
      <c r="E97" s="3"/>
      <c r="F97" s="4"/>
      <c r="G97" s="19"/>
      <c r="H97" s="4"/>
      <c r="I97" s="20">
        <v>0.7118055555555556</v>
      </c>
      <c r="J97" s="4"/>
      <c r="K97" s="19"/>
      <c r="L97" s="4"/>
      <c r="M97" s="19"/>
      <c r="N97" s="4"/>
      <c r="O97" s="65">
        <f>I97-B97</f>
        <v>0.3416666667</v>
      </c>
      <c r="P97" s="58">
        <v>0.375</v>
      </c>
      <c r="Q97" s="61"/>
    </row>
    <row r="98">
      <c r="A98" s="18" t="s">
        <v>198</v>
      </c>
      <c r="B98" s="20">
        <v>0.37083333333333335</v>
      </c>
      <c r="C98" s="4"/>
      <c r="D98" s="19"/>
      <c r="E98" s="3"/>
      <c r="F98" s="4"/>
      <c r="G98" s="19"/>
      <c r="H98" s="4"/>
      <c r="I98" s="19"/>
      <c r="J98" s="4"/>
      <c r="K98" s="19"/>
      <c r="L98" s="4"/>
      <c r="M98" s="20">
        <v>0.8895833333333333</v>
      </c>
      <c r="N98" s="4"/>
      <c r="O98" s="65">
        <f>M98-B98</f>
        <v>0.51875</v>
      </c>
      <c r="P98" s="58">
        <v>0.375</v>
      </c>
      <c r="Q98" s="65">
        <f>O98-P98</f>
        <v>0.14375</v>
      </c>
    </row>
    <row r="99">
      <c r="A99" s="22" t="s">
        <v>199</v>
      </c>
      <c r="B99" s="20">
        <v>0.40694444444444444</v>
      </c>
      <c r="C99" s="4"/>
      <c r="D99" s="20">
        <v>0.6784722222222223</v>
      </c>
      <c r="E99" s="3"/>
      <c r="F99" s="4"/>
      <c r="G99" s="19"/>
      <c r="H99" s="4"/>
      <c r="I99" s="19"/>
      <c r="J99" s="4"/>
      <c r="K99" s="19"/>
      <c r="L99" s="4"/>
      <c r="M99" s="19"/>
      <c r="N99" s="4"/>
      <c r="O99" s="65">
        <f>D99-B99</f>
        <v>0.2715277778</v>
      </c>
      <c r="P99" s="58">
        <v>0.375</v>
      </c>
      <c r="Q99" s="65">
        <f>O99</f>
        <v>0.2715277778</v>
      </c>
    </row>
    <row r="100">
      <c r="A100" s="22" t="s">
        <v>200</v>
      </c>
      <c r="B100" s="19"/>
      <c r="C100" s="4"/>
      <c r="D100" s="19"/>
      <c r="E100" s="3"/>
      <c r="F100" s="4"/>
      <c r="G100" s="19"/>
      <c r="H100" s="4"/>
      <c r="I100" s="19"/>
      <c r="J100" s="4"/>
      <c r="K100" s="19"/>
      <c r="L100" s="4"/>
      <c r="M100" s="19"/>
      <c r="N100" s="4"/>
      <c r="O100" s="65"/>
      <c r="P100" s="57"/>
      <c r="Q100" s="61"/>
    </row>
    <row r="101">
      <c r="A101" s="18" t="s">
        <v>201</v>
      </c>
      <c r="B101" s="20">
        <v>0.36736111111111114</v>
      </c>
      <c r="C101" s="4"/>
      <c r="D101" s="19"/>
      <c r="E101" s="3"/>
      <c r="F101" s="4"/>
      <c r="G101" s="19"/>
      <c r="H101" s="4"/>
      <c r="I101" s="19"/>
      <c r="J101" s="4"/>
      <c r="K101" s="19"/>
      <c r="L101" s="4"/>
      <c r="M101" s="20">
        <v>0.875</v>
      </c>
      <c r="N101" s="4"/>
      <c r="O101" s="65">
        <f>M101-B101</f>
        <v>0.5076388889</v>
      </c>
      <c r="P101" s="58">
        <v>0.375</v>
      </c>
      <c r="Q101" s="65">
        <f t="shared" ref="Q101:Q102" si="9">O101-P101</f>
        <v>0.1326388889</v>
      </c>
    </row>
    <row r="102">
      <c r="A102" s="18" t="s">
        <v>148</v>
      </c>
      <c r="B102" s="20">
        <v>0.30694444444444446</v>
      </c>
      <c r="C102" s="4"/>
      <c r="D102" s="20">
        <v>0.7291666666666666</v>
      </c>
      <c r="E102" s="3"/>
      <c r="F102" s="4"/>
      <c r="G102" s="19"/>
      <c r="H102" s="4"/>
      <c r="I102" s="19"/>
      <c r="J102" s="4"/>
      <c r="K102" s="19"/>
      <c r="L102" s="4"/>
      <c r="M102" s="19"/>
      <c r="N102" s="4"/>
      <c r="O102" s="65">
        <f>D102-B102</f>
        <v>0.4222222222</v>
      </c>
      <c r="P102" s="58">
        <v>0.375</v>
      </c>
      <c r="Q102" s="65">
        <f t="shared" si="9"/>
        <v>0.04722222222</v>
      </c>
    </row>
    <row r="103">
      <c r="O103" s="65"/>
      <c r="P103" s="57"/>
      <c r="Q103" s="66">
        <f>Q89+Q91+Q92+Q94+Q96+Q98+Q99+Q101+Q102</f>
        <v>1.49375</v>
      </c>
    </row>
    <row r="104">
      <c r="O104" s="65"/>
      <c r="P104" s="57"/>
      <c r="Q104" s="61"/>
    </row>
    <row r="105">
      <c r="A105" s="1" t="s">
        <v>0</v>
      </c>
      <c r="B105" s="2" t="s">
        <v>1</v>
      </c>
      <c r="C105" s="3"/>
      <c r="D105" s="3"/>
      <c r="E105" s="3"/>
      <c r="F105" s="3"/>
      <c r="G105" s="3"/>
      <c r="H105" s="4"/>
      <c r="I105" s="1" t="s">
        <v>2</v>
      </c>
      <c r="J105" s="10" t="s">
        <v>101</v>
      </c>
      <c r="K105" s="3"/>
      <c r="L105" s="3"/>
      <c r="M105" s="3"/>
      <c r="N105" s="4"/>
      <c r="O105" s="65"/>
      <c r="P105" s="57"/>
      <c r="Q105" s="61"/>
    </row>
    <row r="106">
      <c r="A106" s="1" t="s">
        <v>4</v>
      </c>
      <c r="B106" s="9" t="s">
        <v>188</v>
      </c>
      <c r="C106" s="3"/>
      <c r="D106" s="3"/>
      <c r="E106" s="3"/>
      <c r="F106" s="3"/>
      <c r="G106" s="3"/>
      <c r="H106" s="4"/>
      <c r="I106" s="1" t="s">
        <v>6</v>
      </c>
      <c r="J106" s="10">
        <v>16.0</v>
      </c>
      <c r="K106" s="3"/>
      <c r="L106" s="3"/>
      <c r="M106" s="3"/>
      <c r="N106" s="4"/>
      <c r="O106" s="65"/>
      <c r="P106" s="57"/>
      <c r="Q106" s="61"/>
    </row>
    <row r="107">
      <c r="A107" s="70" t="s">
        <v>144</v>
      </c>
      <c r="B107" s="71" t="s">
        <v>145</v>
      </c>
      <c r="C107" s="80" t="s">
        <v>165</v>
      </c>
      <c r="D107" s="39"/>
      <c r="E107" s="71" t="s">
        <v>168</v>
      </c>
      <c r="F107" s="88" t="s">
        <v>169</v>
      </c>
      <c r="G107" s="3"/>
      <c r="H107" s="4"/>
      <c r="I107" s="81" t="s">
        <v>146</v>
      </c>
      <c r="J107" s="3"/>
      <c r="K107" s="4"/>
      <c r="L107" s="81" t="s">
        <v>170</v>
      </c>
      <c r="M107" s="3"/>
      <c r="N107" s="4"/>
      <c r="O107" s="65"/>
      <c r="P107" s="57"/>
      <c r="Q107" s="61"/>
    </row>
    <row r="108">
      <c r="A108" s="16"/>
      <c r="B108" s="73"/>
      <c r="C108" s="73"/>
      <c r="D108" s="46"/>
      <c r="E108" s="73"/>
      <c r="F108" s="89" t="s">
        <v>171</v>
      </c>
      <c r="G108" s="4"/>
      <c r="H108" s="1" t="s">
        <v>172</v>
      </c>
      <c r="I108" s="1" t="s">
        <v>147</v>
      </c>
      <c r="J108" s="90" t="s">
        <v>166</v>
      </c>
      <c r="K108" s="4"/>
      <c r="L108" s="90" t="s">
        <v>147</v>
      </c>
      <c r="M108" s="4"/>
      <c r="N108" s="1" t="s">
        <v>166</v>
      </c>
      <c r="O108" s="65"/>
      <c r="P108" s="57"/>
      <c r="Q108" s="61"/>
    </row>
    <row r="109">
      <c r="A109" s="74">
        <v>11.0</v>
      </c>
      <c r="B109" s="75">
        <v>0.0</v>
      </c>
      <c r="C109" s="83">
        <v>0.0</v>
      </c>
      <c r="D109" s="4"/>
      <c r="E109" s="75">
        <v>0.0</v>
      </c>
      <c r="F109" s="83">
        <v>0.0</v>
      </c>
      <c r="G109" s="4"/>
      <c r="H109" s="74">
        <v>0.0</v>
      </c>
      <c r="I109" s="74">
        <v>0.0</v>
      </c>
      <c r="J109" s="91">
        <v>0.0</v>
      </c>
      <c r="K109" s="4"/>
      <c r="L109" s="91">
        <v>0.0</v>
      </c>
      <c r="M109" s="4"/>
      <c r="N109" s="74">
        <v>0.0</v>
      </c>
      <c r="O109" s="65"/>
      <c r="P109" s="57"/>
      <c r="Q109" s="61"/>
    </row>
    <row r="110">
      <c r="A110" s="19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65"/>
      <c r="P110" s="57"/>
      <c r="Q110" s="61"/>
    </row>
    <row r="111">
      <c r="A111" s="11" t="s">
        <v>7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4"/>
      <c r="O111" s="65"/>
      <c r="P111" s="57"/>
      <c r="Q111" s="61"/>
    </row>
    <row r="112">
      <c r="A112" s="15" t="s">
        <v>11</v>
      </c>
      <c r="B112" s="2" t="s">
        <v>12</v>
      </c>
      <c r="C112" s="3"/>
      <c r="D112" s="3"/>
      <c r="E112" s="3"/>
      <c r="F112" s="4"/>
      <c r="G112" s="2" t="s">
        <v>13</v>
      </c>
      <c r="H112" s="3"/>
      <c r="I112" s="3"/>
      <c r="J112" s="3"/>
      <c r="K112" s="10" t="s">
        <v>14</v>
      </c>
      <c r="L112" s="3"/>
      <c r="M112" s="3"/>
      <c r="N112" s="4"/>
      <c r="O112" s="65"/>
      <c r="P112" s="57"/>
      <c r="Q112" s="61"/>
    </row>
    <row r="113">
      <c r="A113" s="16"/>
      <c r="B113" s="17" t="s">
        <v>15</v>
      </c>
      <c r="C113" s="4"/>
      <c r="D113" s="17" t="s">
        <v>16</v>
      </c>
      <c r="E113" s="3"/>
      <c r="F113" s="4"/>
      <c r="G113" s="17" t="s">
        <v>15</v>
      </c>
      <c r="H113" s="4"/>
      <c r="I113" s="17" t="s">
        <v>16</v>
      </c>
      <c r="J113" s="4"/>
      <c r="K113" s="17" t="s">
        <v>15</v>
      </c>
      <c r="L113" s="4"/>
      <c r="M113" s="17" t="s">
        <v>16</v>
      </c>
      <c r="N113" s="4"/>
      <c r="O113" s="95" t="s">
        <v>8</v>
      </c>
      <c r="P113" s="96" t="s">
        <v>124</v>
      </c>
      <c r="Q113" s="97" t="s">
        <v>125</v>
      </c>
    </row>
    <row r="114">
      <c r="A114" s="18" t="s">
        <v>65</v>
      </c>
      <c r="B114" s="20">
        <v>0.1875</v>
      </c>
      <c r="C114" s="4"/>
      <c r="D114" s="19"/>
      <c r="E114" s="3"/>
      <c r="F114" s="4"/>
      <c r="G114" s="19"/>
      <c r="H114" s="4"/>
      <c r="I114" s="20">
        <v>0.6895833333333333</v>
      </c>
      <c r="J114" s="4"/>
      <c r="K114" s="19"/>
      <c r="L114" s="4"/>
      <c r="M114" s="19"/>
      <c r="N114" s="4"/>
      <c r="O114" s="65">
        <f>I114-B114</f>
        <v>0.5020833333</v>
      </c>
      <c r="P114" s="58">
        <v>0.3541666666666667</v>
      </c>
      <c r="Q114" s="65">
        <f t="shared" ref="Q114:Q115" si="10">O114-P114</f>
        <v>0.1479166667</v>
      </c>
    </row>
    <row r="115">
      <c r="A115" s="18" t="s">
        <v>189</v>
      </c>
      <c r="B115" s="20">
        <v>0.1875</v>
      </c>
      <c r="C115" s="4"/>
      <c r="D115" s="19"/>
      <c r="E115" s="3"/>
      <c r="F115" s="4"/>
      <c r="G115" s="19"/>
      <c r="H115" s="4"/>
      <c r="I115" s="19"/>
      <c r="J115" s="4"/>
      <c r="K115" s="19"/>
      <c r="L115" s="4"/>
      <c r="M115" s="20">
        <v>0.8645833333333334</v>
      </c>
      <c r="N115" s="4"/>
      <c r="O115" s="65">
        <f>M115-B115</f>
        <v>0.6770833333</v>
      </c>
      <c r="P115" s="58">
        <v>0.3541666666666667</v>
      </c>
      <c r="Q115" s="65">
        <f t="shared" si="10"/>
        <v>0.3229166667</v>
      </c>
    </row>
    <row r="116">
      <c r="A116" s="18" t="s">
        <v>190</v>
      </c>
      <c r="B116" s="20">
        <v>0.3715277777777778</v>
      </c>
      <c r="C116" s="4"/>
      <c r="D116" s="19"/>
      <c r="E116" s="3"/>
      <c r="F116" s="4"/>
      <c r="G116" s="19"/>
      <c r="H116" s="4"/>
      <c r="I116" s="20">
        <v>0.7131944444444445</v>
      </c>
      <c r="J116" s="4"/>
      <c r="K116" s="19"/>
      <c r="L116" s="4"/>
      <c r="M116" s="19"/>
      <c r="N116" s="4"/>
      <c r="O116" s="65">
        <f>I116-B116</f>
        <v>0.3416666667</v>
      </c>
      <c r="P116" s="58">
        <v>0.3541666666666667</v>
      </c>
      <c r="Q116" s="61"/>
    </row>
    <row r="117">
      <c r="A117" s="18" t="s">
        <v>191</v>
      </c>
      <c r="B117" s="20">
        <v>0.37916666666666665</v>
      </c>
      <c r="C117" s="4"/>
      <c r="D117" s="19"/>
      <c r="E117" s="3"/>
      <c r="F117" s="4"/>
      <c r="G117" s="19"/>
      <c r="H117" s="4"/>
      <c r="I117" s="19"/>
      <c r="J117" s="4"/>
      <c r="K117" s="19"/>
      <c r="L117" s="4"/>
      <c r="M117" s="20">
        <v>0.875</v>
      </c>
      <c r="N117" s="4"/>
      <c r="O117" s="65">
        <f>M117-B117</f>
        <v>0.4958333333</v>
      </c>
      <c r="P117" s="58">
        <v>0.3541666666666667</v>
      </c>
      <c r="Q117" s="65">
        <f>O117-P117</f>
        <v>0.1416666667</v>
      </c>
    </row>
    <row r="118">
      <c r="A118" s="22" t="s">
        <v>192</v>
      </c>
      <c r="B118" s="19"/>
      <c r="C118" s="4"/>
      <c r="D118" s="19"/>
      <c r="E118" s="3"/>
      <c r="F118" s="4"/>
      <c r="G118" s="19"/>
      <c r="H118" s="4"/>
      <c r="I118" s="19"/>
      <c r="J118" s="4"/>
      <c r="K118" s="19"/>
      <c r="L118" s="4"/>
      <c r="M118" s="19"/>
      <c r="N118" s="4"/>
      <c r="O118" s="65"/>
      <c r="P118" s="57"/>
      <c r="Q118" s="61"/>
    </row>
    <row r="119">
      <c r="A119" s="22" t="s">
        <v>193</v>
      </c>
      <c r="B119" s="19"/>
      <c r="C119" s="4"/>
      <c r="D119" s="19"/>
      <c r="E119" s="3"/>
      <c r="F119" s="4"/>
      <c r="G119" s="19"/>
      <c r="H119" s="4"/>
      <c r="I119" s="19"/>
      <c r="J119" s="4"/>
      <c r="K119" s="19"/>
      <c r="L119" s="4"/>
      <c r="M119" s="19"/>
      <c r="N119" s="4"/>
      <c r="O119" s="65"/>
      <c r="P119" s="57"/>
      <c r="Q119" s="61"/>
    </row>
    <row r="120">
      <c r="A120" s="18" t="s">
        <v>194</v>
      </c>
      <c r="B120" s="19"/>
      <c r="C120" s="4"/>
      <c r="D120" s="19"/>
      <c r="E120" s="3"/>
      <c r="F120" s="4"/>
      <c r="G120" s="20">
        <v>0.5638888888888889</v>
      </c>
      <c r="H120" s="4"/>
      <c r="I120" s="19"/>
      <c r="J120" s="4"/>
      <c r="K120" s="19"/>
      <c r="L120" s="4"/>
      <c r="M120" s="19"/>
      <c r="N120" s="4"/>
      <c r="O120" s="65"/>
      <c r="P120" s="57"/>
      <c r="Q120" s="61"/>
    </row>
    <row r="121">
      <c r="A121" s="18" t="s">
        <v>195</v>
      </c>
      <c r="B121" s="20">
        <v>0.3645833333333333</v>
      </c>
      <c r="C121" s="4"/>
      <c r="D121" s="19"/>
      <c r="E121" s="3"/>
      <c r="F121" s="4"/>
      <c r="G121" s="19"/>
      <c r="H121" s="4"/>
      <c r="I121" s="20">
        <v>0.7375</v>
      </c>
      <c r="J121" s="4"/>
      <c r="K121" s="19"/>
      <c r="L121" s="4"/>
      <c r="M121" s="19"/>
      <c r="N121" s="4"/>
      <c r="O121" s="65">
        <f>I121-B121</f>
        <v>0.3729166667</v>
      </c>
      <c r="P121" s="58">
        <v>0.3541666666666667</v>
      </c>
      <c r="Q121" s="61"/>
    </row>
    <row r="122">
      <c r="A122" s="18" t="s">
        <v>196</v>
      </c>
      <c r="B122" s="20">
        <v>0.36875</v>
      </c>
      <c r="C122" s="4"/>
      <c r="D122" s="19"/>
      <c r="E122" s="3"/>
      <c r="F122" s="4"/>
      <c r="G122" s="19"/>
      <c r="H122" s="4"/>
      <c r="I122" s="19"/>
      <c r="J122" s="4"/>
      <c r="K122" s="19"/>
      <c r="L122" s="4"/>
      <c r="M122" s="20">
        <v>0.8958333333333334</v>
      </c>
      <c r="N122" s="4"/>
      <c r="O122" s="65">
        <f>M122-B122</f>
        <v>0.5270833333</v>
      </c>
      <c r="P122" s="58">
        <v>0.3541666666666667</v>
      </c>
      <c r="Q122" s="65">
        <f>O122-P122</f>
        <v>0.1729166667</v>
      </c>
    </row>
    <row r="123">
      <c r="A123" s="18" t="s">
        <v>197</v>
      </c>
      <c r="B123" s="20">
        <v>0.36527777777777776</v>
      </c>
      <c r="C123" s="4"/>
      <c r="D123" s="19"/>
      <c r="E123" s="3"/>
      <c r="F123" s="4"/>
      <c r="G123" s="19"/>
      <c r="H123" s="4"/>
      <c r="I123" s="20">
        <v>0.7118055555555556</v>
      </c>
      <c r="J123" s="4"/>
      <c r="K123" s="19"/>
      <c r="L123" s="4"/>
      <c r="M123" s="19"/>
      <c r="N123" s="4"/>
      <c r="O123" s="65"/>
      <c r="P123" s="57"/>
      <c r="Q123" s="61"/>
    </row>
    <row r="124">
      <c r="A124" s="18" t="s">
        <v>198</v>
      </c>
      <c r="B124" s="20">
        <v>0.36041666666666666</v>
      </c>
      <c r="C124" s="4"/>
      <c r="D124" s="19"/>
      <c r="E124" s="3"/>
      <c r="F124" s="4"/>
      <c r="G124" s="19"/>
      <c r="H124" s="4"/>
      <c r="I124" s="19"/>
      <c r="J124" s="4"/>
      <c r="K124" s="19"/>
      <c r="L124" s="4"/>
      <c r="M124" s="20">
        <v>0.8861111111111111</v>
      </c>
      <c r="N124" s="4"/>
      <c r="O124" s="65">
        <f>M124-B124</f>
        <v>0.5256944444</v>
      </c>
      <c r="P124" s="58">
        <v>0.3541666666666667</v>
      </c>
      <c r="Q124" s="65">
        <f>O124-P124</f>
        <v>0.1715277778</v>
      </c>
    </row>
    <row r="125">
      <c r="A125" s="22" t="s">
        <v>199</v>
      </c>
      <c r="B125" s="19"/>
      <c r="C125" s="4"/>
      <c r="D125" s="19"/>
      <c r="E125" s="3"/>
      <c r="F125" s="4"/>
      <c r="G125" s="19"/>
      <c r="H125" s="4"/>
      <c r="I125" s="19"/>
      <c r="J125" s="4"/>
      <c r="K125" s="19"/>
      <c r="L125" s="4"/>
      <c r="M125" s="19"/>
      <c r="N125" s="4"/>
      <c r="O125" s="65"/>
      <c r="P125" s="57"/>
      <c r="Q125" s="61"/>
    </row>
    <row r="126">
      <c r="A126" s="22" t="s">
        <v>200</v>
      </c>
      <c r="B126" s="19"/>
      <c r="C126" s="4"/>
      <c r="D126" s="19"/>
      <c r="E126" s="3"/>
      <c r="F126" s="4"/>
      <c r="G126" s="19"/>
      <c r="H126" s="4"/>
      <c r="I126" s="19"/>
      <c r="J126" s="4"/>
      <c r="K126" s="19"/>
      <c r="L126" s="4"/>
      <c r="M126" s="19"/>
      <c r="N126" s="4"/>
      <c r="O126" s="65"/>
      <c r="P126" s="57"/>
      <c r="Q126" s="61"/>
    </row>
    <row r="127">
      <c r="A127" s="18" t="s">
        <v>201</v>
      </c>
      <c r="B127" s="20">
        <v>0.16180555555555556</v>
      </c>
      <c r="C127" s="4"/>
      <c r="D127" s="19"/>
      <c r="E127" s="3"/>
      <c r="F127" s="4"/>
      <c r="G127" s="19"/>
      <c r="H127" s="4"/>
      <c r="I127" s="19"/>
      <c r="J127" s="4"/>
      <c r="K127" s="19"/>
      <c r="L127" s="4"/>
      <c r="M127" s="20">
        <v>0.875</v>
      </c>
      <c r="N127" s="4"/>
      <c r="O127" s="65">
        <f>M127-B127</f>
        <v>0.7131944444</v>
      </c>
      <c r="P127" s="58">
        <v>0.3541666666666667</v>
      </c>
      <c r="Q127" s="65">
        <f t="shared" ref="Q127:Q128" si="11">O127-P127</f>
        <v>0.3590277778</v>
      </c>
    </row>
    <row r="128">
      <c r="A128" s="18" t="s">
        <v>148</v>
      </c>
      <c r="B128" s="20">
        <v>0.36736111111111114</v>
      </c>
      <c r="C128" s="4"/>
      <c r="D128" s="20">
        <v>0.75</v>
      </c>
      <c r="E128" s="3"/>
      <c r="F128" s="4"/>
      <c r="G128" s="19"/>
      <c r="H128" s="4"/>
      <c r="I128" s="19"/>
      <c r="J128" s="4"/>
      <c r="K128" s="19"/>
      <c r="L128" s="4"/>
      <c r="M128" s="19"/>
      <c r="N128" s="4"/>
      <c r="O128" s="65">
        <f>D128-B128</f>
        <v>0.3826388889</v>
      </c>
      <c r="P128" s="58">
        <v>0.3541666666666667</v>
      </c>
      <c r="Q128" s="65">
        <f t="shared" si="11"/>
        <v>0.02847222222</v>
      </c>
    </row>
    <row r="129">
      <c r="O129" s="65"/>
      <c r="P129" s="57"/>
      <c r="Q129" s="66">
        <f>Q114+Q115+Q117+Q122+Q124+Q127+Q128</f>
        <v>1.344444444</v>
      </c>
    </row>
    <row r="130">
      <c r="O130" s="65"/>
      <c r="P130" s="57"/>
      <c r="Q130" s="61"/>
    </row>
    <row r="131">
      <c r="O131" s="65"/>
      <c r="P131" s="57"/>
      <c r="Q131" s="61"/>
    </row>
    <row r="132">
      <c r="O132" s="65"/>
      <c r="P132" s="57"/>
      <c r="Q132" s="61"/>
    </row>
    <row r="133">
      <c r="O133" s="65"/>
      <c r="P133" s="57"/>
      <c r="Q133" s="61"/>
    </row>
    <row r="134">
      <c r="O134" s="65"/>
      <c r="P134" s="57"/>
      <c r="Q134" s="61"/>
    </row>
    <row r="135">
      <c r="O135" s="65"/>
      <c r="P135" s="57"/>
      <c r="Q135" s="61"/>
    </row>
    <row r="136">
      <c r="O136" s="65"/>
      <c r="P136" s="57"/>
      <c r="Q136" s="61"/>
    </row>
    <row r="137">
      <c r="O137" s="65"/>
      <c r="P137" s="57"/>
      <c r="Q137" s="61"/>
    </row>
    <row r="138">
      <c r="O138" s="65"/>
      <c r="P138" s="57"/>
      <c r="Q138" s="61"/>
    </row>
    <row r="139">
      <c r="O139" s="65"/>
      <c r="P139" s="57"/>
      <c r="Q139" s="61"/>
    </row>
    <row r="140">
      <c r="O140" s="65"/>
      <c r="P140" s="57"/>
      <c r="Q140" s="61"/>
    </row>
    <row r="141">
      <c r="O141" s="65"/>
      <c r="P141" s="57"/>
      <c r="Q141" s="61"/>
    </row>
    <row r="142">
      <c r="O142" s="65"/>
      <c r="P142" s="57"/>
      <c r="Q142" s="61"/>
    </row>
    <row r="143">
      <c r="O143" s="65"/>
      <c r="P143" s="57"/>
      <c r="Q143" s="61"/>
    </row>
    <row r="144">
      <c r="O144" s="65"/>
      <c r="P144" s="57"/>
      <c r="Q144" s="61"/>
    </row>
    <row r="145">
      <c r="O145" s="65"/>
      <c r="P145" s="57"/>
      <c r="Q145" s="61"/>
    </row>
    <row r="146">
      <c r="O146" s="65"/>
      <c r="P146" s="57"/>
      <c r="Q146" s="61"/>
    </row>
    <row r="147">
      <c r="O147" s="65"/>
      <c r="P147" s="57"/>
      <c r="Q147" s="61"/>
    </row>
    <row r="148">
      <c r="O148" s="65"/>
      <c r="P148" s="57"/>
      <c r="Q148" s="61"/>
    </row>
    <row r="149">
      <c r="O149" s="65"/>
      <c r="P149" s="57"/>
      <c r="Q149" s="61"/>
    </row>
    <row r="150">
      <c r="O150" s="65"/>
      <c r="P150" s="57"/>
      <c r="Q150" s="61"/>
    </row>
    <row r="151">
      <c r="O151" s="65"/>
      <c r="P151" s="57"/>
      <c r="Q151" s="61"/>
    </row>
    <row r="152">
      <c r="O152" s="65"/>
      <c r="P152" s="57"/>
      <c r="Q152" s="61"/>
    </row>
    <row r="153">
      <c r="O153" s="65"/>
      <c r="P153" s="57"/>
      <c r="Q153" s="61"/>
    </row>
    <row r="154">
      <c r="O154" s="65"/>
      <c r="P154" s="57"/>
      <c r="Q154" s="61"/>
    </row>
    <row r="155">
      <c r="O155" s="65"/>
      <c r="P155" s="57"/>
      <c r="Q155" s="61"/>
    </row>
    <row r="156">
      <c r="O156" s="65"/>
      <c r="P156" s="57"/>
      <c r="Q156" s="61"/>
    </row>
    <row r="157">
      <c r="O157" s="65"/>
      <c r="P157" s="57"/>
      <c r="Q157" s="61"/>
    </row>
    <row r="158">
      <c r="O158" s="65"/>
      <c r="P158" s="57"/>
      <c r="Q158" s="61"/>
    </row>
    <row r="159">
      <c r="O159" s="65"/>
      <c r="P159" s="57"/>
      <c r="Q159" s="61"/>
    </row>
    <row r="160">
      <c r="O160" s="65"/>
      <c r="P160" s="57"/>
      <c r="Q160" s="61"/>
    </row>
    <row r="161">
      <c r="O161" s="65"/>
      <c r="P161" s="57"/>
      <c r="Q161" s="61"/>
    </row>
    <row r="162">
      <c r="O162" s="65"/>
      <c r="P162" s="57"/>
      <c r="Q162" s="61"/>
    </row>
    <row r="163">
      <c r="O163" s="65"/>
      <c r="P163" s="57"/>
      <c r="Q163" s="61"/>
    </row>
    <row r="164">
      <c r="O164" s="65"/>
      <c r="P164" s="57"/>
      <c r="Q164" s="61"/>
    </row>
    <row r="165">
      <c r="O165" s="65"/>
      <c r="P165" s="57"/>
      <c r="Q165" s="61"/>
    </row>
    <row r="166">
      <c r="O166" s="65"/>
      <c r="P166" s="57"/>
      <c r="Q166" s="61"/>
    </row>
    <row r="167">
      <c r="O167" s="65"/>
      <c r="P167" s="57"/>
      <c r="Q167" s="61"/>
    </row>
    <row r="168">
      <c r="O168" s="65"/>
      <c r="P168" s="57"/>
      <c r="Q168" s="61"/>
    </row>
    <row r="169">
      <c r="O169" s="65"/>
      <c r="P169" s="57"/>
      <c r="Q169" s="61"/>
    </row>
    <row r="170">
      <c r="O170" s="65"/>
      <c r="P170" s="57"/>
      <c r="Q170" s="61"/>
    </row>
    <row r="171">
      <c r="O171" s="65"/>
      <c r="P171" s="57"/>
      <c r="Q171" s="61"/>
    </row>
    <row r="172">
      <c r="O172" s="65"/>
      <c r="P172" s="57"/>
      <c r="Q172" s="61"/>
    </row>
    <row r="173">
      <c r="O173" s="65"/>
      <c r="P173" s="57"/>
      <c r="Q173" s="61"/>
    </row>
    <row r="174">
      <c r="O174" s="65"/>
      <c r="P174" s="57"/>
      <c r="Q174" s="61"/>
    </row>
    <row r="175">
      <c r="O175" s="65"/>
      <c r="P175" s="57"/>
      <c r="Q175" s="61"/>
    </row>
    <row r="176">
      <c r="O176" s="65"/>
      <c r="P176" s="57"/>
      <c r="Q176" s="61"/>
    </row>
    <row r="177">
      <c r="O177" s="65"/>
      <c r="P177" s="57"/>
      <c r="Q177" s="61"/>
    </row>
    <row r="178">
      <c r="O178" s="65"/>
      <c r="P178" s="57"/>
      <c r="Q178" s="61"/>
    </row>
    <row r="179">
      <c r="O179" s="65"/>
      <c r="P179" s="57"/>
      <c r="Q179" s="61"/>
    </row>
    <row r="180">
      <c r="O180" s="65"/>
      <c r="P180" s="57"/>
      <c r="Q180" s="61"/>
    </row>
    <row r="181">
      <c r="O181" s="65"/>
      <c r="P181" s="57"/>
      <c r="Q181" s="61"/>
    </row>
    <row r="182">
      <c r="O182" s="65"/>
      <c r="P182" s="57"/>
      <c r="Q182" s="61"/>
    </row>
    <row r="183">
      <c r="O183" s="65"/>
      <c r="P183" s="57"/>
      <c r="Q183" s="61"/>
    </row>
    <row r="184">
      <c r="O184" s="65"/>
      <c r="P184" s="57"/>
      <c r="Q184" s="61"/>
    </row>
    <row r="185">
      <c r="O185" s="65"/>
      <c r="P185" s="57"/>
      <c r="Q185" s="61"/>
    </row>
    <row r="186">
      <c r="O186" s="65"/>
      <c r="P186" s="57"/>
      <c r="Q186" s="61"/>
    </row>
    <row r="187">
      <c r="O187" s="65"/>
      <c r="P187" s="57"/>
      <c r="Q187" s="61"/>
    </row>
    <row r="188">
      <c r="O188" s="65"/>
      <c r="P188" s="57"/>
      <c r="Q188" s="61"/>
    </row>
    <row r="189">
      <c r="O189" s="65"/>
      <c r="P189" s="57"/>
      <c r="Q189" s="61"/>
    </row>
    <row r="190">
      <c r="O190" s="65"/>
      <c r="P190" s="57"/>
      <c r="Q190" s="61"/>
    </row>
    <row r="191">
      <c r="O191" s="65"/>
      <c r="P191" s="57"/>
      <c r="Q191" s="61"/>
    </row>
    <row r="192">
      <c r="O192" s="65"/>
      <c r="P192" s="57"/>
      <c r="Q192" s="61"/>
    </row>
    <row r="193">
      <c r="O193" s="65"/>
      <c r="P193" s="57"/>
      <c r="Q193" s="61"/>
    </row>
    <row r="194">
      <c r="O194" s="65"/>
      <c r="P194" s="57"/>
      <c r="Q194" s="61"/>
    </row>
    <row r="195">
      <c r="O195" s="65"/>
      <c r="P195" s="57"/>
      <c r="Q195" s="61"/>
    </row>
    <row r="196">
      <c r="O196" s="65"/>
      <c r="P196" s="57"/>
      <c r="Q196" s="61"/>
    </row>
    <row r="197">
      <c r="O197" s="65"/>
      <c r="P197" s="57"/>
      <c r="Q197" s="61"/>
    </row>
    <row r="198">
      <c r="O198" s="65"/>
      <c r="P198" s="57"/>
      <c r="Q198" s="61"/>
    </row>
    <row r="199">
      <c r="O199" s="65"/>
      <c r="P199" s="57"/>
      <c r="Q199" s="61"/>
    </row>
    <row r="200">
      <c r="O200" s="65"/>
      <c r="P200" s="57"/>
      <c r="Q200" s="61"/>
    </row>
    <row r="201">
      <c r="O201" s="65"/>
      <c r="P201" s="57"/>
      <c r="Q201" s="61"/>
    </row>
    <row r="202">
      <c r="O202" s="65"/>
      <c r="P202" s="57"/>
      <c r="Q202" s="61"/>
    </row>
    <row r="203">
      <c r="O203" s="65"/>
      <c r="P203" s="57"/>
      <c r="Q203" s="61"/>
    </row>
    <row r="204">
      <c r="O204" s="65"/>
      <c r="P204" s="57"/>
      <c r="Q204" s="61"/>
    </row>
    <row r="205">
      <c r="O205" s="65"/>
      <c r="P205" s="57"/>
      <c r="Q205" s="61"/>
    </row>
    <row r="206">
      <c r="O206" s="65"/>
      <c r="P206" s="57"/>
      <c r="Q206" s="61"/>
    </row>
    <row r="207">
      <c r="O207" s="65"/>
      <c r="P207" s="57"/>
      <c r="Q207" s="61"/>
    </row>
    <row r="208">
      <c r="O208" s="65"/>
      <c r="P208" s="57"/>
      <c r="Q208" s="61"/>
    </row>
    <row r="209">
      <c r="O209" s="65"/>
      <c r="P209" s="57"/>
      <c r="Q209" s="61"/>
    </row>
    <row r="210">
      <c r="O210" s="65"/>
      <c r="P210" s="57"/>
      <c r="Q210" s="61"/>
    </row>
    <row r="211">
      <c r="O211" s="65"/>
      <c r="P211" s="57"/>
      <c r="Q211" s="61"/>
    </row>
    <row r="212">
      <c r="O212" s="65"/>
      <c r="P212" s="57"/>
      <c r="Q212" s="61"/>
    </row>
    <row r="213">
      <c r="O213" s="65"/>
      <c r="P213" s="57"/>
      <c r="Q213" s="61"/>
    </row>
    <row r="214">
      <c r="O214" s="65"/>
      <c r="P214" s="57"/>
      <c r="Q214" s="61"/>
    </row>
    <row r="215">
      <c r="O215" s="65"/>
      <c r="P215" s="57"/>
      <c r="Q215" s="61"/>
    </row>
    <row r="216">
      <c r="O216" s="65"/>
      <c r="P216" s="57"/>
      <c r="Q216" s="61"/>
    </row>
    <row r="217">
      <c r="O217" s="65"/>
      <c r="P217" s="57"/>
      <c r="Q217" s="61"/>
    </row>
    <row r="218">
      <c r="O218" s="65"/>
      <c r="P218" s="57"/>
      <c r="Q218" s="61"/>
    </row>
    <row r="219">
      <c r="O219" s="65"/>
      <c r="P219" s="57"/>
      <c r="Q219" s="61"/>
    </row>
    <row r="220">
      <c r="O220" s="65"/>
      <c r="P220" s="57"/>
      <c r="Q220" s="61"/>
    </row>
    <row r="221">
      <c r="O221" s="65"/>
      <c r="P221" s="57"/>
      <c r="Q221" s="61"/>
    </row>
    <row r="222">
      <c r="O222" s="65"/>
      <c r="P222" s="57"/>
      <c r="Q222" s="61"/>
    </row>
    <row r="223">
      <c r="O223" s="65"/>
      <c r="P223" s="57"/>
      <c r="Q223" s="61"/>
    </row>
    <row r="224">
      <c r="O224" s="65"/>
      <c r="P224" s="57"/>
      <c r="Q224" s="61"/>
    </row>
    <row r="225">
      <c r="O225" s="65"/>
      <c r="P225" s="57"/>
      <c r="Q225" s="61"/>
    </row>
    <row r="226">
      <c r="O226" s="65"/>
      <c r="P226" s="57"/>
      <c r="Q226" s="61"/>
    </row>
    <row r="227">
      <c r="O227" s="65"/>
      <c r="P227" s="57"/>
      <c r="Q227" s="61"/>
    </row>
    <row r="228">
      <c r="O228" s="65"/>
      <c r="P228" s="57"/>
      <c r="Q228" s="61"/>
    </row>
    <row r="229">
      <c r="O229" s="65"/>
      <c r="P229" s="57"/>
      <c r="Q229" s="61"/>
    </row>
    <row r="230">
      <c r="O230" s="65"/>
      <c r="P230" s="57"/>
      <c r="Q230" s="61"/>
    </row>
    <row r="231">
      <c r="O231" s="65"/>
      <c r="P231" s="57"/>
      <c r="Q231" s="61"/>
    </row>
    <row r="232">
      <c r="O232" s="65"/>
      <c r="P232" s="57"/>
      <c r="Q232" s="61"/>
    </row>
    <row r="233">
      <c r="O233" s="65"/>
      <c r="P233" s="57"/>
      <c r="Q233" s="61"/>
    </row>
    <row r="234">
      <c r="O234" s="65"/>
      <c r="P234" s="57"/>
      <c r="Q234" s="61"/>
    </row>
    <row r="235">
      <c r="O235" s="65"/>
      <c r="P235" s="57"/>
      <c r="Q235" s="61"/>
    </row>
    <row r="236">
      <c r="O236" s="65"/>
      <c r="P236" s="57"/>
      <c r="Q236" s="61"/>
    </row>
    <row r="237">
      <c r="O237" s="65"/>
      <c r="P237" s="57"/>
      <c r="Q237" s="61"/>
    </row>
    <row r="238">
      <c r="O238" s="65"/>
      <c r="P238" s="57"/>
      <c r="Q238" s="61"/>
    </row>
    <row r="239">
      <c r="O239" s="65"/>
      <c r="P239" s="57"/>
      <c r="Q239" s="61"/>
    </row>
    <row r="240">
      <c r="O240" s="65"/>
      <c r="P240" s="57"/>
      <c r="Q240" s="61"/>
    </row>
    <row r="241">
      <c r="O241" s="65"/>
      <c r="P241" s="57"/>
      <c r="Q241" s="61"/>
    </row>
    <row r="242">
      <c r="O242" s="65"/>
      <c r="P242" s="57"/>
      <c r="Q242" s="61"/>
    </row>
    <row r="243">
      <c r="O243" s="65"/>
      <c r="P243" s="57"/>
      <c r="Q243" s="61"/>
    </row>
    <row r="244">
      <c r="O244" s="65"/>
      <c r="P244" s="57"/>
      <c r="Q244" s="61"/>
    </row>
    <row r="245">
      <c r="O245" s="65"/>
      <c r="P245" s="57"/>
      <c r="Q245" s="61"/>
    </row>
    <row r="246">
      <c r="O246" s="65"/>
      <c r="P246" s="57"/>
      <c r="Q246" s="61"/>
    </row>
    <row r="247">
      <c r="O247" s="65"/>
      <c r="P247" s="57"/>
      <c r="Q247" s="61"/>
    </row>
    <row r="248">
      <c r="O248" s="65"/>
      <c r="P248" s="57"/>
      <c r="Q248" s="61"/>
    </row>
    <row r="249">
      <c r="O249" s="65"/>
      <c r="P249" s="57"/>
      <c r="Q249" s="61"/>
    </row>
    <row r="250">
      <c r="O250" s="65"/>
      <c r="P250" s="57"/>
      <c r="Q250" s="61"/>
    </row>
    <row r="251">
      <c r="O251" s="65"/>
      <c r="P251" s="57"/>
      <c r="Q251" s="61"/>
    </row>
    <row r="252">
      <c r="O252" s="65"/>
      <c r="P252" s="57"/>
      <c r="Q252" s="61"/>
    </row>
    <row r="253">
      <c r="O253" s="65"/>
      <c r="P253" s="57"/>
      <c r="Q253" s="61"/>
    </row>
    <row r="254">
      <c r="O254" s="65"/>
      <c r="P254" s="57"/>
      <c r="Q254" s="61"/>
    </row>
    <row r="255">
      <c r="O255" s="65"/>
      <c r="P255" s="57"/>
      <c r="Q255" s="61"/>
    </row>
    <row r="256">
      <c r="O256" s="65"/>
      <c r="P256" s="57"/>
      <c r="Q256" s="61"/>
    </row>
    <row r="257">
      <c r="O257" s="65"/>
      <c r="P257" s="57"/>
      <c r="Q257" s="61"/>
    </row>
    <row r="258">
      <c r="O258" s="65"/>
      <c r="P258" s="57"/>
      <c r="Q258" s="61"/>
    </row>
    <row r="259">
      <c r="O259" s="65"/>
      <c r="P259" s="57"/>
      <c r="Q259" s="61"/>
    </row>
    <row r="260">
      <c r="O260" s="65"/>
      <c r="P260" s="57"/>
      <c r="Q260" s="61"/>
    </row>
    <row r="261">
      <c r="O261" s="65"/>
      <c r="P261" s="57"/>
      <c r="Q261" s="61"/>
    </row>
    <row r="262">
      <c r="O262" s="65"/>
      <c r="P262" s="57"/>
      <c r="Q262" s="61"/>
    </row>
    <row r="263">
      <c r="O263" s="65"/>
      <c r="P263" s="57"/>
      <c r="Q263" s="61"/>
    </row>
    <row r="264">
      <c r="O264" s="65"/>
      <c r="P264" s="57"/>
      <c r="Q264" s="61"/>
    </row>
    <row r="265">
      <c r="O265" s="65"/>
      <c r="P265" s="57"/>
      <c r="Q265" s="61"/>
    </row>
    <row r="266">
      <c r="O266" s="65"/>
      <c r="P266" s="57"/>
      <c r="Q266" s="61"/>
    </row>
    <row r="267">
      <c r="O267" s="65"/>
      <c r="P267" s="57"/>
      <c r="Q267" s="61"/>
    </row>
    <row r="268">
      <c r="O268" s="65"/>
      <c r="P268" s="57"/>
      <c r="Q268" s="61"/>
    </row>
    <row r="269">
      <c r="O269" s="65"/>
      <c r="P269" s="57"/>
      <c r="Q269" s="61"/>
    </row>
    <row r="270">
      <c r="O270" s="65"/>
      <c r="P270" s="57"/>
      <c r="Q270" s="61"/>
    </row>
    <row r="271">
      <c r="O271" s="65"/>
      <c r="P271" s="57"/>
      <c r="Q271" s="61"/>
    </row>
    <row r="272">
      <c r="O272" s="65"/>
      <c r="P272" s="57"/>
      <c r="Q272" s="61"/>
    </row>
    <row r="273">
      <c r="O273" s="65"/>
      <c r="P273" s="57"/>
      <c r="Q273" s="61"/>
    </row>
    <row r="274">
      <c r="O274" s="65"/>
      <c r="P274" s="57"/>
      <c r="Q274" s="61"/>
    </row>
    <row r="275">
      <c r="O275" s="65"/>
      <c r="P275" s="57"/>
      <c r="Q275" s="61"/>
    </row>
    <row r="276">
      <c r="O276" s="65"/>
      <c r="P276" s="57"/>
      <c r="Q276" s="61"/>
    </row>
    <row r="277">
      <c r="O277" s="65"/>
      <c r="P277" s="57"/>
      <c r="Q277" s="61"/>
    </row>
    <row r="278">
      <c r="O278" s="65"/>
      <c r="P278" s="57"/>
      <c r="Q278" s="61"/>
    </row>
    <row r="279">
      <c r="O279" s="65"/>
      <c r="P279" s="57"/>
      <c r="Q279" s="61"/>
    </row>
    <row r="280">
      <c r="O280" s="65"/>
      <c r="P280" s="57"/>
      <c r="Q280" s="61"/>
    </row>
    <row r="281">
      <c r="O281" s="65"/>
      <c r="P281" s="57"/>
      <c r="Q281" s="61"/>
    </row>
    <row r="282">
      <c r="O282" s="65"/>
      <c r="P282" s="57"/>
      <c r="Q282" s="61"/>
    </row>
    <row r="283">
      <c r="O283" s="65"/>
      <c r="P283" s="57"/>
      <c r="Q283" s="61"/>
    </row>
    <row r="284">
      <c r="O284" s="65"/>
      <c r="P284" s="57"/>
      <c r="Q284" s="61"/>
    </row>
    <row r="285">
      <c r="O285" s="65"/>
      <c r="P285" s="57"/>
      <c r="Q285" s="61"/>
    </row>
    <row r="286">
      <c r="O286" s="65"/>
      <c r="P286" s="57"/>
      <c r="Q286" s="61"/>
    </row>
    <row r="287">
      <c r="O287" s="65"/>
      <c r="P287" s="57"/>
      <c r="Q287" s="61"/>
    </row>
    <row r="288">
      <c r="O288" s="65"/>
      <c r="P288" s="57"/>
      <c r="Q288" s="61"/>
    </row>
    <row r="289">
      <c r="O289" s="65"/>
      <c r="P289" s="57"/>
      <c r="Q289" s="61"/>
    </row>
    <row r="290">
      <c r="O290" s="65"/>
      <c r="P290" s="57"/>
      <c r="Q290" s="61"/>
    </row>
    <row r="291">
      <c r="O291" s="65"/>
      <c r="P291" s="57"/>
      <c r="Q291" s="61"/>
    </row>
    <row r="292">
      <c r="O292" s="65"/>
      <c r="P292" s="57"/>
      <c r="Q292" s="61"/>
    </row>
    <row r="293">
      <c r="O293" s="65"/>
      <c r="P293" s="57"/>
      <c r="Q293" s="61"/>
    </row>
    <row r="294">
      <c r="O294" s="65"/>
      <c r="P294" s="57"/>
      <c r="Q294" s="61"/>
    </row>
    <row r="295">
      <c r="O295" s="65"/>
      <c r="P295" s="57"/>
      <c r="Q295" s="61"/>
    </row>
    <row r="296">
      <c r="O296" s="65"/>
      <c r="P296" s="57"/>
      <c r="Q296" s="61"/>
    </row>
    <row r="297">
      <c r="O297" s="65"/>
      <c r="P297" s="57"/>
      <c r="Q297" s="61"/>
    </row>
    <row r="298">
      <c r="O298" s="65"/>
      <c r="P298" s="57"/>
      <c r="Q298" s="61"/>
    </row>
    <row r="299">
      <c r="O299" s="65"/>
      <c r="P299" s="57"/>
      <c r="Q299" s="61"/>
    </row>
    <row r="300">
      <c r="O300" s="65"/>
      <c r="P300" s="57"/>
      <c r="Q300" s="61"/>
    </row>
    <row r="301">
      <c r="O301" s="65"/>
      <c r="P301" s="57"/>
      <c r="Q301" s="61"/>
    </row>
    <row r="302">
      <c r="O302" s="65"/>
      <c r="P302" s="57"/>
      <c r="Q302" s="61"/>
    </row>
    <row r="303">
      <c r="O303" s="65"/>
      <c r="P303" s="57"/>
      <c r="Q303" s="61"/>
    </row>
    <row r="304">
      <c r="O304" s="65"/>
      <c r="P304" s="57"/>
      <c r="Q304" s="61"/>
    </row>
    <row r="305">
      <c r="O305" s="65"/>
      <c r="P305" s="57"/>
      <c r="Q305" s="61"/>
    </row>
    <row r="306">
      <c r="O306" s="65"/>
      <c r="P306" s="57"/>
      <c r="Q306" s="61"/>
    </row>
    <row r="307">
      <c r="O307" s="65"/>
      <c r="P307" s="57"/>
      <c r="Q307" s="61"/>
    </row>
    <row r="308">
      <c r="O308" s="65"/>
      <c r="P308" s="57"/>
      <c r="Q308" s="61"/>
    </row>
    <row r="309">
      <c r="O309" s="65"/>
      <c r="P309" s="57"/>
      <c r="Q309" s="61"/>
    </row>
    <row r="310">
      <c r="O310" s="65"/>
      <c r="P310" s="57"/>
      <c r="Q310" s="61"/>
    </row>
    <row r="311">
      <c r="O311" s="65"/>
      <c r="P311" s="57"/>
      <c r="Q311" s="61"/>
    </row>
    <row r="312">
      <c r="O312" s="65"/>
      <c r="P312" s="57"/>
      <c r="Q312" s="61"/>
    </row>
    <row r="313">
      <c r="O313" s="65"/>
      <c r="P313" s="57"/>
      <c r="Q313" s="61"/>
    </row>
    <row r="314">
      <c r="O314" s="65"/>
      <c r="P314" s="57"/>
      <c r="Q314" s="61"/>
    </row>
    <row r="315">
      <c r="O315" s="65"/>
      <c r="P315" s="57"/>
      <c r="Q315" s="61"/>
    </row>
    <row r="316">
      <c r="O316" s="65"/>
      <c r="P316" s="57"/>
      <c r="Q316" s="61"/>
    </row>
    <row r="317">
      <c r="O317" s="65"/>
      <c r="P317" s="57"/>
      <c r="Q317" s="61"/>
    </row>
    <row r="318">
      <c r="O318" s="65"/>
      <c r="P318" s="57"/>
      <c r="Q318" s="61"/>
    </row>
    <row r="319">
      <c r="O319" s="65"/>
      <c r="P319" s="57"/>
      <c r="Q319" s="61"/>
    </row>
    <row r="320">
      <c r="O320" s="65"/>
      <c r="P320" s="57"/>
      <c r="Q320" s="61"/>
    </row>
    <row r="321">
      <c r="O321" s="65"/>
      <c r="P321" s="57"/>
      <c r="Q321" s="61"/>
    </row>
    <row r="322">
      <c r="O322" s="65"/>
      <c r="P322" s="57"/>
      <c r="Q322" s="61"/>
    </row>
    <row r="323">
      <c r="O323" s="65"/>
      <c r="P323" s="57"/>
      <c r="Q323" s="61"/>
    </row>
    <row r="324">
      <c r="O324" s="65"/>
      <c r="P324" s="57"/>
      <c r="Q324" s="61"/>
    </row>
    <row r="325">
      <c r="O325" s="65"/>
      <c r="P325" s="57"/>
      <c r="Q325" s="61"/>
    </row>
    <row r="326">
      <c r="O326" s="65"/>
      <c r="P326" s="57"/>
      <c r="Q326" s="61"/>
    </row>
    <row r="327">
      <c r="O327" s="65"/>
      <c r="P327" s="57"/>
      <c r="Q327" s="61"/>
    </row>
    <row r="328">
      <c r="O328" s="65"/>
      <c r="P328" s="57"/>
      <c r="Q328" s="61"/>
    </row>
    <row r="329">
      <c r="O329" s="65"/>
      <c r="P329" s="57"/>
      <c r="Q329" s="61"/>
    </row>
    <row r="330">
      <c r="O330" s="65"/>
      <c r="P330" s="57"/>
      <c r="Q330" s="61"/>
    </row>
    <row r="331">
      <c r="O331" s="65"/>
      <c r="P331" s="57"/>
      <c r="Q331" s="61"/>
    </row>
    <row r="332">
      <c r="O332" s="65"/>
      <c r="P332" s="57"/>
      <c r="Q332" s="61"/>
    </row>
    <row r="333">
      <c r="O333" s="65"/>
      <c r="P333" s="57"/>
      <c r="Q333" s="61"/>
    </row>
    <row r="334">
      <c r="O334" s="65"/>
      <c r="P334" s="57"/>
      <c r="Q334" s="61"/>
    </row>
    <row r="335">
      <c r="O335" s="65"/>
      <c r="P335" s="57"/>
      <c r="Q335" s="61"/>
    </row>
    <row r="336">
      <c r="O336" s="65"/>
      <c r="P336" s="57"/>
      <c r="Q336" s="61"/>
    </row>
    <row r="337">
      <c r="O337" s="65"/>
      <c r="P337" s="57"/>
      <c r="Q337" s="61"/>
    </row>
    <row r="338">
      <c r="O338" s="65"/>
      <c r="P338" s="57"/>
      <c r="Q338" s="61"/>
    </row>
    <row r="339">
      <c r="O339" s="65"/>
      <c r="P339" s="57"/>
      <c r="Q339" s="61"/>
    </row>
    <row r="340">
      <c r="O340" s="65"/>
      <c r="P340" s="57"/>
      <c r="Q340" s="61"/>
    </row>
    <row r="341">
      <c r="O341" s="65"/>
      <c r="P341" s="57"/>
      <c r="Q341" s="61"/>
    </row>
    <row r="342">
      <c r="O342" s="65"/>
      <c r="P342" s="57"/>
      <c r="Q342" s="61"/>
    </row>
    <row r="343">
      <c r="O343" s="65"/>
      <c r="P343" s="57"/>
      <c r="Q343" s="61"/>
    </row>
    <row r="344">
      <c r="O344" s="65"/>
      <c r="P344" s="57"/>
      <c r="Q344" s="61"/>
    </row>
    <row r="345">
      <c r="O345" s="65"/>
      <c r="P345" s="57"/>
      <c r="Q345" s="61"/>
    </row>
    <row r="346">
      <c r="O346" s="65"/>
      <c r="P346" s="57"/>
      <c r="Q346" s="61"/>
    </row>
    <row r="347">
      <c r="O347" s="65"/>
      <c r="P347" s="57"/>
      <c r="Q347" s="61"/>
    </row>
    <row r="348">
      <c r="O348" s="65"/>
      <c r="P348" s="57"/>
      <c r="Q348" s="61"/>
    </row>
    <row r="349">
      <c r="O349" s="65"/>
      <c r="P349" s="57"/>
      <c r="Q349" s="61"/>
    </row>
    <row r="350">
      <c r="O350" s="65"/>
      <c r="P350" s="57"/>
      <c r="Q350" s="61"/>
    </row>
    <row r="351">
      <c r="O351" s="65"/>
      <c r="P351" s="57"/>
      <c r="Q351" s="61"/>
    </row>
    <row r="352">
      <c r="O352" s="65"/>
      <c r="P352" s="57"/>
      <c r="Q352" s="61"/>
    </row>
    <row r="353">
      <c r="O353" s="65"/>
      <c r="P353" s="57"/>
      <c r="Q353" s="61"/>
    </row>
    <row r="354">
      <c r="O354" s="65"/>
      <c r="P354" s="57"/>
      <c r="Q354" s="61"/>
    </row>
    <row r="355">
      <c r="O355" s="65"/>
      <c r="P355" s="57"/>
      <c r="Q355" s="61"/>
    </row>
    <row r="356">
      <c r="O356" s="65"/>
      <c r="P356" s="57"/>
      <c r="Q356" s="61"/>
    </row>
    <row r="357">
      <c r="O357" s="65"/>
      <c r="P357" s="57"/>
      <c r="Q357" s="61"/>
    </row>
    <row r="358">
      <c r="O358" s="65"/>
      <c r="P358" s="57"/>
      <c r="Q358" s="61"/>
    </row>
    <row r="359">
      <c r="O359" s="65"/>
      <c r="P359" s="57"/>
      <c r="Q359" s="61"/>
    </row>
    <row r="360">
      <c r="O360" s="65"/>
      <c r="P360" s="57"/>
      <c r="Q360" s="61"/>
    </row>
    <row r="361">
      <c r="O361" s="65"/>
      <c r="P361" s="57"/>
      <c r="Q361" s="61"/>
    </row>
    <row r="362">
      <c r="O362" s="65"/>
      <c r="P362" s="57"/>
      <c r="Q362" s="61"/>
    </row>
    <row r="363">
      <c r="O363" s="65"/>
      <c r="P363" s="57"/>
      <c r="Q363" s="61"/>
    </row>
    <row r="364">
      <c r="O364" s="65"/>
      <c r="P364" s="57"/>
      <c r="Q364" s="61"/>
    </row>
    <row r="365">
      <c r="O365" s="65"/>
      <c r="P365" s="57"/>
      <c r="Q365" s="61"/>
    </row>
    <row r="366">
      <c r="O366" s="65"/>
      <c r="P366" s="57"/>
      <c r="Q366" s="61"/>
    </row>
    <row r="367">
      <c r="O367" s="65"/>
      <c r="P367" s="57"/>
      <c r="Q367" s="61"/>
    </row>
    <row r="368">
      <c r="O368" s="65"/>
      <c r="P368" s="57"/>
      <c r="Q368" s="61"/>
    </row>
    <row r="369">
      <c r="O369" s="65"/>
      <c r="P369" s="57"/>
      <c r="Q369" s="61"/>
    </row>
    <row r="370">
      <c r="O370" s="65"/>
      <c r="P370" s="57"/>
      <c r="Q370" s="61"/>
    </row>
    <row r="371">
      <c r="O371" s="65"/>
      <c r="P371" s="57"/>
      <c r="Q371" s="61"/>
    </row>
    <row r="372">
      <c r="O372" s="65"/>
      <c r="P372" s="57"/>
      <c r="Q372" s="61"/>
    </row>
    <row r="373">
      <c r="O373" s="65"/>
      <c r="P373" s="57"/>
      <c r="Q373" s="61"/>
    </row>
    <row r="374">
      <c r="O374" s="65"/>
      <c r="P374" s="57"/>
      <c r="Q374" s="61"/>
    </row>
    <row r="375">
      <c r="O375" s="65"/>
      <c r="P375" s="57"/>
      <c r="Q375" s="61"/>
    </row>
    <row r="376">
      <c r="O376" s="65"/>
      <c r="P376" s="57"/>
      <c r="Q376" s="61"/>
    </row>
    <row r="377">
      <c r="O377" s="65"/>
      <c r="P377" s="57"/>
      <c r="Q377" s="61"/>
    </row>
    <row r="378">
      <c r="O378" s="65"/>
      <c r="P378" s="57"/>
      <c r="Q378" s="61"/>
    </row>
    <row r="379">
      <c r="O379" s="65"/>
      <c r="P379" s="57"/>
      <c r="Q379" s="61"/>
    </row>
    <row r="380">
      <c r="O380" s="65"/>
      <c r="P380" s="57"/>
      <c r="Q380" s="61"/>
    </row>
    <row r="381">
      <c r="O381" s="65"/>
      <c r="P381" s="57"/>
      <c r="Q381" s="61"/>
    </row>
    <row r="382">
      <c r="O382" s="65"/>
      <c r="P382" s="57"/>
      <c r="Q382" s="61"/>
    </row>
    <row r="383">
      <c r="O383" s="65"/>
      <c r="P383" s="57"/>
      <c r="Q383" s="61"/>
    </row>
    <row r="384">
      <c r="O384" s="65"/>
      <c r="P384" s="57"/>
      <c r="Q384" s="61"/>
    </row>
    <row r="385">
      <c r="O385" s="65"/>
      <c r="P385" s="57"/>
      <c r="Q385" s="61"/>
    </row>
    <row r="386">
      <c r="O386" s="65"/>
      <c r="P386" s="57"/>
      <c r="Q386" s="61"/>
    </row>
    <row r="387">
      <c r="O387" s="65"/>
      <c r="P387" s="57"/>
      <c r="Q387" s="61"/>
    </row>
    <row r="388">
      <c r="O388" s="65"/>
      <c r="P388" s="57"/>
      <c r="Q388" s="61"/>
    </row>
    <row r="389">
      <c r="O389" s="65"/>
      <c r="P389" s="57"/>
      <c r="Q389" s="61"/>
    </row>
    <row r="390">
      <c r="O390" s="65"/>
      <c r="P390" s="57"/>
      <c r="Q390" s="61"/>
    </row>
    <row r="391">
      <c r="O391" s="65"/>
      <c r="P391" s="57"/>
      <c r="Q391" s="61"/>
    </row>
    <row r="392">
      <c r="O392" s="65"/>
      <c r="P392" s="57"/>
      <c r="Q392" s="61"/>
    </row>
    <row r="393">
      <c r="O393" s="65"/>
      <c r="P393" s="57"/>
      <c r="Q393" s="61"/>
    </row>
    <row r="394">
      <c r="O394" s="65"/>
      <c r="P394" s="57"/>
      <c r="Q394" s="61"/>
    </row>
    <row r="395">
      <c r="O395" s="65"/>
      <c r="P395" s="57"/>
      <c r="Q395" s="61"/>
    </row>
    <row r="396">
      <c r="O396" s="65"/>
      <c r="P396" s="57"/>
      <c r="Q396" s="61"/>
    </row>
    <row r="397">
      <c r="O397" s="65"/>
      <c r="P397" s="57"/>
      <c r="Q397" s="61"/>
    </row>
    <row r="398">
      <c r="O398" s="65"/>
      <c r="P398" s="57"/>
      <c r="Q398" s="61"/>
    </row>
    <row r="399">
      <c r="O399" s="65"/>
      <c r="P399" s="57"/>
      <c r="Q399" s="61"/>
    </row>
    <row r="400">
      <c r="O400" s="65"/>
      <c r="P400" s="57"/>
      <c r="Q400" s="61"/>
    </row>
    <row r="401">
      <c r="O401" s="65"/>
      <c r="P401" s="57"/>
      <c r="Q401" s="61"/>
    </row>
    <row r="402">
      <c r="O402" s="65"/>
      <c r="P402" s="57"/>
      <c r="Q402" s="61"/>
    </row>
    <row r="403">
      <c r="O403" s="65"/>
      <c r="P403" s="57"/>
      <c r="Q403" s="61"/>
    </row>
    <row r="404">
      <c r="O404" s="65"/>
      <c r="P404" s="57"/>
      <c r="Q404" s="61"/>
    </row>
    <row r="405">
      <c r="O405" s="65"/>
      <c r="P405" s="57"/>
      <c r="Q405" s="61"/>
    </row>
    <row r="406">
      <c r="O406" s="65"/>
      <c r="P406" s="57"/>
      <c r="Q406" s="61"/>
    </row>
    <row r="407">
      <c r="O407" s="65"/>
      <c r="P407" s="57"/>
      <c r="Q407" s="61"/>
    </row>
    <row r="408">
      <c r="O408" s="65"/>
      <c r="P408" s="57"/>
      <c r="Q408" s="61"/>
    </row>
    <row r="409">
      <c r="O409" s="65"/>
      <c r="P409" s="57"/>
      <c r="Q409" s="61"/>
    </row>
    <row r="410">
      <c r="O410" s="65"/>
      <c r="P410" s="57"/>
      <c r="Q410" s="61"/>
    </row>
    <row r="411">
      <c r="O411" s="65"/>
      <c r="P411" s="57"/>
      <c r="Q411" s="61"/>
    </row>
    <row r="412">
      <c r="O412" s="65"/>
      <c r="P412" s="57"/>
      <c r="Q412" s="61"/>
    </row>
    <row r="413">
      <c r="O413" s="65"/>
      <c r="P413" s="57"/>
      <c r="Q413" s="61"/>
    </row>
    <row r="414">
      <c r="O414" s="65"/>
      <c r="P414" s="57"/>
      <c r="Q414" s="61"/>
    </row>
    <row r="415">
      <c r="O415" s="65"/>
      <c r="P415" s="57"/>
      <c r="Q415" s="61"/>
    </row>
    <row r="416">
      <c r="O416" s="65"/>
      <c r="P416" s="57"/>
      <c r="Q416" s="61"/>
    </row>
    <row r="417">
      <c r="O417" s="65"/>
      <c r="P417" s="57"/>
      <c r="Q417" s="61"/>
    </row>
    <row r="418">
      <c r="O418" s="65"/>
      <c r="P418" s="57"/>
      <c r="Q418" s="61"/>
    </row>
    <row r="419">
      <c r="O419" s="65"/>
      <c r="P419" s="57"/>
      <c r="Q419" s="61"/>
    </row>
    <row r="420">
      <c r="O420" s="65"/>
      <c r="P420" s="57"/>
      <c r="Q420" s="61"/>
    </row>
    <row r="421">
      <c r="O421" s="65"/>
      <c r="P421" s="57"/>
      <c r="Q421" s="61"/>
    </row>
    <row r="422">
      <c r="O422" s="65"/>
      <c r="P422" s="57"/>
      <c r="Q422" s="61"/>
    </row>
    <row r="423">
      <c r="O423" s="65"/>
      <c r="P423" s="57"/>
      <c r="Q423" s="61"/>
    </row>
    <row r="424">
      <c r="O424" s="65"/>
      <c r="P424" s="57"/>
      <c r="Q424" s="61"/>
    </row>
    <row r="425">
      <c r="O425" s="65"/>
      <c r="P425" s="57"/>
      <c r="Q425" s="61"/>
    </row>
    <row r="426">
      <c r="O426" s="65"/>
      <c r="P426" s="57"/>
      <c r="Q426" s="61"/>
    </row>
    <row r="427">
      <c r="O427" s="65"/>
      <c r="P427" s="57"/>
      <c r="Q427" s="61"/>
    </row>
    <row r="428">
      <c r="O428" s="65"/>
      <c r="P428" s="57"/>
      <c r="Q428" s="61"/>
    </row>
    <row r="429">
      <c r="O429" s="65"/>
      <c r="P429" s="57"/>
      <c r="Q429" s="61"/>
    </row>
    <row r="430">
      <c r="O430" s="65"/>
      <c r="P430" s="57"/>
      <c r="Q430" s="61"/>
    </row>
    <row r="431">
      <c r="O431" s="65"/>
      <c r="P431" s="57"/>
      <c r="Q431" s="61"/>
    </row>
    <row r="432">
      <c r="O432" s="65"/>
      <c r="P432" s="57"/>
      <c r="Q432" s="61"/>
    </row>
    <row r="433">
      <c r="O433" s="65"/>
      <c r="P433" s="57"/>
      <c r="Q433" s="61"/>
    </row>
    <row r="434">
      <c r="O434" s="65"/>
      <c r="P434" s="57"/>
      <c r="Q434" s="61"/>
    </row>
    <row r="435">
      <c r="O435" s="65"/>
      <c r="P435" s="57"/>
      <c r="Q435" s="61"/>
    </row>
    <row r="436">
      <c r="O436" s="65"/>
      <c r="P436" s="57"/>
      <c r="Q436" s="61"/>
    </row>
    <row r="437">
      <c r="O437" s="65"/>
      <c r="P437" s="57"/>
      <c r="Q437" s="61"/>
    </row>
    <row r="438">
      <c r="O438" s="65"/>
      <c r="P438" s="57"/>
      <c r="Q438" s="61"/>
    </row>
    <row r="439">
      <c r="O439" s="65"/>
      <c r="P439" s="57"/>
      <c r="Q439" s="61"/>
    </row>
    <row r="440">
      <c r="O440" s="65"/>
      <c r="P440" s="57"/>
      <c r="Q440" s="61"/>
    </row>
    <row r="441">
      <c r="O441" s="65"/>
      <c r="P441" s="57"/>
      <c r="Q441" s="61"/>
    </row>
    <row r="442">
      <c r="O442" s="65"/>
      <c r="P442" s="57"/>
      <c r="Q442" s="61"/>
    </row>
    <row r="443">
      <c r="O443" s="65"/>
      <c r="P443" s="57"/>
      <c r="Q443" s="61"/>
    </row>
    <row r="444">
      <c r="O444" s="65"/>
      <c r="P444" s="57"/>
      <c r="Q444" s="61"/>
    </row>
    <row r="445">
      <c r="O445" s="65"/>
      <c r="P445" s="57"/>
      <c r="Q445" s="61"/>
    </row>
    <row r="446">
      <c r="O446" s="65"/>
      <c r="P446" s="57"/>
      <c r="Q446" s="61"/>
    </row>
    <row r="447">
      <c r="O447" s="65"/>
      <c r="P447" s="57"/>
      <c r="Q447" s="61"/>
    </row>
    <row r="448">
      <c r="O448" s="65"/>
      <c r="P448" s="57"/>
      <c r="Q448" s="61"/>
    </row>
    <row r="449">
      <c r="O449" s="65"/>
      <c r="P449" s="57"/>
      <c r="Q449" s="61"/>
    </row>
    <row r="450">
      <c r="O450" s="65"/>
      <c r="P450" s="57"/>
      <c r="Q450" s="61"/>
    </row>
    <row r="451">
      <c r="O451" s="65"/>
      <c r="P451" s="57"/>
      <c r="Q451" s="61"/>
    </row>
    <row r="452">
      <c r="O452" s="65"/>
      <c r="P452" s="57"/>
      <c r="Q452" s="61"/>
    </row>
    <row r="453">
      <c r="O453" s="65"/>
      <c r="P453" s="57"/>
      <c r="Q453" s="61"/>
    </row>
    <row r="454">
      <c r="O454" s="65"/>
      <c r="P454" s="57"/>
      <c r="Q454" s="61"/>
    </row>
    <row r="455">
      <c r="O455" s="65"/>
      <c r="P455" s="57"/>
      <c r="Q455" s="61"/>
    </row>
    <row r="456">
      <c r="O456" s="65"/>
      <c r="P456" s="57"/>
      <c r="Q456" s="61"/>
    </row>
    <row r="457">
      <c r="O457" s="65"/>
      <c r="P457" s="57"/>
      <c r="Q457" s="61"/>
    </row>
    <row r="458">
      <c r="O458" s="65"/>
      <c r="P458" s="57"/>
      <c r="Q458" s="61"/>
    </row>
    <row r="459">
      <c r="O459" s="65"/>
      <c r="P459" s="57"/>
      <c r="Q459" s="61"/>
    </row>
    <row r="460">
      <c r="O460" s="65"/>
      <c r="P460" s="57"/>
      <c r="Q460" s="61"/>
    </row>
    <row r="461">
      <c r="O461" s="65"/>
      <c r="P461" s="57"/>
      <c r="Q461" s="61"/>
    </row>
    <row r="462">
      <c r="O462" s="65"/>
      <c r="P462" s="57"/>
      <c r="Q462" s="61"/>
    </row>
    <row r="463">
      <c r="O463" s="65"/>
      <c r="P463" s="57"/>
      <c r="Q463" s="61"/>
    </row>
    <row r="464">
      <c r="O464" s="65"/>
      <c r="P464" s="57"/>
      <c r="Q464" s="61"/>
    </row>
    <row r="465">
      <c r="O465" s="65"/>
      <c r="P465" s="57"/>
      <c r="Q465" s="61"/>
    </row>
    <row r="466">
      <c r="O466" s="65"/>
      <c r="P466" s="57"/>
      <c r="Q466" s="61"/>
    </row>
    <row r="467">
      <c r="O467" s="65"/>
      <c r="P467" s="57"/>
      <c r="Q467" s="61"/>
    </row>
    <row r="468">
      <c r="O468" s="65"/>
      <c r="P468" s="57"/>
      <c r="Q468" s="61"/>
    </row>
    <row r="469">
      <c r="O469" s="65"/>
      <c r="P469" s="57"/>
      <c r="Q469" s="61"/>
    </row>
    <row r="470">
      <c r="O470" s="65"/>
      <c r="P470" s="57"/>
      <c r="Q470" s="61"/>
    </row>
    <row r="471">
      <c r="O471" s="65"/>
      <c r="P471" s="57"/>
      <c r="Q471" s="61"/>
    </row>
    <row r="472">
      <c r="O472" s="65"/>
      <c r="P472" s="57"/>
      <c r="Q472" s="61"/>
    </row>
    <row r="473">
      <c r="O473" s="65"/>
      <c r="P473" s="57"/>
      <c r="Q473" s="61"/>
    </row>
    <row r="474">
      <c r="O474" s="65"/>
      <c r="P474" s="57"/>
      <c r="Q474" s="61"/>
    </row>
    <row r="475">
      <c r="O475" s="65"/>
      <c r="P475" s="57"/>
      <c r="Q475" s="61"/>
    </row>
    <row r="476">
      <c r="O476" s="65"/>
      <c r="P476" s="57"/>
      <c r="Q476" s="61"/>
    </row>
    <row r="477">
      <c r="O477" s="65"/>
      <c r="P477" s="57"/>
      <c r="Q477" s="61"/>
    </row>
    <row r="478">
      <c r="O478" s="65"/>
      <c r="P478" s="57"/>
      <c r="Q478" s="61"/>
    </row>
    <row r="479">
      <c r="O479" s="65"/>
      <c r="P479" s="57"/>
      <c r="Q479" s="61"/>
    </row>
    <row r="480">
      <c r="O480" s="65"/>
      <c r="P480" s="57"/>
      <c r="Q480" s="61"/>
    </row>
    <row r="481">
      <c r="O481" s="65"/>
      <c r="P481" s="57"/>
      <c r="Q481" s="61"/>
    </row>
    <row r="482">
      <c r="O482" s="65"/>
      <c r="P482" s="57"/>
      <c r="Q482" s="61"/>
    </row>
    <row r="483">
      <c r="O483" s="65"/>
      <c r="P483" s="57"/>
      <c r="Q483" s="61"/>
    </row>
    <row r="484">
      <c r="O484" s="65"/>
      <c r="P484" s="57"/>
      <c r="Q484" s="61"/>
    </row>
    <row r="485">
      <c r="O485" s="65"/>
      <c r="P485" s="57"/>
      <c r="Q485" s="61"/>
    </row>
    <row r="486">
      <c r="O486" s="65"/>
      <c r="P486" s="57"/>
      <c r="Q486" s="61"/>
    </row>
    <row r="487">
      <c r="O487" s="65"/>
      <c r="P487" s="57"/>
      <c r="Q487" s="61"/>
    </row>
    <row r="488">
      <c r="O488" s="65"/>
      <c r="P488" s="57"/>
      <c r="Q488" s="61"/>
    </row>
    <row r="489">
      <c r="O489" s="65"/>
      <c r="P489" s="57"/>
      <c r="Q489" s="61"/>
    </row>
    <row r="490">
      <c r="O490" s="65"/>
      <c r="P490" s="57"/>
      <c r="Q490" s="61"/>
    </row>
    <row r="491">
      <c r="O491" s="65"/>
      <c r="P491" s="57"/>
      <c r="Q491" s="61"/>
    </row>
    <row r="492">
      <c r="O492" s="65"/>
      <c r="P492" s="57"/>
      <c r="Q492" s="61"/>
    </row>
    <row r="493">
      <c r="O493" s="65"/>
      <c r="P493" s="57"/>
      <c r="Q493" s="61"/>
    </row>
    <row r="494">
      <c r="O494" s="65"/>
      <c r="P494" s="57"/>
      <c r="Q494" s="61"/>
    </row>
    <row r="495">
      <c r="O495" s="65"/>
      <c r="P495" s="57"/>
      <c r="Q495" s="61"/>
    </row>
    <row r="496">
      <c r="O496" s="65"/>
      <c r="P496" s="57"/>
      <c r="Q496" s="61"/>
    </row>
    <row r="497">
      <c r="O497" s="65"/>
      <c r="P497" s="57"/>
      <c r="Q497" s="61"/>
    </row>
    <row r="498">
      <c r="O498" s="65"/>
      <c r="P498" s="57"/>
      <c r="Q498" s="61"/>
    </row>
    <row r="499">
      <c r="O499" s="65"/>
      <c r="P499" s="57"/>
      <c r="Q499" s="61"/>
    </row>
    <row r="500">
      <c r="O500" s="65"/>
      <c r="P500" s="57"/>
      <c r="Q500" s="61"/>
    </row>
    <row r="501">
      <c r="O501" s="65"/>
      <c r="P501" s="57"/>
      <c r="Q501" s="61"/>
    </row>
    <row r="502">
      <c r="O502" s="65"/>
      <c r="P502" s="57"/>
      <c r="Q502" s="61"/>
    </row>
    <row r="503">
      <c r="O503" s="65"/>
      <c r="P503" s="57"/>
      <c r="Q503" s="61"/>
    </row>
    <row r="504">
      <c r="O504" s="65"/>
      <c r="P504" s="57"/>
      <c r="Q504" s="61"/>
    </row>
    <row r="505">
      <c r="O505" s="65"/>
      <c r="P505" s="57"/>
      <c r="Q505" s="61"/>
    </row>
    <row r="506">
      <c r="O506" s="65"/>
      <c r="P506" s="57"/>
      <c r="Q506" s="61"/>
    </row>
    <row r="507">
      <c r="O507" s="65"/>
      <c r="P507" s="57"/>
      <c r="Q507" s="61"/>
    </row>
    <row r="508">
      <c r="O508" s="65"/>
      <c r="P508" s="57"/>
      <c r="Q508" s="61"/>
    </row>
    <row r="509">
      <c r="O509" s="65"/>
      <c r="P509" s="57"/>
      <c r="Q509" s="61"/>
    </row>
    <row r="510">
      <c r="O510" s="65"/>
      <c r="P510" s="57"/>
      <c r="Q510" s="61"/>
    </row>
    <row r="511">
      <c r="O511" s="65"/>
      <c r="P511" s="57"/>
      <c r="Q511" s="61"/>
    </row>
    <row r="512">
      <c r="O512" s="65"/>
      <c r="P512" s="57"/>
      <c r="Q512" s="61"/>
    </row>
    <row r="513">
      <c r="O513" s="65"/>
      <c r="P513" s="57"/>
      <c r="Q513" s="61"/>
    </row>
    <row r="514">
      <c r="O514" s="65"/>
      <c r="P514" s="57"/>
      <c r="Q514" s="61"/>
    </row>
    <row r="515">
      <c r="O515" s="65"/>
      <c r="P515" s="57"/>
      <c r="Q515" s="61"/>
    </row>
    <row r="516">
      <c r="O516" s="65"/>
      <c r="P516" s="57"/>
      <c r="Q516" s="61"/>
    </row>
    <row r="517">
      <c r="O517" s="65"/>
      <c r="P517" s="57"/>
      <c r="Q517" s="61"/>
    </row>
    <row r="518">
      <c r="O518" s="65"/>
      <c r="P518" s="57"/>
      <c r="Q518" s="61"/>
    </row>
    <row r="519">
      <c r="O519" s="65"/>
      <c r="P519" s="57"/>
      <c r="Q519" s="61"/>
    </row>
    <row r="520">
      <c r="O520" s="65"/>
      <c r="P520" s="57"/>
      <c r="Q520" s="61"/>
    </row>
    <row r="521">
      <c r="O521" s="65"/>
      <c r="P521" s="57"/>
      <c r="Q521" s="61"/>
    </row>
    <row r="522">
      <c r="O522" s="65"/>
      <c r="P522" s="57"/>
      <c r="Q522" s="61"/>
    </row>
    <row r="523">
      <c r="O523" s="65"/>
      <c r="P523" s="57"/>
      <c r="Q523" s="61"/>
    </row>
    <row r="524">
      <c r="O524" s="65"/>
      <c r="P524" s="57"/>
      <c r="Q524" s="61"/>
    </row>
    <row r="525">
      <c r="O525" s="65"/>
      <c r="P525" s="57"/>
      <c r="Q525" s="61"/>
    </row>
    <row r="526">
      <c r="O526" s="65"/>
      <c r="P526" s="57"/>
      <c r="Q526" s="61"/>
    </row>
    <row r="527">
      <c r="O527" s="65"/>
      <c r="P527" s="57"/>
      <c r="Q527" s="61"/>
    </row>
    <row r="528">
      <c r="O528" s="65"/>
      <c r="P528" s="57"/>
      <c r="Q528" s="61"/>
    </row>
    <row r="529">
      <c r="O529" s="65"/>
      <c r="P529" s="57"/>
      <c r="Q529" s="61"/>
    </row>
    <row r="530">
      <c r="O530" s="65"/>
      <c r="P530" s="57"/>
      <c r="Q530" s="61"/>
    </row>
    <row r="531">
      <c r="O531" s="65"/>
      <c r="P531" s="57"/>
      <c r="Q531" s="61"/>
    </row>
    <row r="532">
      <c r="O532" s="65"/>
      <c r="P532" s="57"/>
      <c r="Q532" s="61"/>
    </row>
    <row r="533">
      <c r="O533" s="65"/>
      <c r="P533" s="57"/>
      <c r="Q533" s="61"/>
    </row>
    <row r="534">
      <c r="O534" s="65"/>
      <c r="P534" s="57"/>
      <c r="Q534" s="61"/>
    </row>
    <row r="535">
      <c r="O535" s="65"/>
      <c r="P535" s="57"/>
      <c r="Q535" s="61"/>
    </row>
    <row r="536">
      <c r="O536" s="65"/>
      <c r="P536" s="57"/>
      <c r="Q536" s="61"/>
    </row>
    <row r="537">
      <c r="O537" s="65"/>
      <c r="P537" s="57"/>
      <c r="Q537" s="61"/>
    </row>
    <row r="538">
      <c r="O538" s="65"/>
      <c r="P538" s="57"/>
      <c r="Q538" s="61"/>
    </row>
    <row r="539">
      <c r="O539" s="65"/>
      <c r="P539" s="57"/>
      <c r="Q539" s="61"/>
    </row>
    <row r="540">
      <c r="O540" s="65"/>
      <c r="P540" s="57"/>
      <c r="Q540" s="61"/>
    </row>
    <row r="541">
      <c r="O541" s="65"/>
      <c r="P541" s="57"/>
      <c r="Q541" s="61"/>
    </row>
    <row r="542">
      <c r="O542" s="65"/>
      <c r="P542" s="57"/>
      <c r="Q542" s="61"/>
    </row>
    <row r="543">
      <c r="O543" s="65"/>
      <c r="P543" s="57"/>
      <c r="Q543" s="61"/>
    </row>
    <row r="544">
      <c r="O544" s="65"/>
      <c r="P544" s="57"/>
      <c r="Q544" s="61"/>
    </row>
    <row r="545">
      <c r="O545" s="65"/>
      <c r="P545" s="57"/>
      <c r="Q545" s="61"/>
    </row>
    <row r="546">
      <c r="O546" s="65"/>
      <c r="P546" s="57"/>
      <c r="Q546" s="61"/>
    </row>
    <row r="547">
      <c r="O547" s="65"/>
      <c r="P547" s="57"/>
      <c r="Q547" s="61"/>
    </row>
    <row r="548">
      <c r="O548" s="65"/>
      <c r="P548" s="57"/>
      <c r="Q548" s="61"/>
    </row>
    <row r="549">
      <c r="O549" s="65"/>
      <c r="P549" s="57"/>
      <c r="Q549" s="61"/>
    </row>
    <row r="550">
      <c r="O550" s="65"/>
      <c r="P550" s="57"/>
      <c r="Q550" s="61"/>
    </row>
    <row r="551">
      <c r="O551" s="65"/>
      <c r="P551" s="57"/>
      <c r="Q551" s="61"/>
    </row>
    <row r="552">
      <c r="O552" s="65"/>
      <c r="P552" s="57"/>
      <c r="Q552" s="61"/>
    </row>
    <row r="553">
      <c r="O553" s="65"/>
      <c r="P553" s="57"/>
      <c r="Q553" s="61"/>
    </row>
    <row r="554">
      <c r="O554" s="65"/>
      <c r="P554" s="57"/>
      <c r="Q554" s="61"/>
    </row>
    <row r="555">
      <c r="O555" s="65"/>
      <c r="P555" s="57"/>
      <c r="Q555" s="61"/>
    </row>
    <row r="556">
      <c r="O556" s="65"/>
      <c r="P556" s="57"/>
      <c r="Q556" s="61"/>
    </row>
    <row r="557">
      <c r="O557" s="65"/>
      <c r="P557" s="57"/>
      <c r="Q557" s="61"/>
    </row>
    <row r="558">
      <c r="O558" s="65"/>
      <c r="P558" s="57"/>
      <c r="Q558" s="61"/>
    </row>
    <row r="559">
      <c r="O559" s="65"/>
      <c r="P559" s="57"/>
      <c r="Q559" s="61"/>
    </row>
    <row r="560">
      <c r="O560" s="65"/>
      <c r="P560" s="57"/>
      <c r="Q560" s="61"/>
    </row>
    <row r="561">
      <c r="O561" s="65"/>
      <c r="P561" s="57"/>
      <c r="Q561" s="61"/>
    </row>
    <row r="562">
      <c r="O562" s="65"/>
      <c r="P562" s="57"/>
      <c r="Q562" s="61"/>
    </row>
    <row r="563">
      <c r="O563" s="65"/>
      <c r="P563" s="57"/>
      <c r="Q563" s="61"/>
    </row>
    <row r="564">
      <c r="O564" s="65"/>
      <c r="P564" s="57"/>
      <c r="Q564" s="61"/>
    </row>
    <row r="565">
      <c r="O565" s="65"/>
      <c r="P565" s="57"/>
      <c r="Q565" s="61"/>
    </row>
    <row r="566">
      <c r="O566" s="65"/>
      <c r="P566" s="57"/>
      <c r="Q566" s="61"/>
    </row>
    <row r="567">
      <c r="O567" s="65"/>
      <c r="P567" s="57"/>
      <c r="Q567" s="61"/>
    </row>
    <row r="568">
      <c r="O568" s="65"/>
      <c r="P568" s="57"/>
      <c r="Q568" s="61"/>
    </row>
    <row r="569">
      <c r="O569" s="65"/>
      <c r="P569" s="57"/>
      <c r="Q569" s="61"/>
    </row>
    <row r="570">
      <c r="O570" s="65"/>
      <c r="P570" s="57"/>
      <c r="Q570" s="61"/>
    </row>
    <row r="571">
      <c r="O571" s="65"/>
      <c r="P571" s="57"/>
      <c r="Q571" s="61"/>
    </row>
    <row r="572">
      <c r="O572" s="65"/>
      <c r="P572" s="57"/>
      <c r="Q572" s="61"/>
    </row>
    <row r="573">
      <c r="O573" s="65"/>
      <c r="P573" s="57"/>
      <c r="Q573" s="61"/>
    </row>
    <row r="574">
      <c r="O574" s="65"/>
      <c r="P574" s="57"/>
      <c r="Q574" s="61"/>
    </row>
    <row r="575">
      <c r="O575" s="65"/>
      <c r="P575" s="57"/>
      <c r="Q575" s="61"/>
    </row>
    <row r="576">
      <c r="O576" s="65"/>
      <c r="P576" s="57"/>
      <c r="Q576" s="61"/>
    </row>
    <row r="577">
      <c r="O577" s="65"/>
      <c r="P577" s="57"/>
      <c r="Q577" s="61"/>
    </row>
    <row r="578">
      <c r="O578" s="65"/>
      <c r="P578" s="57"/>
      <c r="Q578" s="61"/>
    </row>
    <row r="579">
      <c r="O579" s="65"/>
      <c r="P579" s="57"/>
      <c r="Q579" s="61"/>
    </row>
    <row r="580">
      <c r="O580" s="65"/>
      <c r="P580" s="57"/>
      <c r="Q580" s="61"/>
    </row>
    <row r="581">
      <c r="O581" s="65"/>
      <c r="P581" s="57"/>
      <c r="Q581" s="61"/>
    </row>
    <row r="582">
      <c r="O582" s="65"/>
      <c r="P582" s="57"/>
      <c r="Q582" s="61"/>
    </row>
    <row r="583">
      <c r="O583" s="65"/>
      <c r="P583" s="57"/>
      <c r="Q583" s="61"/>
    </row>
    <row r="584">
      <c r="O584" s="65"/>
      <c r="P584" s="57"/>
      <c r="Q584" s="61"/>
    </row>
    <row r="585">
      <c r="O585" s="65"/>
      <c r="P585" s="57"/>
      <c r="Q585" s="61"/>
    </row>
    <row r="586">
      <c r="O586" s="65"/>
      <c r="P586" s="57"/>
      <c r="Q586" s="61"/>
    </row>
    <row r="587">
      <c r="O587" s="65"/>
      <c r="P587" s="57"/>
      <c r="Q587" s="61"/>
    </row>
    <row r="588">
      <c r="O588" s="65"/>
      <c r="P588" s="57"/>
      <c r="Q588" s="61"/>
    </row>
    <row r="589">
      <c r="O589" s="65"/>
      <c r="P589" s="57"/>
      <c r="Q589" s="61"/>
    </row>
    <row r="590">
      <c r="O590" s="65"/>
      <c r="P590" s="57"/>
      <c r="Q590" s="61"/>
    </row>
    <row r="591">
      <c r="O591" s="65"/>
      <c r="P591" s="57"/>
      <c r="Q591" s="61"/>
    </row>
    <row r="592">
      <c r="O592" s="65"/>
      <c r="P592" s="57"/>
      <c r="Q592" s="61"/>
    </row>
    <row r="593">
      <c r="O593" s="65"/>
      <c r="P593" s="57"/>
      <c r="Q593" s="61"/>
    </row>
    <row r="594">
      <c r="O594" s="65"/>
      <c r="P594" s="57"/>
      <c r="Q594" s="61"/>
    </row>
    <row r="595">
      <c r="O595" s="65"/>
      <c r="P595" s="57"/>
      <c r="Q595" s="61"/>
    </row>
    <row r="596">
      <c r="O596" s="65"/>
      <c r="P596" s="57"/>
      <c r="Q596" s="61"/>
    </row>
    <row r="597">
      <c r="O597" s="65"/>
      <c r="P597" s="57"/>
      <c r="Q597" s="61"/>
    </row>
    <row r="598">
      <c r="O598" s="65"/>
      <c r="P598" s="57"/>
      <c r="Q598" s="61"/>
    </row>
    <row r="599">
      <c r="O599" s="65"/>
      <c r="P599" s="57"/>
      <c r="Q599" s="61"/>
    </row>
    <row r="600">
      <c r="O600" s="65"/>
      <c r="P600" s="57"/>
      <c r="Q600" s="61"/>
    </row>
    <row r="601">
      <c r="O601" s="65"/>
      <c r="P601" s="57"/>
      <c r="Q601" s="61"/>
    </row>
    <row r="602">
      <c r="O602" s="65"/>
      <c r="P602" s="57"/>
      <c r="Q602" s="61"/>
    </row>
    <row r="603">
      <c r="O603" s="65"/>
      <c r="P603" s="57"/>
      <c r="Q603" s="61"/>
    </row>
    <row r="604">
      <c r="O604" s="65"/>
      <c r="P604" s="57"/>
      <c r="Q604" s="61"/>
    </row>
    <row r="605">
      <c r="O605" s="65"/>
      <c r="P605" s="57"/>
      <c r="Q605" s="61"/>
    </row>
    <row r="606">
      <c r="O606" s="65"/>
      <c r="P606" s="57"/>
      <c r="Q606" s="61"/>
    </row>
    <row r="607">
      <c r="O607" s="65"/>
      <c r="P607" s="57"/>
      <c r="Q607" s="61"/>
    </row>
    <row r="608">
      <c r="O608" s="65"/>
      <c r="P608" s="57"/>
      <c r="Q608" s="61"/>
    </row>
    <row r="609">
      <c r="O609" s="65"/>
      <c r="P609" s="57"/>
      <c r="Q609" s="61"/>
    </row>
    <row r="610">
      <c r="O610" s="65"/>
      <c r="P610" s="57"/>
      <c r="Q610" s="61"/>
    </row>
    <row r="611">
      <c r="O611" s="65"/>
      <c r="P611" s="57"/>
      <c r="Q611" s="61"/>
    </row>
    <row r="612">
      <c r="O612" s="65"/>
      <c r="P612" s="57"/>
      <c r="Q612" s="61"/>
    </row>
    <row r="613">
      <c r="O613" s="65"/>
      <c r="P613" s="57"/>
      <c r="Q613" s="61"/>
    </row>
    <row r="614">
      <c r="O614" s="65"/>
      <c r="P614" s="57"/>
      <c r="Q614" s="61"/>
    </row>
    <row r="615">
      <c r="O615" s="65"/>
      <c r="P615" s="57"/>
      <c r="Q615" s="61"/>
    </row>
    <row r="616">
      <c r="O616" s="65"/>
      <c r="P616" s="57"/>
      <c r="Q616" s="61"/>
    </row>
    <row r="617">
      <c r="O617" s="65"/>
      <c r="P617" s="57"/>
      <c r="Q617" s="61"/>
    </row>
    <row r="618">
      <c r="O618" s="65"/>
      <c r="P618" s="57"/>
      <c r="Q618" s="61"/>
    </row>
    <row r="619">
      <c r="O619" s="65"/>
      <c r="P619" s="57"/>
      <c r="Q619" s="61"/>
    </row>
    <row r="620">
      <c r="O620" s="65"/>
      <c r="P620" s="57"/>
      <c r="Q620" s="61"/>
    </row>
    <row r="621">
      <c r="O621" s="65"/>
      <c r="P621" s="57"/>
      <c r="Q621" s="61"/>
    </row>
    <row r="622">
      <c r="O622" s="65"/>
      <c r="P622" s="57"/>
      <c r="Q622" s="61"/>
    </row>
    <row r="623">
      <c r="O623" s="65"/>
      <c r="P623" s="57"/>
      <c r="Q623" s="61"/>
    </row>
    <row r="624">
      <c r="O624" s="65"/>
      <c r="P624" s="57"/>
      <c r="Q624" s="61"/>
    </row>
    <row r="625">
      <c r="O625" s="65"/>
      <c r="P625" s="57"/>
      <c r="Q625" s="61"/>
    </row>
    <row r="626">
      <c r="O626" s="65"/>
      <c r="P626" s="57"/>
      <c r="Q626" s="61"/>
    </row>
    <row r="627">
      <c r="O627" s="65"/>
      <c r="P627" s="57"/>
      <c r="Q627" s="61"/>
    </row>
    <row r="628">
      <c r="O628" s="65"/>
      <c r="P628" s="57"/>
      <c r="Q628" s="61"/>
    </row>
    <row r="629">
      <c r="O629" s="65"/>
      <c r="P629" s="57"/>
      <c r="Q629" s="61"/>
    </row>
    <row r="630">
      <c r="O630" s="65"/>
      <c r="P630" s="57"/>
      <c r="Q630" s="61"/>
    </row>
    <row r="631">
      <c r="O631" s="65"/>
      <c r="P631" s="57"/>
      <c r="Q631" s="61"/>
    </row>
    <row r="632">
      <c r="O632" s="65"/>
      <c r="P632" s="57"/>
      <c r="Q632" s="61"/>
    </row>
    <row r="633">
      <c r="O633" s="65"/>
      <c r="P633" s="57"/>
      <c r="Q633" s="61"/>
    </row>
    <row r="634">
      <c r="O634" s="65"/>
      <c r="P634" s="57"/>
      <c r="Q634" s="61"/>
    </row>
    <row r="635">
      <c r="O635" s="65"/>
      <c r="P635" s="57"/>
      <c r="Q635" s="61"/>
    </row>
    <row r="636">
      <c r="O636" s="65"/>
      <c r="P636" s="57"/>
      <c r="Q636" s="61"/>
    </row>
    <row r="637">
      <c r="O637" s="65"/>
      <c r="P637" s="57"/>
      <c r="Q637" s="61"/>
    </row>
    <row r="638">
      <c r="O638" s="65"/>
      <c r="P638" s="57"/>
      <c r="Q638" s="61"/>
    </row>
    <row r="639">
      <c r="O639" s="65"/>
      <c r="P639" s="57"/>
      <c r="Q639" s="61"/>
    </row>
    <row r="640">
      <c r="O640" s="65"/>
      <c r="P640" s="57"/>
      <c r="Q640" s="61"/>
    </row>
    <row r="641">
      <c r="O641" s="65"/>
      <c r="P641" s="57"/>
      <c r="Q641" s="61"/>
    </row>
    <row r="642">
      <c r="O642" s="65"/>
      <c r="P642" s="57"/>
      <c r="Q642" s="61"/>
    </row>
    <row r="643">
      <c r="O643" s="65"/>
      <c r="P643" s="57"/>
      <c r="Q643" s="61"/>
    </row>
    <row r="644">
      <c r="O644" s="65"/>
      <c r="P644" s="57"/>
      <c r="Q644" s="61"/>
    </row>
    <row r="645">
      <c r="O645" s="65"/>
      <c r="P645" s="57"/>
      <c r="Q645" s="61"/>
    </row>
    <row r="646">
      <c r="O646" s="65"/>
      <c r="P646" s="57"/>
      <c r="Q646" s="61"/>
    </row>
    <row r="647">
      <c r="O647" s="65"/>
      <c r="P647" s="57"/>
      <c r="Q647" s="61"/>
    </row>
    <row r="648">
      <c r="O648" s="65"/>
      <c r="P648" s="57"/>
      <c r="Q648" s="61"/>
    </row>
    <row r="649">
      <c r="O649" s="65"/>
      <c r="P649" s="57"/>
      <c r="Q649" s="61"/>
    </row>
    <row r="650">
      <c r="O650" s="65"/>
      <c r="P650" s="57"/>
      <c r="Q650" s="61"/>
    </row>
    <row r="651">
      <c r="O651" s="65"/>
      <c r="P651" s="57"/>
      <c r="Q651" s="61"/>
    </row>
    <row r="652">
      <c r="O652" s="65"/>
      <c r="P652" s="57"/>
      <c r="Q652" s="61"/>
    </row>
    <row r="653">
      <c r="O653" s="65"/>
      <c r="P653" s="57"/>
      <c r="Q653" s="61"/>
    </row>
    <row r="654">
      <c r="O654" s="65"/>
      <c r="P654" s="57"/>
      <c r="Q654" s="61"/>
    </row>
    <row r="655">
      <c r="O655" s="65"/>
      <c r="P655" s="57"/>
      <c r="Q655" s="61"/>
    </row>
    <row r="656">
      <c r="O656" s="65"/>
      <c r="P656" s="57"/>
      <c r="Q656" s="61"/>
    </row>
    <row r="657">
      <c r="O657" s="65"/>
      <c r="P657" s="57"/>
      <c r="Q657" s="61"/>
    </row>
    <row r="658">
      <c r="O658" s="65"/>
      <c r="P658" s="57"/>
      <c r="Q658" s="61"/>
    </row>
    <row r="659">
      <c r="O659" s="65"/>
      <c r="P659" s="57"/>
      <c r="Q659" s="61"/>
    </row>
    <row r="660">
      <c r="O660" s="65"/>
      <c r="P660" s="57"/>
      <c r="Q660" s="61"/>
    </row>
    <row r="661">
      <c r="O661" s="65"/>
      <c r="P661" s="57"/>
      <c r="Q661" s="61"/>
    </row>
    <row r="662">
      <c r="O662" s="65"/>
      <c r="P662" s="57"/>
      <c r="Q662" s="61"/>
    </row>
    <row r="663">
      <c r="O663" s="65"/>
      <c r="P663" s="57"/>
      <c r="Q663" s="61"/>
    </row>
    <row r="664">
      <c r="O664" s="65"/>
      <c r="P664" s="57"/>
      <c r="Q664" s="61"/>
    </row>
    <row r="665">
      <c r="O665" s="65"/>
      <c r="P665" s="57"/>
      <c r="Q665" s="61"/>
    </row>
    <row r="666">
      <c r="O666" s="65"/>
      <c r="P666" s="57"/>
      <c r="Q666" s="61"/>
    </row>
    <row r="667">
      <c r="O667" s="65"/>
      <c r="P667" s="57"/>
      <c r="Q667" s="61"/>
    </row>
    <row r="668">
      <c r="O668" s="65"/>
      <c r="P668" s="57"/>
      <c r="Q668" s="61"/>
    </row>
    <row r="669">
      <c r="O669" s="65"/>
      <c r="P669" s="57"/>
      <c r="Q669" s="61"/>
    </row>
    <row r="670">
      <c r="O670" s="65"/>
      <c r="P670" s="57"/>
      <c r="Q670" s="61"/>
    </row>
    <row r="671">
      <c r="O671" s="65"/>
      <c r="P671" s="57"/>
      <c r="Q671" s="61"/>
    </row>
    <row r="672">
      <c r="O672" s="65"/>
      <c r="P672" s="57"/>
      <c r="Q672" s="61"/>
    </row>
    <row r="673">
      <c r="O673" s="65"/>
      <c r="P673" s="57"/>
      <c r="Q673" s="61"/>
    </row>
    <row r="674">
      <c r="O674" s="65"/>
      <c r="P674" s="57"/>
      <c r="Q674" s="61"/>
    </row>
    <row r="675">
      <c r="O675" s="65"/>
      <c r="P675" s="57"/>
      <c r="Q675" s="61"/>
    </row>
    <row r="676">
      <c r="O676" s="65"/>
      <c r="P676" s="57"/>
      <c r="Q676" s="61"/>
    </row>
    <row r="677">
      <c r="O677" s="65"/>
      <c r="P677" s="57"/>
      <c r="Q677" s="61"/>
    </row>
    <row r="678">
      <c r="O678" s="65"/>
      <c r="P678" s="57"/>
      <c r="Q678" s="61"/>
    </row>
    <row r="679">
      <c r="O679" s="65"/>
      <c r="P679" s="57"/>
      <c r="Q679" s="61"/>
    </row>
    <row r="680">
      <c r="O680" s="65"/>
      <c r="P680" s="57"/>
      <c r="Q680" s="61"/>
    </row>
    <row r="681">
      <c r="O681" s="65"/>
      <c r="P681" s="57"/>
      <c r="Q681" s="61"/>
    </row>
    <row r="682">
      <c r="O682" s="65"/>
      <c r="P682" s="57"/>
      <c r="Q682" s="61"/>
    </row>
    <row r="683">
      <c r="O683" s="65"/>
      <c r="P683" s="57"/>
      <c r="Q683" s="61"/>
    </row>
    <row r="684">
      <c r="O684" s="65"/>
      <c r="P684" s="57"/>
      <c r="Q684" s="61"/>
    </row>
    <row r="685">
      <c r="O685" s="65"/>
      <c r="P685" s="57"/>
      <c r="Q685" s="61"/>
    </row>
    <row r="686">
      <c r="O686" s="65"/>
      <c r="P686" s="57"/>
      <c r="Q686" s="61"/>
    </row>
    <row r="687">
      <c r="O687" s="65"/>
      <c r="P687" s="57"/>
      <c r="Q687" s="61"/>
    </row>
    <row r="688">
      <c r="O688" s="65"/>
      <c r="P688" s="57"/>
      <c r="Q688" s="61"/>
    </row>
    <row r="689">
      <c r="O689" s="65"/>
      <c r="P689" s="57"/>
      <c r="Q689" s="61"/>
    </row>
    <row r="690">
      <c r="O690" s="65"/>
      <c r="P690" s="57"/>
      <c r="Q690" s="61"/>
    </row>
    <row r="691">
      <c r="O691" s="65"/>
      <c r="P691" s="57"/>
      <c r="Q691" s="61"/>
    </row>
    <row r="692">
      <c r="O692" s="65"/>
      <c r="P692" s="57"/>
      <c r="Q692" s="61"/>
    </row>
    <row r="693">
      <c r="O693" s="65"/>
      <c r="P693" s="57"/>
      <c r="Q693" s="61"/>
    </row>
    <row r="694">
      <c r="O694" s="65"/>
      <c r="P694" s="57"/>
      <c r="Q694" s="61"/>
    </row>
    <row r="695">
      <c r="O695" s="65"/>
      <c r="P695" s="57"/>
      <c r="Q695" s="61"/>
    </row>
    <row r="696">
      <c r="O696" s="65"/>
      <c r="P696" s="57"/>
      <c r="Q696" s="61"/>
    </row>
    <row r="697">
      <c r="O697" s="65"/>
      <c r="P697" s="57"/>
      <c r="Q697" s="61"/>
    </row>
    <row r="698">
      <c r="O698" s="65"/>
      <c r="P698" s="57"/>
      <c r="Q698" s="61"/>
    </row>
    <row r="699">
      <c r="O699" s="65"/>
      <c r="P699" s="57"/>
      <c r="Q699" s="61"/>
    </row>
    <row r="700">
      <c r="O700" s="65"/>
      <c r="P700" s="57"/>
      <c r="Q700" s="61"/>
    </row>
    <row r="701">
      <c r="O701" s="65"/>
      <c r="P701" s="57"/>
      <c r="Q701" s="61"/>
    </row>
    <row r="702">
      <c r="O702" s="65"/>
      <c r="P702" s="57"/>
      <c r="Q702" s="61"/>
    </row>
    <row r="703">
      <c r="O703" s="65"/>
      <c r="P703" s="57"/>
      <c r="Q703" s="61"/>
    </row>
    <row r="704">
      <c r="O704" s="65"/>
      <c r="P704" s="57"/>
      <c r="Q704" s="61"/>
    </row>
    <row r="705">
      <c r="O705" s="65"/>
      <c r="P705" s="57"/>
      <c r="Q705" s="61"/>
    </row>
    <row r="706">
      <c r="O706" s="65"/>
      <c r="P706" s="57"/>
      <c r="Q706" s="61"/>
    </row>
    <row r="707">
      <c r="O707" s="65"/>
      <c r="P707" s="57"/>
      <c r="Q707" s="61"/>
    </row>
    <row r="708">
      <c r="O708" s="65"/>
      <c r="P708" s="57"/>
      <c r="Q708" s="61"/>
    </row>
    <row r="709">
      <c r="O709" s="65"/>
      <c r="P709" s="57"/>
      <c r="Q709" s="61"/>
    </row>
    <row r="710">
      <c r="O710" s="65"/>
      <c r="P710" s="57"/>
      <c r="Q710" s="61"/>
    </row>
    <row r="711">
      <c r="O711" s="65"/>
      <c r="P711" s="57"/>
      <c r="Q711" s="61"/>
    </row>
    <row r="712">
      <c r="O712" s="65"/>
      <c r="P712" s="57"/>
      <c r="Q712" s="61"/>
    </row>
    <row r="713">
      <c r="O713" s="65"/>
      <c r="P713" s="57"/>
      <c r="Q713" s="61"/>
    </row>
    <row r="714">
      <c r="O714" s="65"/>
      <c r="P714" s="57"/>
      <c r="Q714" s="61"/>
    </row>
    <row r="715">
      <c r="O715" s="65"/>
      <c r="P715" s="57"/>
      <c r="Q715" s="61"/>
    </row>
    <row r="716">
      <c r="O716" s="65"/>
      <c r="P716" s="57"/>
      <c r="Q716" s="61"/>
    </row>
    <row r="717">
      <c r="O717" s="65"/>
      <c r="P717" s="57"/>
      <c r="Q717" s="61"/>
    </row>
    <row r="718">
      <c r="O718" s="65"/>
      <c r="P718" s="57"/>
      <c r="Q718" s="61"/>
    </row>
    <row r="719">
      <c r="O719" s="65"/>
      <c r="P719" s="57"/>
      <c r="Q719" s="61"/>
    </row>
    <row r="720">
      <c r="O720" s="65"/>
      <c r="P720" s="57"/>
      <c r="Q720" s="61"/>
    </row>
    <row r="721">
      <c r="O721" s="65"/>
      <c r="P721" s="57"/>
      <c r="Q721" s="61"/>
    </row>
    <row r="722">
      <c r="O722" s="65"/>
      <c r="P722" s="57"/>
      <c r="Q722" s="61"/>
    </row>
    <row r="723">
      <c r="O723" s="65"/>
      <c r="P723" s="57"/>
      <c r="Q723" s="61"/>
    </row>
    <row r="724">
      <c r="O724" s="65"/>
      <c r="P724" s="57"/>
      <c r="Q724" s="61"/>
    </row>
    <row r="725">
      <c r="O725" s="65"/>
      <c r="P725" s="57"/>
      <c r="Q725" s="61"/>
    </row>
    <row r="726">
      <c r="O726" s="65"/>
      <c r="P726" s="57"/>
      <c r="Q726" s="61"/>
    </row>
    <row r="727">
      <c r="O727" s="65"/>
      <c r="P727" s="57"/>
      <c r="Q727" s="61"/>
    </row>
    <row r="728">
      <c r="O728" s="65"/>
      <c r="P728" s="57"/>
      <c r="Q728" s="61"/>
    </row>
    <row r="729">
      <c r="O729" s="65"/>
      <c r="P729" s="57"/>
      <c r="Q729" s="61"/>
    </row>
    <row r="730">
      <c r="O730" s="65"/>
      <c r="P730" s="57"/>
      <c r="Q730" s="61"/>
    </row>
    <row r="731">
      <c r="O731" s="65"/>
      <c r="P731" s="57"/>
      <c r="Q731" s="61"/>
    </row>
    <row r="732">
      <c r="O732" s="65"/>
      <c r="P732" s="57"/>
      <c r="Q732" s="61"/>
    </row>
    <row r="733">
      <c r="O733" s="65"/>
      <c r="P733" s="57"/>
      <c r="Q733" s="61"/>
    </row>
    <row r="734">
      <c r="O734" s="65"/>
      <c r="P734" s="57"/>
      <c r="Q734" s="61"/>
    </row>
    <row r="735">
      <c r="O735" s="65"/>
      <c r="P735" s="57"/>
      <c r="Q735" s="61"/>
    </row>
    <row r="736">
      <c r="O736" s="65"/>
      <c r="P736" s="57"/>
      <c r="Q736" s="61"/>
    </row>
    <row r="737">
      <c r="O737" s="65"/>
      <c r="P737" s="57"/>
      <c r="Q737" s="61"/>
    </row>
    <row r="738">
      <c r="O738" s="65"/>
      <c r="P738" s="57"/>
      <c r="Q738" s="61"/>
    </row>
    <row r="739">
      <c r="O739" s="65"/>
      <c r="P739" s="57"/>
      <c r="Q739" s="61"/>
    </row>
    <row r="740">
      <c r="O740" s="65"/>
      <c r="P740" s="57"/>
      <c r="Q740" s="61"/>
    </row>
    <row r="741">
      <c r="O741" s="65"/>
      <c r="P741" s="57"/>
      <c r="Q741" s="61"/>
    </row>
    <row r="742">
      <c r="O742" s="65"/>
      <c r="P742" s="57"/>
      <c r="Q742" s="61"/>
    </row>
    <row r="743">
      <c r="O743" s="65"/>
      <c r="P743" s="57"/>
      <c r="Q743" s="61"/>
    </row>
    <row r="744">
      <c r="O744" s="65"/>
      <c r="P744" s="57"/>
      <c r="Q744" s="61"/>
    </row>
    <row r="745">
      <c r="O745" s="65"/>
      <c r="P745" s="57"/>
      <c r="Q745" s="61"/>
    </row>
    <row r="746">
      <c r="O746" s="65"/>
      <c r="P746" s="57"/>
      <c r="Q746" s="61"/>
    </row>
    <row r="747">
      <c r="O747" s="65"/>
      <c r="P747" s="57"/>
      <c r="Q747" s="61"/>
    </row>
    <row r="748">
      <c r="O748" s="65"/>
      <c r="P748" s="57"/>
      <c r="Q748" s="61"/>
    </row>
    <row r="749">
      <c r="O749" s="65"/>
      <c r="P749" s="57"/>
      <c r="Q749" s="61"/>
    </row>
    <row r="750">
      <c r="O750" s="65"/>
      <c r="P750" s="57"/>
      <c r="Q750" s="61"/>
    </row>
    <row r="751">
      <c r="O751" s="65"/>
      <c r="P751" s="57"/>
      <c r="Q751" s="61"/>
    </row>
    <row r="752">
      <c r="O752" s="65"/>
      <c r="P752" s="57"/>
      <c r="Q752" s="61"/>
    </row>
    <row r="753">
      <c r="O753" s="65"/>
      <c r="P753" s="57"/>
      <c r="Q753" s="61"/>
    </row>
    <row r="754">
      <c r="O754" s="65"/>
      <c r="P754" s="57"/>
      <c r="Q754" s="61"/>
    </row>
    <row r="755">
      <c r="O755" s="65"/>
      <c r="P755" s="57"/>
      <c r="Q755" s="61"/>
    </row>
    <row r="756">
      <c r="O756" s="65"/>
      <c r="P756" s="57"/>
      <c r="Q756" s="61"/>
    </row>
    <row r="757">
      <c r="O757" s="65"/>
      <c r="P757" s="57"/>
      <c r="Q757" s="61"/>
    </row>
    <row r="758">
      <c r="O758" s="65"/>
      <c r="P758" s="57"/>
      <c r="Q758" s="61"/>
    </row>
    <row r="759">
      <c r="O759" s="65"/>
      <c r="P759" s="57"/>
      <c r="Q759" s="61"/>
    </row>
    <row r="760">
      <c r="O760" s="65"/>
      <c r="P760" s="57"/>
      <c r="Q760" s="61"/>
    </row>
    <row r="761">
      <c r="O761" s="65"/>
      <c r="P761" s="57"/>
      <c r="Q761" s="61"/>
    </row>
    <row r="762">
      <c r="O762" s="65"/>
      <c r="P762" s="57"/>
      <c r="Q762" s="61"/>
    </row>
    <row r="763">
      <c r="O763" s="65"/>
      <c r="P763" s="57"/>
      <c r="Q763" s="61"/>
    </row>
    <row r="764">
      <c r="O764" s="65"/>
      <c r="P764" s="57"/>
      <c r="Q764" s="61"/>
    </row>
    <row r="765">
      <c r="O765" s="65"/>
      <c r="P765" s="57"/>
      <c r="Q765" s="61"/>
    </row>
    <row r="766">
      <c r="O766" s="65"/>
      <c r="P766" s="57"/>
      <c r="Q766" s="61"/>
    </row>
    <row r="767">
      <c r="O767" s="65"/>
      <c r="P767" s="57"/>
      <c r="Q767" s="61"/>
    </row>
    <row r="768">
      <c r="O768" s="65"/>
      <c r="P768" s="57"/>
      <c r="Q768" s="61"/>
    </row>
    <row r="769">
      <c r="O769" s="65"/>
      <c r="P769" s="57"/>
      <c r="Q769" s="61"/>
    </row>
    <row r="770">
      <c r="O770" s="65"/>
      <c r="P770" s="57"/>
      <c r="Q770" s="61"/>
    </row>
    <row r="771">
      <c r="O771" s="65"/>
      <c r="P771" s="57"/>
      <c r="Q771" s="61"/>
    </row>
    <row r="772">
      <c r="O772" s="65"/>
      <c r="P772" s="57"/>
      <c r="Q772" s="61"/>
    </row>
    <row r="773">
      <c r="O773" s="65"/>
      <c r="P773" s="57"/>
      <c r="Q773" s="61"/>
    </row>
    <row r="774">
      <c r="O774" s="65"/>
      <c r="P774" s="57"/>
      <c r="Q774" s="61"/>
    </row>
    <row r="775">
      <c r="O775" s="65"/>
      <c r="P775" s="57"/>
      <c r="Q775" s="61"/>
    </row>
    <row r="776">
      <c r="O776" s="65"/>
      <c r="P776" s="57"/>
      <c r="Q776" s="61"/>
    </row>
    <row r="777">
      <c r="O777" s="65"/>
      <c r="P777" s="57"/>
      <c r="Q777" s="61"/>
    </row>
    <row r="778">
      <c r="O778" s="65"/>
      <c r="P778" s="57"/>
      <c r="Q778" s="61"/>
    </row>
    <row r="779">
      <c r="O779" s="65"/>
      <c r="P779" s="57"/>
      <c r="Q779" s="61"/>
    </row>
    <row r="780">
      <c r="O780" s="65"/>
      <c r="P780" s="57"/>
      <c r="Q780" s="61"/>
    </row>
    <row r="781">
      <c r="O781" s="65"/>
      <c r="P781" s="57"/>
      <c r="Q781" s="61"/>
    </row>
    <row r="782">
      <c r="O782" s="65"/>
      <c r="P782" s="57"/>
      <c r="Q782" s="61"/>
    </row>
    <row r="783">
      <c r="O783" s="65"/>
      <c r="P783" s="57"/>
      <c r="Q783" s="61"/>
    </row>
    <row r="784">
      <c r="O784" s="65"/>
      <c r="P784" s="57"/>
      <c r="Q784" s="61"/>
    </row>
    <row r="785">
      <c r="O785" s="65"/>
      <c r="P785" s="57"/>
      <c r="Q785" s="61"/>
    </row>
    <row r="786">
      <c r="O786" s="65"/>
      <c r="P786" s="57"/>
      <c r="Q786" s="61"/>
    </row>
    <row r="787">
      <c r="O787" s="65"/>
      <c r="P787" s="57"/>
      <c r="Q787" s="61"/>
    </row>
    <row r="788">
      <c r="O788" s="65"/>
      <c r="P788" s="57"/>
      <c r="Q788" s="61"/>
    </row>
    <row r="789">
      <c r="O789" s="65"/>
      <c r="P789" s="57"/>
      <c r="Q789" s="61"/>
    </row>
    <row r="790">
      <c r="O790" s="65"/>
      <c r="P790" s="57"/>
      <c r="Q790" s="61"/>
    </row>
    <row r="791">
      <c r="O791" s="65"/>
      <c r="P791" s="57"/>
      <c r="Q791" s="61"/>
    </row>
    <row r="792">
      <c r="O792" s="65"/>
      <c r="P792" s="57"/>
      <c r="Q792" s="61"/>
    </row>
    <row r="793">
      <c r="O793" s="65"/>
      <c r="P793" s="57"/>
      <c r="Q793" s="61"/>
    </row>
    <row r="794">
      <c r="O794" s="65"/>
      <c r="P794" s="57"/>
      <c r="Q794" s="61"/>
    </row>
    <row r="795">
      <c r="O795" s="65"/>
      <c r="P795" s="57"/>
      <c r="Q795" s="61"/>
    </row>
    <row r="796">
      <c r="O796" s="65"/>
      <c r="P796" s="57"/>
      <c r="Q796" s="61"/>
    </row>
    <row r="797">
      <c r="O797" s="65"/>
      <c r="P797" s="57"/>
      <c r="Q797" s="61"/>
    </row>
    <row r="798">
      <c r="O798" s="65"/>
      <c r="P798" s="57"/>
      <c r="Q798" s="61"/>
    </row>
    <row r="799">
      <c r="O799" s="65"/>
      <c r="P799" s="57"/>
      <c r="Q799" s="61"/>
    </row>
    <row r="800">
      <c r="O800" s="65"/>
      <c r="P800" s="57"/>
      <c r="Q800" s="61"/>
    </row>
    <row r="801">
      <c r="O801" s="65"/>
      <c r="P801" s="57"/>
      <c r="Q801" s="61"/>
    </row>
    <row r="802">
      <c r="O802" s="65"/>
      <c r="P802" s="57"/>
      <c r="Q802" s="61"/>
    </row>
    <row r="803">
      <c r="O803" s="65"/>
      <c r="P803" s="57"/>
      <c r="Q803" s="61"/>
    </row>
    <row r="804">
      <c r="O804" s="65"/>
      <c r="P804" s="57"/>
      <c r="Q804" s="61"/>
    </row>
    <row r="805">
      <c r="O805" s="65"/>
      <c r="P805" s="57"/>
      <c r="Q805" s="61"/>
    </row>
    <row r="806">
      <c r="O806" s="65"/>
      <c r="P806" s="57"/>
      <c r="Q806" s="61"/>
    </row>
    <row r="807">
      <c r="O807" s="65"/>
      <c r="P807" s="57"/>
      <c r="Q807" s="61"/>
    </row>
    <row r="808">
      <c r="O808" s="65"/>
      <c r="P808" s="57"/>
      <c r="Q808" s="61"/>
    </row>
    <row r="809">
      <c r="O809" s="65"/>
      <c r="P809" s="57"/>
      <c r="Q809" s="61"/>
    </row>
    <row r="810">
      <c r="O810" s="65"/>
      <c r="P810" s="57"/>
      <c r="Q810" s="61"/>
    </row>
    <row r="811">
      <c r="O811" s="65"/>
      <c r="P811" s="57"/>
      <c r="Q811" s="61"/>
    </row>
    <row r="812">
      <c r="O812" s="65"/>
      <c r="P812" s="57"/>
      <c r="Q812" s="61"/>
    </row>
    <row r="813">
      <c r="O813" s="65"/>
      <c r="P813" s="57"/>
      <c r="Q813" s="61"/>
    </row>
    <row r="814">
      <c r="O814" s="65"/>
      <c r="P814" s="57"/>
      <c r="Q814" s="61"/>
    </row>
    <row r="815">
      <c r="O815" s="65"/>
      <c r="P815" s="57"/>
      <c r="Q815" s="61"/>
    </row>
    <row r="816">
      <c r="O816" s="65"/>
      <c r="P816" s="57"/>
      <c r="Q816" s="61"/>
    </row>
    <row r="817">
      <c r="O817" s="65"/>
      <c r="P817" s="57"/>
      <c r="Q817" s="61"/>
    </row>
    <row r="818">
      <c r="O818" s="65"/>
      <c r="P818" s="57"/>
      <c r="Q818" s="61"/>
    </row>
    <row r="819">
      <c r="O819" s="65"/>
      <c r="P819" s="57"/>
      <c r="Q819" s="61"/>
    </row>
    <row r="820">
      <c r="O820" s="65"/>
      <c r="P820" s="57"/>
      <c r="Q820" s="61"/>
    </row>
    <row r="821">
      <c r="O821" s="65"/>
      <c r="P821" s="57"/>
      <c r="Q821" s="61"/>
    </row>
    <row r="822">
      <c r="O822" s="65"/>
      <c r="P822" s="57"/>
      <c r="Q822" s="61"/>
    </row>
    <row r="823">
      <c r="O823" s="65"/>
      <c r="P823" s="57"/>
      <c r="Q823" s="61"/>
    </row>
    <row r="824">
      <c r="O824" s="65"/>
      <c r="P824" s="57"/>
      <c r="Q824" s="61"/>
    </row>
    <row r="825">
      <c r="O825" s="65"/>
      <c r="P825" s="57"/>
      <c r="Q825" s="61"/>
    </row>
    <row r="826">
      <c r="O826" s="65"/>
      <c r="P826" s="57"/>
      <c r="Q826" s="61"/>
    </row>
    <row r="827">
      <c r="O827" s="65"/>
      <c r="P827" s="57"/>
      <c r="Q827" s="61"/>
    </row>
    <row r="828">
      <c r="O828" s="65"/>
      <c r="P828" s="57"/>
      <c r="Q828" s="61"/>
    </row>
    <row r="829">
      <c r="O829" s="65"/>
      <c r="P829" s="57"/>
      <c r="Q829" s="61"/>
    </row>
    <row r="830">
      <c r="O830" s="65"/>
      <c r="P830" s="57"/>
      <c r="Q830" s="61"/>
    </row>
    <row r="831">
      <c r="O831" s="65"/>
      <c r="P831" s="57"/>
      <c r="Q831" s="61"/>
    </row>
    <row r="832">
      <c r="O832" s="65"/>
      <c r="P832" s="57"/>
      <c r="Q832" s="61"/>
    </row>
    <row r="833">
      <c r="O833" s="65"/>
      <c r="P833" s="57"/>
      <c r="Q833" s="61"/>
    </row>
    <row r="834">
      <c r="O834" s="65"/>
      <c r="P834" s="57"/>
      <c r="Q834" s="61"/>
    </row>
    <row r="835">
      <c r="O835" s="65"/>
      <c r="P835" s="57"/>
      <c r="Q835" s="61"/>
    </row>
    <row r="836">
      <c r="O836" s="65"/>
      <c r="P836" s="57"/>
      <c r="Q836" s="61"/>
    </row>
    <row r="837">
      <c r="O837" s="65"/>
      <c r="P837" s="57"/>
      <c r="Q837" s="61"/>
    </row>
    <row r="838">
      <c r="O838" s="65"/>
      <c r="P838" s="57"/>
      <c r="Q838" s="61"/>
    </row>
    <row r="839">
      <c r="O839" s="65"/>
      <c r="P839" s="57"/>
      <c r="Q839" s="61"/>
    </row>
    <row r="840">
      <c r="O840" s="65"/>
      <c r="P840" s="57"/>
      <c r="Q840" s="61"/>
    </row>
    <row r="841">
      <c r="O841" s="65"/>
      <c r="P841" s="57"/>
      <c r="Q841" s="61"/>
    </row>
    <row r="842">
      <c r="O842" s="65"/>
      <c r="P842" s="57"/>
      <c r="Q842" s="61"/>
    </row>
    <row r="843">
      <c r="O843" s="65"/>
      <c r="P843" s="57"/>
      <c r="Q843" s="61"/>
    </row>
    <row r="844">
      <c r="O844" s="65"/>
      <c r="P844" s="57"/>
      <c r="Q844" s="61"/>
    </row>
    <row r="845">
      <c r="O845" s="65"/>
      <c r="P845" s="57"/>
      <c r="Q845" s="61"/>
    </row>
    <row r="846">
      <c r="O846" s="65"/>
      <c r="P846" s="57"/>
      <c r="Q846" s="61"/>
    </row>
    <row r="847">
      <c r="O847" s="65"/>
      <c r="P847" s="57"/>
      <c r="Q847" s="61"/>
    </row>
    <row r="848">
      <c r="O848" s="65"/>
      <c r="P848" s="57"/>
      <c r="Q848" s="61"/>
    </row>
    <row r="849">
      <c r="O849" s="65"/>
      <c r="P849" s="57"/>
      <c r="Q849" s="61"/>
    </row>
    <row r="850">
      <c r="O850" s="65"/>
      <c r="P850" s="57"/>
      <c r="Q850" s="61"/>
    </row>
    <row r="851">
      <c r="O851" s="65"/>
      <c r="P851" s="57"/>
      <c r="Q851" s="61"/>
    </row>
    <row r="852">
      <c r="O852" s="65"/>
      <c r="P852" s="57"/>
      <c r="Q852" s="61"/>
    </row>
    <row r="853">
      <c r="O853" s="65"/>
      <c r="P853" s="57"/>
      <c r="Q853" s="61"/>
    </row>
    <row r="854">
      <c r="O854" s="65"/>
      <c r="P854" s="57"/>
      <c r="Q854" s="61"/>
    </row>
    <row r="855">
      <c r="O855" s="65"/>
      <c r="P855" s="57"/>
      <c r="Q855" s="61"/>
    </row>
    <row r="856">
      <c r="O856" s="65"/>
      <c r="P856" s="57"/>
      <c r="Q856" s="61"/>
    </row>
    <row r="857">
      <c r="O857" s="65"/>
      <c r="P857" s="57"/>
      <c r="Q857" s="61"/>
    </row>
    <row r="858">
      <c r="O858" s="65"/>
      <c r="P858" s="57"/>
      <c r="Q858" s="61"/>
    </row>
    <row r="859">
      <c r="O859" s="65"/>
      <c r="P859" s="57"/>
      <c r="Q859" s="61"/>
    </row>
    <row r="860">
      <c r="O860" s="65"/>
      <c r="P860" s="57"/>
      <c r="Q860" s="61"/>
    </row>
    <row r="861">
      <c r="O861" s="65"/>
      <c r="P861" s="57"/>
      <c r="Q861" s="61"/>
    </row>
    <row r="862">
      <c r="O862" s="65"/>
      <c r="P862" s="57"/>
      <c r="Q862" s="61"/>
    </row>
    <row r="863">
      <c r="O863" s="65"/>
      <c r="P863" s="57"/>
      <c r="Q863" s="61"/>
    </row>
    <row r="864">
      <c r="O864" s="65"/>
      <c r="P864" s="57"/>
      <c r="Q864" s="61"/>
    </row>
    <row r="865">
      <c r="O865" s="65"/>
      <c r="P865" s="57"/>
      <c r="Q865" s="61"/>
    </row>
    <row r="866">
      <c r="O866" s="65"/>
      <c r="P866" s="57"/>
      <c r="Q866" s="61"/>
    </row>
    <row r="867">
      <c r="O867" s="65"/>
      <c r="P867" s="57"/>
      <c r="Q867" s="61"/>
    </row>
    <row r="868">
      <c r="O868" s="65"/>
      <c r="P868" s="57"/>
      <c r="Q868" s="61"/>
    </row>
    <row r="869">
      <c r="O869" s="65"/>
      <c r="P869" s="57"/>
      <c r="Q869" s="61"/>
    </row>
    <row r="870">
      <c r="O870" s="65"/>
      <c r="P870" s="57"/>
      <c r="Q870" s="61"/>
    </row>
    <row r="871">
      <c r="O871" s="65"/>
      <c r="P871" s="57"/>
      <c r="Q871" s="61"/>
    </row>
    <row r="872">
      <c r="O872" s="65"/>
      <c r="P872" s="57"/>
      <c r="Q872" s="61"/>
    </row>
    <row r="873">
      <c r="O873" s="65"/>
      <c r="P873" s="57"/>
      <c r="Q873" s="61"/>
    </row>
    <row r="874">
      <c r="O874" s="65"/>
      <c r="P874" s="57"/>
      <c r="Q874" s="61"/>
    </row>
    <row r="875">
      <c r="O875" s="65"/>
      <c r="P875" s="57"/>
      <c r="Q875" s="61"/>
    </row>
    <row r="876">
      <c r="O876" s="65"/>
      <c r="P876" s="57"/>
      <c r="Q876" s="61"/>
    </row>
    <row r="877">
      <c r="O877" s="65"/>
      <c r="P877" s="57"/>
      <c r="Q877" s="61"/>
    </row>
    <row r="878">
      <c r="O878" s="65"/>
      <c r="P878" s="57"/>
      <c r="Q878" s="61"/>
    </row>
    <row r="879">
      <c r="O879" s="65"/>
      <c r="P879" s="57"/>
      <c r="Q879" s="61"/>
    </row>
    <row r="880">
      <c r="O880" s="65"/>
      <c r="P880" s="57"/>
      <c r="Q880" s="61"/>
    </row>
    <row r="881">
      <c r="O881" s="65"/>
      <c r="P881" s="57"/>
      <c r="Q881" s="61"/>
    </row>
    <row r="882">
      <c r="O882" s="65"/>
      <c r="P882" s="57"/>
      <c r="Q882" s="61"/>
    </row>
    <row r="883">
      <c r="O883" s="65"/>
      <c r="P883" s="57"/>
      <c r="Q883" s="61"/>
    </row>
    <row r="884">
      <c r="O884" s="65"/>
      <c r="P884" s="57"/>
      <c r="Q884" s="61"/>
    </row>
    <row r="885">
      <c r="O885" s="65"/>
      <c r="P885" s="57"/>
      <c r="Q885" s="61"/>
    </row>
    <row r="886">
      <c r="O886" s="65"/>
      <c r="P886" s="57"/>
      <c r="Q886" s="61"/>
    </row>
    <row r="887">
      <c r="O887" s="65"/>
      <c r="P887" s="57"/>
      <c r="Q887" s="61"/>
    </row>
    <row r="888">
      <c r="O888" s="65"/>
      <c r="P888" s="57"/>
      <c r="Q888" s="61"/>
    </row>
    <row r="889">
      <c r="O889" s="65"/>
      <c r="P889" s="57"/>
      <c r="Q889" s="61"/>
    </row>
    <row r="890">
      <c r="O890" s="65"/>
      <c r="P890" s="57"/>
      <c r="Q890" s="61"/>
    </row>
    <row r="891">
      <c r="O891" s="65"/>
      <c r="P891" s="57"/>
      <c r="Q891" s="61"/>
    </row>
    <row r="892">
      <c r="O892" s="65"/>
      <c r="P892" s="57"/>
      <c r="Q892" s="61"/>
    </row>
    <row r="893">
      <c r="O893" s="65"/>
      <c r="P893" s="57"/>
      <c r="Q893" s="61"/>
    </row>
    <row r="894">
      <c r="O894" s="65"/>
      <c r="P894" s="57"/>
      <c r="Q894" s="61"/>
    </row>
    <row r="895">
      <c r="O895" s="65"/>
      <c r="P895" s="57"/>
      <c r="Q895" s="61"/>
    </row>
    <row r="896">
      <c r="O896" s="65"/>
      <c r="P896" s="57"/>
      <c r="Q896" s="61"/>
    </row>
    <row r="897">
      <c r="O897" s="65"/>
      <c r="P897" s="57"/>
      <c r="Q897" s="61"/>
    </row>
    <row r="898">
      <c r="O898" s="65"/>
      <c r="P898" s="57"/>
      <c r="Q898" s="61"/>
    </row>
    <row r="899">
      <c r="O899" s="65"/>
      <c r="P899" s="57"/>
      <c r="Q899" s="61"/>
    </row>
    <row r="900">
      <c r="O900" s="65"/>
      <c r="P900" s="57"/>
      <c r="Q900" s="61"/>
    </row>
    <row r="901">
      <c r="O901" s="65"/>
      <c r="P901" s="57"/>
      <c r="Q901" s="61"/>
    </row>
    <row r="902">
      <c r="O902" s="65"/>
      <c r="P902" s="57"/>
      <c r="Q902" s="61"/>
    </row>
    <row r="903">
      <c r="O903" s="65"/>
      <c r="P903" s="57"/>
      <c r="Q903" s="61"/>
    </row>
    <row r="904">
      <c r="O904" s="65"/>
      <c r="P904" s="57"/>
      <c r="Q904" s="61"/>
    </row>
    <row r="905">
      <c r="O905" s="65"/>
      <c r="P905" s="57"/>
      <c r="Q905" s="61"/>
    </row>
    <row r="906">
      <c r="O906" s="65"/>
      <c r="P906" s="57"/>
      <c r="Q906" s="61"/>
    </row>
    <row r="907">
      <c r="O907" s="65"/>
      <c r="P907" s="57"/>
      <c r="Q907" s="61"/>
    </row>
    <row r="908">
      <c r="O908" s="65"/>
      <c r="P908" s="57"/>
      <c r="Q908" s="61"/>
    </row>
    <row r="909">
      <c r="O909" s="65"/>
      <c r="P909" s="57"/>
      <c r="Q909" s="61"/>
    </row>
    <row r="910">
      <c r="O910" s="65"/>
      <c r="P910" s="57"/>
      <c r="Q910" s="61"/>
    </row>
    <row r="911">
      <c r="O911" s="65"/>
      <c r="P911" s="57"/>
      <c r="Q911" s="61"/>
    </row>
    <row r="912">
      <c r="O912" s="65"/>
      <c r="P912" s="57"/>
      <c r="Q912" s="61"/>
    </row>
    <row r="913">
      <c r="O913" s="65"/>
      <c r="P913" s="57"/>
      <c r="Q913" s="61"/>
    </row>
    <row r="914">
      <c r="O914" s="65"/>
      <c r="P914" s="57"/>
      <c r="Q914" s="61"/>
    </row>
    <row r="915">
      <c r="O915" s="65"/>
      <c r="P915" s="57"/>
      <c r="Q915" s="61"/>
    </row>
    <row r="916">
      <c r="O916" s="65"/>
      <c r="P916" s="57"/>
      <c r="Q916" s="61"/>
    </row>
    <row r="917">
      <c r="O917" s="65"/>
      <c r="P917" s="57"/>
      <c r="Q917" s="61"/>
    </row>
    <row r="918">
      <c r="O918" s="65"/>
      <c r="P918" s="57"/>
      <c r="Q918" s="61"/>
    </row>
    <row r="919">
      <c r="O919" s="65"/>
      <c r="P919" s="57"/>
      <c r="Q919" s="61"/>
    </row>
    <row r="920">
      <c r="O920" s="65"/>
      <c r="P920" s="57"/>
      <c r="Q920" s="61"/>
    </row>
    <row r="921">
      <c r="O921" s="65"/>
      <c r="P921" s="57"/>
      <c r="Q921" s="61"/>
    </row>
    <row r="922">
      <c r="O922" s="65"/>
      <c r="P922" s="57"/>
      <c r="Q922" s="61"/>
    </row>
    <row r="923">
      <c r="O923" s="65"/>
      <c r="P923" s="57"/>
      <c r="Q923" s="61"/>
    </row>
    <row r="924">
      <c r="O924" s="65"/>
      <c r="P924" s="57"/>
      <c r="Q924" s="61"/>
    </row>
    <row r="925">
      <c r="O925" s="65"/>
      <c r="P925" s="57"/>
      <c r="Q925" s="61"/>
    </row>
    <row r="926">
      <c r="O926" s="65"/>
      <c r="P926" s="57"/>
      <c r="Q926" s="61"/>
    </row>
    <row r="927">
      <c r="O927" s="65"/>
      <c r="P927" s="57"/>
      <c r="Q927" s="61"/>
    </row>
    <row r="928">
      <c r="O928" s="65"/>
      <c r="P928" s="57"/>
      <c r="Q928" s="61"/>
    </row>
    <row r="929">
      <c r="O929" s="65"/>
      <c r="P929" s="57"/>
      <c r="Q929" s="61"/>
    </row>
    <row r="930">
      <c r="O930" s="65"/>
      <c r="P930" s="57"/>
      <c r="Q930" s="61"/>
    </row>
    <row r="931">
      <c r="O931" s="65"/>
      <c r="P931" s="57"/>
      <c r="Q931" s="61"/>
    </row>
    <row r="932">
      <c r="O932" s="65"/>
      <c r="P932" s="57"/>
      <c r="Q932" s="61"/>
    </row>
    <row r="933">
      <c r="O933" s="65"/>
      <c r="P933" s="57"/>
      <c r="Q933" s="61"/>
    </row>
    <row r="934">
      <c r="O934" s="65"/>
      <c r="P934" s="57"/>
      <c r="Q934" s="61"/>
    </row>
    <row r="935">
      <c r="O935" s="65"/>
      <c r="P935" s="57"/>
      <c r="Q935" s="61"/>
    </row>
    <row r="936">
      <c r="O936" s="65"/>
      <c r="P936" s="57"/>
      <c r="Q936" s="61"/>
    </row>
    <row r="937">
      <c r="O937" s="65"/>
      <c r="P937" s="57"/>
      <c r="Q937" s="61"/>
    </row>
    <row r="938">
      <c r="O938" s="65"/>
      <c r="P938" s="57"/>
      <c r="Q938" s="61"/>
    </row>
    <row r="939">
      <c r="O939" s="65"/>
      <c r="P939" s="57"/>
      <c r="Q939" s="61"/>
    </row>
    <row r="940">
      <c r="O940" s="65"/>
      <c r="P940" s="57"/>
      <c r="Q940" s="61"/>
    </row>
    <row r="941">
      <c r="O941" s="65"/>
      <c r="P941" s="57"/>
      <c r="Q941" s="61"/>
    </row>
    <row r="942">
      <c r="O942" s="65"/>
      <c r="P942" s="57"/>
      <c r="Q942" s="61"/>
    </row>
    <row r="943">
      <c r="O943" s="65"/>
      <c r="P943" s="57"/>
      <c r="Q943" s="61"/>
    </row>
    <row r="944">
      <c r="O944" s="65"/>
      <c r="P944" s="57"/>
      <c r="Q944" s="61"/>
    </row>
    <row r="945">
      <c r="O945" s="65"/>
      <c r="P945" s="57"/>
      <c r="Q945" s="61"/>
    </row>
    <row r="946">
      <c r="O946" s="65"/>
      <c r="P946" s="57"/>
      <c r="Q946" s="61"/>
    </row>
    <row r="947">
      <c r="O947" s="65"/>
      <c r="P947" s="57"/>
      <c r="Q947" s="61"/>
    </row>
    <row r="948">
      <c r="O948" s="65"/>
      <c r="P948" s="57"/>
      <c r="Q948" s="61"/>
    </row>
    <row r="949">
      <c r="O949" s="65"/>
      <c r="P949" s="57"/>
      <c r="Q949" s="61"/>
    </row>
    <row r="950">
      <c r="O950" s="65"/>
      <c r="P950" s="57"/>
      <c r="Q950" s="61"/>
    </row>
    <row r="951">
      <c r="O951" s="65"/>
      <c r="P951" s="57"/>
      <c r="Q951" s="61"/>
    </row>
    <row r="952">
      <c r="O952" s="65"/>
      <c r="P952" s="57"/>
      <c r="Q952" s="61"/>
    </row>
    <row r="953">
      <c r="O953" s="65"/>
      <c r="P953" s="57"/>
      <c r="Q953" s="61"/>
    </row>
    <row r="954">
      <c r="O954" s="65"/>
      <c r="P954" s="57"/>
      <c r="Q954" s="61"/>
    </row>
    <row r="955">
      <c r="O955" s="65"/>
      <c r="P955" s="57"/>
      <c r="Q955" s="61"/>
    </row>
    <row r="956">
      <c r="O956" s="65"/>
      <c r="P956" s="57"/>
      <c r="Q956" s="61"/>
    </row>
    <row r="957">
      <c r="O957" s="65"/>
      <c r="P957" s="57"/>
      <c r="Q957" s="61"/>
    </row>
    <row r="958">
      <c r="O958" s="65"/>
      <c r="P958" s="57"/>
      <c r="Q958" s="61"/>
    </row>
    <row r="959">
      <c r="O959" s="65"/>
      <c r="P959" s="57"/>
      <c r="Q959" s="61"/>
    </row>
    <row r="960">
      <c r="O960" s="65"/>
      <c r="P960" s="57"/>
      <c r="Q960" s="61"/>
    </row>
    <row r="961">
      <c r="O961" s="65"/>
      <c r="P961" s="57"/>
      <c r="Q961" s="61"/>
    </row>
    <row r="962">
      <c r="O962" s="65"/>
      <c r="P962" s="57"/>
      <c r="Q962" s="61"/>
    </row>
    <row r="963">
      <c r="O963" s="65"/>
      <c r="P963" s="57"/>
      <c r="Q963" s="61"/>
    </row>
    <row r="964">
      <c r="O964" s="65"/>
      <c r="P964" s="57"/>
      <c r="Q964" s="61"/>
    </row>
    <row r="965">
      <c r="O965" s="65"/>
      <c r="P965" s="57"/>
      <c r="Q965" s="61"/>
    </row>
    <row r="966">
      <c r="O966" s="65"/>
      <c r="P966" s="57"/>
      <c r="Q966" s="61"/>
    </row>
    <row r="967">
      <c r="O967" s="65"/>
      <c r="P967" s="57"/>
      <c r="Q967" s="61"/>
    </row>
    <row r="968">
      <c r="O968" s="65"/>
      <c r="P968" s="57"/>
      <c r="Q968" s="61"/>
    </row>
    <row r="969">
      <c r="O969" s="65"/>
      <c r="P969" s="57"/>
      <c r="Q969" s="61"/>
    </row>
    <row r="970">
      <c r="O970" s="65"/>
      <c r="P970" s="57"/>
      <c r="Q970" s="61"/>
    </row>
    <row r="971">
      <c r="O971" s="65"/>
      <c r="P971" s="57"/>
      <c r="Q971" s="61"/>
    </row>
    <row r="972">
      <c r="O972" s="65"/>
      <c r="P972" s="57"/>
      <c r="Q972" s="61"/>
    </row>
    <row r="973">
      <c r="O973" s="65"/>
      <c r="P973" s="57"/>
      <c r="Q973" s="61"/>
    </row>
    <row r="974">
      <c r="O974" s="65"/>
      <c r="P974" s="57"/>
      <c r="Q974" s="61"/>
    </row>
    <row r="975">
      <c r="O975" s="65"/>
      <c r="P975" s="57"/>
      <c r="Q975" s="61"/>
    </row>
    <row r="976">
      <c r="O976" s="65"/>
      <c r="P976" s="57"/>
      <c r="Q976" s="61"/>
    </row>
    <row r="977">
      <c r="O977" s="65"/>
      <c r="P977" s="57"/>
      <c r="Q977" s="61"/>
    </row>
    <row r="978">
      <c r="O978" s="65"/>
      <c r="P978" s="57"/>
      <c r="Q978" s="61"/>
    </row>
    <row r="979">
      <c r="O979" s="65"/>
      <c r="P979" s="57"/>
      <c r="Q979" s="61"/>
    </row>
    <row r="980">
      <c r="O980" s="65"/>
      <c r="P980" s="57"/>
      <c r="Q980" s="61"/>
    </row>
    <row r="981">
      <c r="O981" s="65"/>
      <c r="P981" s="57"/>
      <c r="Q981" s="61"/>
    </row>
    <row r="982">
      <c r="O982" s="65"/>
      <c r="P982" s="57"/>
      <c r="Q982" s="61"/>
    </row>
    <row r="983">
      <c r="O983" s="65"/>
      <c r="P983" s="57"/>
      <c r="Q983" s="61"/>
    </row>
    <row r="984">
      <c r="O984" s="65"/>
      <c r="P984" s="57"/>
      <c r="Q984" s="61"/>
    </row>
    <row r="985">
      <c r="O985" s="65"/>
      <c r="P985" s="57"/>
      <c r="Q985" s="61"/>
    </row>
    <row r="986">
      <c r="O986" s="65"/>
      <c r="P986" s="57"/>
      <c r="Q986" s="61"/>
    </row>
    <row r="987">
      <c r="O987" s="65"/>
      <c r="P987" s="57"/>
      <c r="Q987" s="61"/>
    </row>
    <row r="988">
      <c r="O988" s="65"/>
      <c r="P988" s="57"/>
      <c r="Q988" s="61"/>
    </row>
    <row r="989">
      <c r="O989" s="65"/>
      <c r="P989" s="57"/>
      <c r="Q989" s="61"/>
    </row>
    <row r="990">
      <c r="O990" s="65"/>
      <c r="P990" s="57"/>
      <c r="Q990" s="61"/>
    </row>
    <row r="991">
      <c r="O991" s="65"/>
      <c r="P991" s="57"/>
      <c r="Q991" s="61"/>
    </row>
    <row r="992">
      <c r="O992" s="65"/>
      <c r="P992" s="57"/>
      <c r="Q992" s="61"/>
    </row>
    <row r="993">
      <c r="O993" s="65"/>
      <c r="P993" s="57"/>
      <c r="Q993" s="61"/>
    </row>
    <row r="994">
      <c r="O994" s="65"/>
      <c r="P994" s="57"/>
      <c r="Q994" s="61"/>
    </row>
    <row r="995">
      <c r="O995" s="65"/>
      <c r="P995" s="57"/>
      <c r="Q995" s="61"/>
    </row>
    <row r="996">
      <c r="O996" s="65"/>
      <c r="P996" s="57"/>
      <c r="Q996" s="61"/>
    </row>
    <row r="997">
      <c r="O997" s="65"/>
      <c r="P997" s="57"/>
      <c r="Q997" s="61"/>
    </row>
    <row r="998">
      <c r="O998" s="65"/>
      <c r="P998" s="57"/>
      <c r="Q998" s="61"/>
    </row>
    <row r="999">
      <c r="O999" s="65"/>
      <c r="P999" s="57"/>
      <c r="Q999" s="61"/>
    </row>
    <row r="1000">
      <c r="O1000" s="65"/>
      <c r="P1000" s="57"/>
      <c r="Q1000" s="61"/>
    </row>
  </sheetData>
  <mergeCells count="600">
    <mergeCell ref="D9:F9"/>
    <mergeCell ref="G9:H9"/>
    <mergeCell ref="B10:C10"/>
    <mergeCell ref="D10:F10"/>
    <mergeCell ref="G10:H10"/>
    <mergeCell ref="D11:F11"/>
    <mergeCell ref="G11:H11"/>
    <mergeCell ref="B11:C11"/>
    <mergeCell ref="B12:C12"/>
    <mergeCell ref="D12:F12"/>
    <mergeCell ref="G12:H12"/>
    <mergeCell ref="I12:J12"/>
    <mergeCell ref="K12:L12"/>
    <mergeCell ref="M12:N12"/>
    <mergeCell ref="E3:E4"/>
    <mergeCell ref="F3:H3"/>
    <mergeCell ref="F4:G4"/>
    <mergeCell ref="C5:D5"/>
    <mergeCell ref="F5:G5"/>
    <mergeCell ref="I3:K3"/>
    <mergeCell ref="L3:N3"/>
    <mergeCell ref="J4:K4"/>
    <mergeCell ref="L4:M4"/>
    <mergeCell ref="J5:K5"/>
    <mergeCell ref="L5:M5"/>
    <mergeCell ref="B1:H1"/>
    <mergeCell ref="J1:N1"/>
    <mergeCell ref="B2:H2"/>
    <mergeCell ref="J2:N2"/>
    <mergeCell ref="A3:A4"/>
    <mergeCell ref="B3:B4"/>
    <mergeCell ref="C3:D4"/>
    <mergeCell ref="I9:J9"/>
    <mergeCell ref="K9:L9"/>
    <mergeCell ref="I10:J10"/>
    <mergeCell ref="K10:L10"/>
    <mergeCell ref="M10:N10"/>
    <mergeCell ref="I11:J11"/>
    <mergeCell ref="K11:L11"/>
    <mergeCell ref="M11:N11"/>
    <mergeCell ref="A6:N6"/>
    <mergeCell ref="A7:N7"/>
    <mergeCell ref="A8:A9"/>
    <mergeCell ref="B8:F8"/>
    <mergeCell ref="G8:J8"/>
    <mergeCell ref="K8:N8"/>
    <mergeCell ref="B9:C9"/>
    <mergeCell ref="M9:N9"/>
    <mergeCell ref="I14:J14"/>
    <mergeCell ref="K14:L14"/>
    <mergeCell ref="B13:C13"/>
    <mergeCell ref="D13:F13"/>
    <mergeCell ref="G13:H13"/>
    <mergeCell ref="I13:J13"/>
    <mergeCell ref="K13:L13"/>
    <mergeCell ref="M13:N13"/>
    <mergeCell ref="B14:C14"/>
    <mergeCell ref="M14:N14"/>
    <mergeCell ref="D14:F14"/>
    <mergeCell ref="G14:H14"/>
    <mergeCell ref="D15:F15"/>
    <mergeCell ref="G15:H15"/>
    <mergeCell ref="I15:J15"/>
    <mergeCell ref="K15:L15"/>
    <mergeCell ref="M15:N15"/>
    <mergeCell ref="B15:C15"/>
    <mergeCell ref="B16:C16"/>
    <mergeCell ref="D16:F16"/>
    <mergeCell ref="G16:H16"/>
    <mergeCell ref="I16:J16"/>
    <mergeCell ref="K16:L16"/>
    <mergeCell ref="M16:N16"/>
    <mergeCell ref="I18:J18"/>
    <mergeCell ref="K18:L18"/>
    <mergeCell ref="I19:J19"/>
    <mergeCell ref="K19:L19"/>
    <mergeCell ref="M19:N19"/>
    <mergeCell ref="I20:J20"/>
    <mergeCell ref="K20:L20"/>
    <mergeCell ref="M20:N20"/>
    <mergeCell ref="B17:C17"/>
    <mergeCell ref="D17:F17"/>
    <mergeCell ref="G17:H17"/>
    <mergeCell ref="I17:J17"/>
    <mergeCell ref="K17:L17"/>
    <mergeCell ref="M17:N17"/>
    <mergeCell ref="B18:C18"/>
    <mergeCell ref="M18:N18"/>
    <mergeCell ref="D18:F18"/>
    <mergeCell ref="G18:H18"/>
    <mergeCell ref="B19:C19"/>
    <mergeCell ref="D19:F19"/>
    <mergeCell ref="G19:H19"/>
    <mergeCell ref="D20:F20"/>
    <mergeCell ref="G20:H20"/>
    <mergeCell ref="B20:C20"/>
    <mergeCell ref="B21:C21"/>
    <mergeCell ref="D21:F21"/>
    <mergeCell ref="G21:H21"/>
    <mergeCell ref="I21:J21"/>
    <mergeCell ref="K21:L21"/>
    <mergeCell ref="M21:N21"/>
    <mergeCell ref="D35:F35"/>
    <mergeCell ref="G35:H35"/>
    <mergeCell ref="A32:N32"/>
    <mergeCell ref="A33:N33"/>
    <mergeCell ref="A34:A35"/>
    <mergeCell ref="B34:F34"/>
    <mergeCell ref="G34:J34"/>
    <mergeCell ref="K34:N34"/>
    <mergeCell ref="B35:C35"/>
    <mergeCell ref="M35:N35"/>
    <mergeCell ref="I35:J35"/>
    <mergeCell ref="K35:L35"/>
    <mergeCell ref="D36:F36"/>
    <mergeCell ref="G36:H36"/>
    <mergeCell ref="I36:J36"/>
    <mergeCell ref="K36:L36"/>
    <mergeCell ref="M36:N36"/>
    <mergeCell ref="B36:C36"/>
    <mergeCell ref="B37:C37"/>
    <mergeCell ref="D37:F37"/>
    <mergeCell ref="G37:H37"/>
    <mergeCell ref="I37:J37"/>
    <mergeCell ref="K37:L37"/>
    <mergeCell ref="M37:N37"/>
    <mergeCell ref="I23:J23"/>
    <mergeCell ref="K23:L23"/>
    <mergeCell ref="I24:J24"/>
    <mergeCell ref="K24:L24"/>
    <mergeCell ref="M24:N24"/>
    <mergeCell ref="J27:N27"/>
    <mergeCell ref="J28:N28"/>
    <mergeCell ref="B22:C22"/>
    <mergeCell ref="D22:F22"/>
    <mergeCell ref="G22:H22"/>
    <mergeCell ref="I22:J22"/>
    <mergeCell ref="K22:L22"/>
    <mergeCell ref="M22:N22"/>
    <mergeCell ref="B23:C23"/>
    <mergeCell ref="M23:N23"/>
    <mergeCell ref="D23:F23"/>
    <mergeCell ref="G23:H23"/>
    <mergeCell ref="B24:C24"/>
    <mergeCell ref="D24:F24"/>
    <mergeCell ref="G24:H24"/>
    <mergeCell ref="B27:H27"/>
    <mergeCell ref="B28:H28"/>
    <mergeCell ref="I29:K29"/>
    <mergeCell ref="J30:K30"/>
    <mergeCell ref="J31:K31"/>
    <mergeCell ref="L31:M31"/>
    <mergeCell ref="C29:D30"/>
    <mergeCell ref="C31:D31"/>
    <mergeCell ref="F31:G31"/>
    <mergeCell ref="A29:A30"/>
    <mergeCell ref="B29:B30"/>
    <mergeCell ref="E29:E30"/>
    <mergeCell ref="F29:H29"/>
    <mergeCell ref="L29:N29"/>
    <mergeCell ref="F30:G30"/>
    <mergeCell ref="L30:M30"/>
    <mergeCell ref="I39:J39"/>
    <mergeCell ref="K39:L39"/>
    <mergeCell ref="B38:C38"/>
    <mergeCell ref="D38:F38"/>
    <mergeCell ref="G38:H38"/>
    <mergeCell ref="I38:J38"/>
    <mergeCell ref="K38:L38"/>
    <mergeCell ref="M38:N38"/>
    <mergeCell ref="B39:C39"/>
    <mergeCell ref="M39:N39"/>
    <mergeCell ref="D39:F39"/>
    <mergeCell ref="G39:H39"/>
    <mergeCell ref="D40:F40"/>
    <mergeCell ref="G40:H40"/>
    <mergeCell ref="I40:J40"/>
    <mergeCell ref="K40:L40"/>
    <mergeCell ref="M40:N40"/>
    <mergeCell ref="B40:C40"/>
    <mergeCell ref="B41:C41"/>
    <mergeCell ref="D41:F41"/>
    <mergeCell ref="G41:H41"/>
    <mergeCell ref="I41:J41"/>
    <mergeCell ref="K41:L41"/>
    <mergeCell ref="M41:N41"/>
    <mergeCell ref="I43:J43"/>
    <mergeCell ref="K43:L43"/>
    <mergeCell ref="I44:J44"/>
    <mergeCell ref="K44:L44"/>
    <mergeCell ref="M44:N44"/>
    <mergeCell ref="I45:J45"/>
    <mergeCell ref="K45:L45"/>
    <mergeCell ref="M45:N45"/>
    <mergeCell ref="B42:C42"/>
    <mergeCell ref="D42:F42"/>
    <mergeCell ref="G42:H42"/>
    <mergeCell ref="I42:J42"/>
    <mergeCell ref="K42:L42"/>
    <mergeCell ref="M42:N42"/>
    <mergeCell ref="B43:C43"/>
    <mergeCell ref="M43:N43"/>
    <mergeCell ref="D43:F43"/>
    <mergeCell ref="G43:H43"/>
    <mergeCell ref="B44:C44"/>
    <mergeCell ref="D44:F44"/>
    <mergeCell ref="G44:H44"/>
    <mergeCell ref="D45:F45"/>
    <mergeCell ref="G45:H45"/>
    <mergeCell ref="B45:C45"/>
    <mergeCell ref="B46:C46"/>
    <mergeCell ref="D46:F46"/>
    <mergeCell ref="G46:H46"/>
    <mergeCell ref="I46:J46"/>
    <mergeCell ref="K46:L46"/>
    <mergeCell ref="M46:N46"/>
    <mergeCell ref="I63:J63"/>
    <mergeCell ref="K63:L63"/>
    <mergeCell ref="I64:J64"/>
    <mergeCell ref="K64:L64"/>
    <mergeCell ref="M64:N64"/>
    <mergeCell ref="I65:J65"/>
    <mergeCell ref="K65:L65"/>
    <mergeCell ref="M65:N65"/>
    <mergeCell ref="B62:C62"/>
    <mergeCell ref="D62:F62"/>
    <mergeCell ref="G62:H62"/>
    <mergeCell ref="I62:J62"/>
    <mergeCell ref="K62:L62"/>
    <mergeCell ref="M62:N62"/>
    <mergeCell ref="B63:C63"/>
    <mergeCell ref="M63:N63"/>
    <mergeCell ref="D63:F63"/>
    <mergeCell ref="G63:H63"/>
    <mergeCell ref="B64:C64"/>
    <mergeCell ref="D64:F64"/>
    <mergeCell ref="G64:H64"/>
    <mergeCell ref="D65:F65"/>
    <mergeCell ref="G65:H65"/>
    <mergeCell ref="B65:C65"/>
    <mergeCell ref="B66:C66"/>
    <mergeCell ref="D66:F66"/>
    <mergeCell ref="G66:H66"/>
    <mergeCell ref="I66:J66"/>
    <mergeCell ref="K66:L66"/>
    <mergeCell ref="M66:N66"/>
    <mergeCell ref="I68:J68"/>
    <mergeCell ref="K68:L68"/>
    <mergeCell ref="I69:J69"/>
    <mergeCell ref="K69:L69"/>
    <mergeCell ref="M69:N69"/>
    <mergeCell ref="I70:J70"/>
    <mergeCell ref="K70:L70"/>
    <mergeCell ref="M70:N70"/>
    <mergeCell ref="B67:C67"/>
    <mergeCell ref="D67:F67"/>
    <mergeCell ref="G67:H67"/>
    <mergeCell ref="I67:J67"/>
    <mergeCell ref="K67:L67"/>
    <mergeCell ref="M67:N67"/>
    <mergeCell ref="B68:C68"/>
    <mergeCell ref="M68:N68"/>
    <mergeCell ref="F81:H81"/>
    <mergeCell ref="I81:K81"/>
    <mergeCell ref="B76:C76"/>
    <mergeCell ref="D76:F76"/>
    <mergeCell ref="G76:H76"/>
    <mergeCell ref="I76:J76"/>
    <mergeCell ref="K76:L76"/>
    <mergeCell ref="M76:N76"/>
    <mergeCell ref="J79:N79"/>
    <mergeCell ref="E81:E82"/>
    <mergeCell ref="F82:G82"/>
    <mergeCell ref="C83:D83"/>
    <mergeCell ref="F83:G83"/>
    <mergeCell ref="J82:K82"/>
    <mergeCell ref="L82:M82"/>
    <mergeCell ref="J83:K83"/>
    <mergeCell ref="L83:M83"/>
    <mergeCell ref="B79:H79"/>
    <mergeCell ref="B80:H80"/>
    <mergeCell ref="J80:N80"/>
    <mergeCell ref="A81:A82"/>
    <mergeCell ref="B81:B82"/>
    <mergeCell ref="C81:D82"/>
    <mergeCell ref="L81:N81"/>
    <mergeCell ref="I87:J87"/>
    <mergeCell ref="K87:L87"/>
    <mergeCell ref="I88:J88"/>
    <mergeCell ref="K88:L88"/>
    <mergeCell ref="M88:N88"/>
    <mergeCell ref="I89:J89"/>
    <mergeCell ref="K89:L89"/>
    <mergeCell ref="M89:N89"/>
    <mergeCell ref="A84:N84"/>
    <mergeCell ref="A85:N85"/>
    <mergeCell ref="A86:A87"/>
    <mergeCell ref="B86:F86"/>
    <mergeCell ref="G86:J86"/>
    <mergeCell ref="K86:N86"/>
    <mergeCell ref="B87:C87"/>
    <mergeCell ref="M87:N87"/>
    <mergeCell ref="I92:J92"/>
    <mergeCell ref="K92:L92"/>
    <mergeCell ref="M92:N92"/>
    <mergeCell ref="D113:F113"/>
    <mergeCell ref="G113:H113"/>
    <mergeCell ref="A110:N110"/>
    <mergeCell ref="A111:N111"/>
    <mergeCell ref="A112:A113"/>
    <mergeCell ref="B112:F112"/>
    <mergeCell ref="G112:J112"/>
    <mergeCell ref="K112:N112"/>
    <mergeCell ref="B113:C113"/>
    <mergeCell ref="M113:N113"/>
    <mergeCell ref="I113:J113"/>
    <mergeCell ref="K113:L113"/>
    <mergeCell ref="D114:F114"/>
    <mergeCell ref="G114:H114"/>
    <mergeCell ref="I114:J114"/>
    <mergeCell ref="K114:L114"/>
    <mergeCell ref="M114:N114"/>
    <mergeCell ref="B114:C114"/>
    <mergeCell ref="B115:C115"/>
    <mergeCell ref="D115:F115"/>
    <mergeCell ref="G115:H115"/>
    <mergeCell ref="I115:J115"/>
    <mergeCell ref="K115:L115"/>
    <mergeCell ref="M115:N115"/>
    <mergeCell ref="I101:J101"/>
    <mergeCell ref="K101:L101"/>
    <mergeCell ref="I102:J102"/>
    <mergeCell ref="K102:L102"/>
    <mergeCell ref="M102:N102"/>
    <mergeCell ref="J105:N105"/>
    <mergeCell ref="J106:N106"/>
    <mergeCell ref="B100:C100"/>
    <mergeCell ref="D100:F100"/>
    <mergeCell ref="G100:H100"/>
    <mergeCell ref="I100:J100"/>
    <mergeCell ref="K100:L100"/>
    <mergeCell ref="M100:N100"/>
    <mergeCell ref="B101:C101"/>
    <mergeCell ref="M101:N101"/>
    <mergeCell ref="D101:F101"/>
    <mergeCell ref="G101:H101"/>
    <mergeCell ref="B102:C102"/>
    <mergeCell ref="D102:F102"/>
    <mergeCell ref="G102:H102"/>
    <mergeCell ref="B105:H105"/>
    <mergeCell ref="B106:H106"/>
    <mergeCell ref="I107:K107"/>
    <mergeCell ref="J108:K108"/>
    <mergeCell ref="J109:K109"/>
    <mergeCell ref="L109:M109"/>
    <mergeCell ref="C107:D108"/>
    <mergeCell ref="C109:D109"/>
    <mergeCell ref="F109:G109"/>
    <mergeCell ref="A107:A108"/>
    <mergeCell ref="B107:B108"/>
    <mergeCell ref="E107:E108"/>
    <mergeCell ref="F107:H107"/>
    <mergeCell ref="L107:N107"/>
    <mergeCell ref="F108:G108"/>
    <mergeCell ref="L108:M108"/>
    <mergeCell ref="I117:J117"/>
    <mergeCell ref="K117:L117"/>
    <mergeCell ref="D126:F126"/>
    <mergeCell ref="G126:H126"/>
    <mergeCell ref="B127:C127"/>
    <mergeCell ref="D127:F127"/>
    <mergeCell ref="G127:H127"/>
    <mergeCell ref="B128:C128"/>
    <mergeCell ref="D128:F128"/>
    <mergeCell ref="G128:H128"/>
    <mergeCell ref="I126:J126"/>
    <mergeCell ref="K126:L126"/>
    <mergeCell ref="I127:J127"/>
    <mergeCell ref="K127:L127"/>
    <mergeCell ref="M127:N127"/>
    <mergeCell ref="I128:J128"/>
    <mergeCell ref="K128:L128"/>
    <mergeCell ref="M128:N128"/>
    <mergeCell ref="B125:C125"/>
    <mergeCell ref="D125:F125"/>
    <mergeCell ref="G125:H125"/>
    <mergeCell ref="I125:J125"/>
    <mergeCell ref="K125:L125"/>
    <mergeCell ref="M125:N125"/>
    <mergeCell ref="B126:C126"/>
    <mergeCell ref="M126:N126"/>
    <mergeCell ref="B116:C116"/>
    <mergeCell ref="D116:F116"/>
    <mergeCell ref="G116:H116"/>
    <mergeCell ref="I116:J116"/>
    <mergeCell ref="K116:L116"/>
    <mergeCell ref="M116:N116"/>
    <mergeCell ref="B117:C117"/>
    <mergeCell ref="M117:N117"/>
    <mergeCell ref="D117:F117"/>
    <mergeCell ref="G117:H117"/>
    <mergeCell ref="D118:F118"/>
    <mergeCell ref="G118:H118"/>
    <mergeCell ref="I118:J118"/>
    <mergeCell ref="K118:L118"/>
    <mergeCell ref="M118:N118"/>
    <mergeCell ref="B118:C118"/>
    <mergeCell ref="B119:C119"/>
    <mergeCell ref="D119:F119"/>
    <mergeCell ref="G119:H119"/>
    <mergeCell ref="I119:J119"/>
    <mergeCell ref="K119:L119"/>
    <mergeCell ref="M119:N119"/>
    <mergeCell ref="I121:J121"/>
    <mergeCell ref="K121:L121"/>
    <mergeCell ref="I122:J122"/>
    <mergeCell ref="K122:L122"/>
    <mergeCell ref="M122:N122"/>
    <mergeCell ref="I123:J123"/>
    <mergeCell ref="K123:L123"/>
    <mergeCell ref="M123:N123"/>
    <mergeCell ref="B120:C120"/>
    <mergeCell ref="D120:F120"/>
    <mergeCell ref="G120:H120"/>
    <mergeCell ref="I120:J120"/>
    <mergeCell ref="K120:L120"/>
    <mergeCell ref="M120:N120"/>
    <mergeCell ref="B121:C121"/>
    <mergeCell ref="M121:N121"/>
    <mergeCell ref="D121:F121"/>
    <mergeCell ref="G121:H121"/>
    <mergeCell ref="B122:C122"/>
    <mergeCell ref="D122:F122"/>
    <mergeCell ref="G122:H122"/>
    <mergeCell ref="D123:F123"/>
    <mergeCell ref="G123:H123"/>
    <mergeCell ref="B123:C123"/>
    <mergeCell ref="B124:C124"/>
    <mergeCell ref="D124:F124"/>
    <mergeCell ref="G124:H124"/>
    <mergeCell ref="I124:J124"/>
    <mergeCell ref="K124:L124"/>
    <mergeCell ref="M124:N124"/>
    <mergeCell ref="B60:F60"/>
    <mergeCell ref="G60:J60"/>
    <mergeCell ref="C57:D57"/>
    <mergeCell ref="F57:G57"/>
    <mergeCell ref="J57:K57"/>
    <mergeCell ref="L57:M57"/>
    <mergeCell ref="A58:N58"/>
    <mergeCell ref="A59:N59"/>
    <mergeCell ref="K60:N60"/>
    <mergeCell ref="B47:C47"/>
    <mergeCell ref="D47:F47"/>
    <mergeCell ref="G47:H47"/>
    <mergeCell ref="I47:J47"/>
    <mergeCell ref="K47:L47"/>
    <mergeCell ref="M47:N47"/>
    <mergeCell ref="B48:C48"/>
    <mergeCell ref="M48:N48"/>
    <mergeCell ref="D48:F48"/>
    <mergeCell ref="G48:H48"/>
    <mergeCell ref="B49:C49"/>
    <mergeCell ref="D49:F49"/>
    <mergeCell ref="G49:H49"/>
    <mergeCell ref="B50:C50"/>
    <mergeCell ref="G50:H50"/>
    <mergeCell ref="M50:N50"/>
    <mergeCell ref="J53:N53"/>
    <mergeCell ref="J54:N54"/>
    <mergeCell ref="I55:K55"/>
    <mergeCell ref="L55:N55"/>
    <mergeCell ref="I48:J48"/>
    <mergeCell ref="K48:L48"/>
    <mergeCell ref="I49:J49"/>
    <mergeCell ref="K49:L49"/>
    <mergeCell ref="M49:N49"/>
    <mergeCell ref="I50:J50"/>
    <mergeCell ref="K50:L50"/>
    <mergeCell ref="F55:H55"/>
    <mergeCell ref="F56:G56"/>
    <mergeCell ref="J56:K56"/>
    <mergeCell ref="L56:M56"/>
    <mergeCell ref="D50:F50"/>
    <mergeCell ref="B53:H53"/>
    <mergeCell ref="B54:H54"/>
    <mergeCell ref="A55:A56"/>
    <mergeCell ref="B55:B56"/>
    <mergeCell ref="C55:D56"/>
    <mergeCell ref="E55:E56"/>
    <mergeCell ref="A60:A61"/>
    <mergeCell ref="B61:C61"/>
    <mergeCell ref="D61:F61"/>
    <mergeCell ref="G61:H61"/>
    <mergeCell ref="I61:J61"/>
    <mergeCell ref="K61:L61"/>
    <mergeCell ref="M61:N61"/>
    <mergeCell ref="D68:F68"/>
    <mergeCell ref="G68:H68"/>
    <mergeCell ref="B69:C69"/>
    <mergeCell ref="D69:F69"/>
    <mergeCell ref="G69:H69"/>
    <mergeCell ref="D70:F70"/>
    <mergeCell ref="G70:H70"/>
    <mergeCell ref="B70:C70"/>
    <mergeCell ref="B71:C71"/>
    <mergeCell ref="D71:F71"/>
    <mergeCell ref="G71:H71"/>
    <mergeCell ref="I71:J71"/>
    <mergeCell ref="K71:L71"/>
    <mergeCell ref="M71:N71"/>
    <mergeCell ref="D73:F73"/>
    <mergeCell ref="G73:H73"/>
    <mergeCell ref="B72:C72"/>
    <mergeCell ref="D72:F72"/>
    <mergeCell ref="G72:H72"/>
    <mergeCell ref="I72:J72"/>
    <mergeCell ref="K72:L72"/>
    <mergeCell ref="M72:N72"/>
    <mergeCell ref="B73:C73"/>
    <mergeCell ref="M73:N73"/>
    <mergeCell ref="I73:J73"/>
    <mergeCell ref="K73:L73"/>
    <mergeCell ref="D74:F74"/>
    <mergeCell ref="G74:H74"/>
    <mergeCell ref="I74:J74"/>
    <mergeCell ref="K74:L74"/>
    <mergeCell ref="M74:N74"/>
    <mergeCell ref="B74:C74"/>
    <mergeCell ref="B75:C75"/>
    <mergeCell ref="D75:F75"/>
    <mergeCell ref="G75:H75"/>
    <mergeCell ref="I75:J75"/>
    <mergeCell ref="K75:L75"/>
    <mergeCell ref="M75:N75"/>
    <mergeCell ref="D87:F87"/>
    <mergeCell ref="G87:H87"/>
    <mergeCell ref="B88:C88"/>
    <mergeCell ref="D88:F88"/>
    <mergeCell ref="G88:H88"/>
    <mergeCell ref="D89:F89"/>
    <mergeCell ref="G89:H89"/>
    <mergeCell ref="B89:C89"/>
    <mergeCell ref="B90:C90"/>
    <mergeCell ref="D90:F90"/>
    <mergeCell ref="G90:H90"/>
    <mergeCell ref="I90:J90"/>
    <mergeCell ref="K90:L90"/>
    <mergeCell ref="M90:N90"/>
    <mergeCell ref="B91:C91"/>
    <mergeCell ref="D91:F91"/>
    <mergeCell ref="G91:H91"/>
    <mergeCell ref="I91:J91"/>
    <mergeCell ref="K91:L91"/>
    <mergeCell ref="M91:N91"/>
    <mergeCell ref="B92:C92"/>
    <mergeCell ref="D92:F92"/>
    <mergeCell ref="G92:H92"/>
    <mergeCell ref="D93:F93"/>
    <mergeCell ref="G93:H93"/>
    <mergeCell ref="I93:J93"/>
    <mergeCell ref="K93:L93"/>
    <mergeCell ref="M93:N93"/>
    <mergeCell ref="B93:C93"/>
    <mergeCell ref="B94:C94"/>
    <mergeCell ref="D94:F94"/>
    <mergeCell ref="G94:H94"/>
    <mergeCell ref="I94:J94"/>
    <mergeCell ref="K94:L94"/>
    <mergeCell ref="M94:N94"/>
    <mergeCell ref="I96:J96"/>
    <mergeCell ref="K96:L96"/>
    <mergeCell ref="I97:J97"/>
    <mergeCell ref="K97:L97"/>
    <mergeCell ref="M97:N97"/>
    <mergeCell ref="I98:J98"/>
    <mergeCell ref="K98:L98"/>
    <mergeCell ref="M98:N98"/>
    <mergeCell ref="B95:C95"/>
    <mergeCell ref="D95:F95"/>
    <mergeCell ref="G95:H95"/>
    <mergeCell ref="I95:J95"/>
    <mergeCell ref="K95:L95"/>
    <mergeCell ref="M95:N95"/>
    <mergeCell ref="B96:C96"/>
    <mergeCell ref="M96:N96"/>
    <mergeCell ref="D96:F96"/>
    <mergeCell ref="G96:H96"/>
    <mergeCell ref="B97:C97"/>
    <mergeCell ref="D97:F97"/>
    <mergeCell ref="G97:H97"/>
    <mergeCell ref="D98:F98"/>
    <mergeCell ref="G98:H98"/>
    <mergeCell ref="B98:C98"/>
    <mergeCell ref="B99:C99"/>
    <mergeCell ref="D99:F99"/>
    <mergeCell ref="G99:H99"/>
    <mergeCell ref="I99:J99"/>
    <mergeCell ref="K99:L99"/>
    <mergeCell ref="M99:N9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1" t="s">
        <v>2</v>
      </c>
      <c r="J1" s="10" t="s">
        <v>3</v>
      </c>
      <c r="K1" s="3"/>
      <c r="L1" s="3"/>
      <c r="M1" s="3"/>
      <c r="N1" s="4"/>
      <c r="O1" s="69"/>
      <c r="P1" s="68"/>
    </row>
    <row r="2">
      <c r="A2" s="1" t="s">
        <v>4</v>
      </c>
      <c r="B2" s="9" t="s">
        <v>202</v>
      </c>
      <c r="C2" s="3"/>
      <c r="D2" s="3"/>
      <c r="E2" s="3"/>
      <c r="F2" s="3"/>
      <c r="G2" s="3"/>
      <c r="H2" s="4"/>
      <c r="I2" s="1" t="s">
        <v>6</v>
      </c>
      <c r="J2" s="10">
        <v>2.0</v>
      </c>
      <c r="K2" s="3"/>
      <c r="L2" s="3"/>
      <c r="M2" s="3"/>
      <c r="N2" s="4"/>
      <c r="O2" s="69"/>
      <c r="P2" s="68"/>
    </row>
    <row r="3">
      <c r="A3" s="70" t="s">
        <v>144</v>
      </c>
      <c r="B3" s="71" t="s">
        <v>145</v>
      </c>
      <c r="C3" s="80" t="s">
        <v>165</v>
      </c>
      <c r="D3" s="39"/>
      <c r="E3" s="71" t="s">
        <v>168</v>
      </c>
      <c r="F3" s="88" t="s">
        <v>169</v>
      </c>
      <c r="G3" s="3"/>
      <c r="H3" s="4"/>
      <c r="I3" s="81" t="s">
        <v>146</v>
      </c>
      <c r="J3" s="3"/>
      <c r="K3" s="4"/>
      <c r="L3" s="81" t="s">
        <v>170</v>
      </c>
      <c r="M3" s="3"/>
      <c r="N3" s="4"/>
      <c r="O3" s="69"/>
      <c r="P3" s="68"/>
    </row>
    <row r="4">
      <c r="A4" s="16"/>
      <c r="B4" s="73"/>
      <c r="C4" s="73"/>
      <c r="D4" s="46"/>
      <c r="E4" s="73"/>
      <c r="F4" s="89" t="s">
        <v>171</v>
      </c>
      <c r="G4" s="4"/>
      <c r="H4" s="1" t="s">
        <v>172</v>
      </c>
      <c r="I4" s="1" t="s">
        <v>147</v>
      </c>
      <c r="J4" s="90" t="s">
        <v>166</v>
      </c>
      <c r="K4" s="4"/>
      <c r="L4" s="90" t="s">
        <v>147</v>
      </c>
      <c r="M4" s="4"/>
      <c r="N4" s="1" t="s">
        <v>166</v>
      </c>
      <c r="O4" s="69"/>
      <c r="P4" s="68"/>
    </row>
    <row r="5">
      <c r="A5" s="74">
        <v>12.0</v>
      </c>
      <c r="B5" s="75">
        <v>0.0</v>
      </c>
      <c r="C5" s="83">
        <v>0.0</v>
      </c>
      <c r="D5" s="4"/>
      <c r="E5" s="75">
        <v>0.0</v>
      </c>
      <c r="F5" s="83">
        <v>0.0</v>
      </c>
      <c r="G5" s="4"/>
      <c r="H5" s="74">
        <v>13.7</v>
      </c>
      <c r="I5" s="74">
        <v>0.0</v>
      </c>
      <c r="J5" s="91">
        <v>0.0</v>
      </c>
      <c r="K5" s="4"/>
      <c r="L5" s="91">
        <v>0.0</v>
      </c>
      <c r="M5" s="4"/>
      <c r="N5" s="74">
        <v>0.0</v>
      </c>
      <c r="O5" s="69"/>
      <c r="P5" s="68"/>
    </row>
    <row r="6">
      <c r="A6" s="19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69"/>
      <c r="P6" s="68"/>
    </row>
    <row r="7">
      <c r="A7" s="11" t="s">
        <v>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"/>
      <c r="O7" s="69"/>
      <c r="P7" s="68"/>
    </row>
    <row r="8">
      <c r="A8" s="15" t="s">
        <v>11</v>
      </c>
      <c r="B8" s="2" t="s">
        <v>12</v>
      </c>
      <c r="C8" s="3"/>
      <c r="D8" s="3"/>
      <c r="E8" s="3"/>
      <c r="F8" s="4"/>
      <c r="G8" s="2" t="s">
        <v>13</v>
      </c>
      <c r="H8" s="3"/>
      <c r="I8" s="3"/>
      <c r="J8" s="3"/>
      <c r="K8" s="10" t="s">
        <v>14</v>
      </c>
      <c r="L8" s="3"/>
      <c r="M8" s="3"/>
      <c r="N8" s="4"/>
      <c r="O8" s="69"/>
      <c r="P8" s="68"/>
    </row>
    <row r="9">
      <c r="A9" s="16"/>
      <c r="B9" s="17" t="s">
        <v>15</v>
      </c>
      <c r="C9" s="4"/>
      <c r="D9" s="17" t="s">
        <v>16</v>
      </c>
      <c r="E9" s="3"/>
      <c r="F9" s="4"/>
      <c r="G9" s="17" t="s">
        <v>15</v>
      </c>
      <c r="H9" s="4"/>
      <c r="I9" s="17" t="s">
        <v>16</v>
      </c>
      <c r="J9" s="4"/>
      <c r="K9" s="17" t="s">
        <v>15</v>
      </c>
      <c r="L9" s="4"/>
      <c r="M9" s="17" t="s">
        <v>16</v>
      </c>
      <c r="N9" s="4"/>
      <c r="O9" s="95" t="s">
        <v>8</v>
      </c>
      <c r="P9" s="96" t="s">
        <v>124</v>
      </c>
      <c r="Q9" s="97" t="s">
        <v>125</v>
      </c>
    </row>
    <row r="10">
      <c r="A10" s="22" t="s">
        <v>97</v>
      </c>
      <c r="B10" s="20">
        <v>0.4444444444444444</v>
      </c>
      <c r="C10" s="4"/>
      <c r="D10" s="20">
        <v>0.7194444444444444</v>
      </c>
      <c r="E10" s="3"/>
      <c r="F10" s="4"/>
      <c r="G10" s="19"/>
      <c r="H10" s="4"/>
      <c r="I10" s="19"/>
      <c r="J10" s="4"/>
      <c r="K10" s="19"/>
      <c r="L10" s="4"/>
      <c r="M10" s="19"/>
      <c r="N10" s="4"/>
      <c r="O10" s="69">
        <f>D10-B10</f>
        <v>0.275</v>
      </c>
      <c r="P10" s="78">
        <v>0.375</v>
      </c>
      <c r="Q10" s="69">
        <f>O10-P10</f>
        <v>-0.1</v>
      </c>
    </row>
    <row r="11">
      <c r="A11" s="22" t="s">
        <v>98</v>
      </c>
      <c r="B11" s="19"/>
      <c r="C11" s="4"/>
      <c r="D11" s="19"/>
      <c r="E11" s="3"/>
      <c r="F11" s="4"/>
      <c r="G11" s="19"/>
      <c r="H11" s="4"/>
      <c r="I11" s="19"/>
      <c r="J11" s="4"/>
      <c r="K11" s="19"/>
      <c r="L11" s="4"/>
      <c r="M11" s="19"/>
      <c r="N11" s="4"/>
      <c r="O11" s="69"/>
      <c r="P11" s="68"/>
    </row>
    <row r="12">
      <c r="A12" s="18" t="s">
        <v>99</v>
      </c>
      <c r="B12" s="23"/>
      <c r="C12" s="4"/>
      <c r="D12" s="24"/>
      <c r="E12" s="3"/>
      <c r="F12" s="3"/>
      <c r="G12" s="25"/>
      <c r="H12" s="3"/>
      <c r="I12" s="26"/>
      <c r="J12" s="3"/>
      <c r="K12" s="24"/>
      <c r="L12" s="3"/>
      <c r="M12" s="24"/>
      <c r="N12" s="4"/>
      <c r="O12" s="69"/>
      <c r="P12" s="68"/>
    </row>
    <row r="13">
      <c r="A13" s="18" t="s">
        <v>103</v>
      </c>
      <c r="B13" s="20">
        <v>0.3333333333333333</v>
      </c>
      <c r="C13" s="4"/>
      <c r="D13" s="19"/>
      <c r="E13" s="3"/>
      <c r="F13" s="4"/>
      <c r="G13" s="19"/>
      <c r="H13" s="4"/>
      <c r="I13" s="20">
        <v>0.7381944444444445</v>
      </c>
      <c r="J13" s="4"/>
      <c r="K13" s="19"/>
      <c r="L13" s="4"/>
      <c r="M13" s="19"/>
      <c r="N13" s="4"/>
      <c r="O13" s="69">
        <f>I13-B13</f>
        <v>0.4048611111</v>
      </c>
      <c r="P13" s="78">
        <v>0.375</v>
      </c>
      <c r="Q13" s="69">
        <f t="shared" ref="Q13:Q17" si="1">O13-P13</f>
        <v>0.02986111111</v>
      </c>
    </row>
    <row r="14">
      <c r="A14" s="18" t="s">
        <v>104</v>
      </c>
      <c r="B14" s="19"/>
      <c r="C14" s="4"/>
      <c r="D14" s="20">
        <v>0.43680555555555556</v>
      </c>
      <c r="E14" s="3"/>
      <c r="F14" s="4"/>
      <c r="G14" s="19"/>
      <c r="H14" s="4"/>
      <c r="I14" s="19"/>
      <c r="J14" s="4"/>
      <c r="K14" s="19"/>
      <c r="L14" s="4"/>
      <c r="M14" s="20">
        <v>0.8340277777777778</v>
      </c>
      <c r="N14" s="4"/>
      <c r="O14" s="69">
        <f>M14-D14</f>
        <v>0.3972222222</v>
      </c>
      <c r="P14" s="78">
        <v>0.375</v>
      </c>
      <c r="Q14" s="69">
        <f t="shared" si="1"/>
        <v>0.02222222222</v>
      </c>
    </row>
    <row r="15">
      <c r="A15" s="18" t="s">
        <v>105</v>
      </c>
      <c r="B15" s="20">
        <v>0.39791666666666664</v>
      </c>
      <c r="C15" s="4"/>
      <c r="D15" s="19"/>
      <c r="E15" s="3"/>
      <c r="F15" s="4"/>
      <c r="G15" s="19"/>
      <c r="H15" s="4"/>
      <c r="I15" s="20">
        <v>0.7194444444444444</v>
      </c>
      <c r="J15" s="4"/>
      <c r="K15" s="19"/>
      <c r="L15" s="4"/>
      <c r="M15" s="19"/>
      <c r="N15" s="4"/>
      <c r="O15" s="69">
        <f>I15-B15</f>
        <v>0.3215277778</v>
      </c>
      <c r="P15" s="78">
        <v>0.375</v>
      </c>
      <c r="Q15" s="69">
        <f t="shared" si="1"/>
        <v>-0.05347222222</v>
      </c>
    </row>
    <row r="16">
      <c r="A16" s="18" t="s">
        <v>106</v>
      </c>
      <c r="B16" s="20">
        <v>0.3680555555555556</v>
      </c>
      <c r="C16" s="4"/>
      <c r="D16" s="19"/>
      <c r="E16" s="3"/>
      <c r="F16" s="4"/>
      <c r="G16" s="19"/>
      <c r="H16" s="4"/>
      <c r="I16" s="19"/>
      <c r="J16" s="4"/>
      <c r="K16" s="20">
        <v>0.7729166666666667</v>
      </c>
      <c r="L16" s="4"/>
      <c r="M16" s="19"/>
      <c r="N16" s="4"/>
      <c r="O16" s="69">
        <f>K16-B16</f>
        <v>0.4048611111</v>
      </c>
      <c r="P16" s="78">
        <v>0.375</v>
      </c>
      <c r="Q16" s="69">
        <f t="shared" si="1"/>
        <v>0.02986111111</v>
      </c>
    </row>
    <row r="17">
      <c r="A17" s="22" t="s">
        <v>107</v>
      </c>
      <c r="B17" s="20">
        <v>0.45625</v>
      </c>
      <c r="C17" s="4"/>
      <c r="D17" s="20">
        <v>0.75</v>
      </c>
      <c r="E17" s="3"/>
      <c r="F17" s="4"/>
      <c r="G17" s="19"/>
      <c r="H17" s="4"/>
      <c r="I17" s="19"/>
      <c r="J17" s="4"/>
      <c r="K17" s="19"/>
      <c r="L17" s="4"/>
      <c r="M17" s="19"/>
      <c r="N17" s="4"/>
      <c r="O17" s="69">
        <f>D17-B17</f>
        <v>0.29375</v>
      </c>
      <c r="P17" s="78">
        <v>0.375</v>
      </c>
      <c r="Q17" s="69">
        <f t="shared" si="1"/>
        <v>-0.08125</v>
      </c>
    </row>
    <row r="18">
      <c r="A18" s="22" t="s">
        <v>108</v>
      </c>
      <c r="B18" s="19"/>
      <c r="C18" s="4"/>
      <c r="D18" s="19"/>
      <c r="E18" s="3"/>
      <c r="F18" s="4"/>
      <c r="G18" s="19"/>
      <c r="H18" s="4"/>
      <c r="I18" s="19"/>
      <c r="J18" s="4"/>
      <c r="K18" s="19"/>
      <c r="L18" s="4"/>
      <c r="M18" s="19"/>
      <c r="N18" s="4"/>
      <c r="O18" s="69"/>
      <c r="P18" s="68"/>
    </row>
    <row r="19">
      <c r="A19" s="18" t="s">
        <v>109</v>
      </c>
      <c r="B19" s="23"/>
      <c r="C19" s="4"/>
      <c r="D19" s="24"/>
      <c r="E19" s="3"/>
      <c r="F19" s="3"/>
      <c r="G19" s="25"/>
      <c r="H19" s="3"/>
      <c r="I19" s="26"/>
      <c r="J19" s="3"/>
      <c r="K19" s="24"/>
      <c r="L19" s="3"/>
      <c r="M19" s="24"/>
      <c r="N19" s="4"/>
      <c r="O19" s="69"/>
      <c r="P19" s="68"/>
    </row>
    <row r="20">
      <c r="A20" s="18" t="s">
        <v>110</v>
      </c>
      <c r="B20" s="33">
        <v>0.3333333333333333</v>
      </c>
      <c r="C20" s="4"/>
      <c r="D20" s="34">
        <v>0.7083333333333334</v>
      </c>
      <c r="E20" s="3"/>
      <c r="F20" s="3"/>
      <c r="G20" s="25"/>
      <c r="H20" s="3"/>
      <c r="I20" s="26"/>
      <c r="J20" s="3"/>
      <c r="K20" s="24"/>
      <c r="L20" s="3"/>
      <c r="M20" s="24"/>
      <c r="N20" s="4"/>
      <c r="O20" s="69">
        <f>D20-B20</f>
        <v>0.375</v>
      </c>
      <c r="P20" s="78">
        <v>0.375</v>
      </c>
      <c r="Q20" s="69">
        <f t="shared" ref="Q20:Q21" si="2">O20-P20</f>
        <v>0</v>
      </c>
    </row>
    <row r="21">
      <c r="A21" s="18" t="s">
        <v>111</v>
      </c>
      <c r="B21" s="20">
        <v>0.3861111111111111</v>
      </c>
      <c r="C21" s="4"/>
      <c r="D21" s="19"/>
      <c r="E21" s="3"/>
      <c r="F21" s="4"/>
      <c r="G21" s="19"/>
      <c r="H21" s="4"/>
      <c r="I21" s="19"/>
      <c r="J21" s="4"/>
      <c r="K21" s="19"/>
      <c r="L21" s="4"/>
      <c r="M21" s="20">
        <v>0.85625</v>
      </c>
      <c r="N21" s="4"/>
      <c r="O21" s="69">
        <f>M21-B21</f>
        <v>0.4701388889</v>
      </c>
      <c r="P21" s="78">
        <v>0.375</v>
      </c>
      <c r="Q21" s="69">
        <f t="shared" si="2"/>
        <v>0.09513888889</v>
      </c>
    </row>
    <row r="22">
      <c r="A22" s="18" t="s">
        <v>112</v>
      </c>
      <c r="B22" s="23"/>
      <c r="C22" s="4"/>
      <c r="D22" s="24"/>
      <c r="E22" s="3"/>
      <c r="F22" s="3"/>
      <c r="G22" s="25"/>
      <c r="H22" s="3"/>
      <c r="I22" s="26"/>
      <c r="J22" s="3"/>
      <c r="K22" s="24"/>
      <c r="L22" s="3"/>
      <c r="M22" s="24"/>
      <c r="N22" s="4"/>
      <c r="O22" s="69"/>
      <c r="P22" s="78">
        <v>0.375</v>
      </c>
    </row>
    <row r="23">
      <c r="A23" s="18" t="s">
        <v>113</v>
      </c>
      <c r="B23" s="19"/>
      <c r="C23" s="4"/>
      <c r="D23" s="20">
        <v>0.41944444444444445</v>
      </c>
      <c r="E23" s="3"/>
      <c r="F23" s="4"/>
      <c r="G23" s="19"/>
      <c r="H23" s="4"/>
      <c r="I23" s="19"/>
      <c r="J23" s="4"/>
      <c r="K23" s="19"/>
      <c r="L23" s="4"/>
      <c r="M23" s="20">
        <v>0.8791666666666667</v>
      </c>
      <c r="N23" s="4"/>
      <c r="O23" s="69">
        <f>M23-D23</f>
        <v>0.4597222222</v>
      </c>
      <c r="P23" s="78">
        <v>0.375</v>
      </c>
      <c r="Q23" s="69">
        <f t="shared" ref="Q23:Q24" si="3">O23-P23</f>
        <v>0.08472222222</v>
      </c>
    </row>
    <row r="24">
      <c r="A24" s="22" t="s">
        <v>114</v>
      </c>
      <c r="B24" s="20">
        <v>0.3333333333333333</v>
      </c>
      <c r="C24" s="4"/>
      <c r="D24" s="20">
        <v>0.8645833333333334</v>
      </c>
      <c r="E24" s="3"/>
      <c r="F24" s="4"/>
      <c r="G24" s="19"/>
      <c r="H24" s="4"/>
      <c r="I24" s="19"/>
      <c r="J24" s="4"/>
      <c r="K24" s="19"/>
      <c r="L24" s="4"/>
      <c r="M24" s="19"/>
      <c r="N24" s="4"/>
      <c r="O24" s="69">
        <f>D24-B24</f>
        <v>0.53125</v>
      </c>
      <c r="P24" s="78">
        <v>0.375</v>
      </c>
      <c r="Q24" s="69">
        <f t="shared" si="3"/>
        <v>0.15625</v>
      </c>
    </row>
    <row r="25">
      <c r="A25" s="22" t="s">
        <v>115</v>
      </c>
      <c r="B25" s="19"/>
      <c r="C25" s="4"/>
      <c r="D25" s="19"/>
      <c r="E25" s="3"/>
      <c r="F25" s="4"/>
      <c r="G25" s="19"/>
      <c r="H25" s="4"/>
      <c r="I25" s="19"/>
      <c r="J25" s="4"/>
      <c r="K25" s="19"/>
      <c r="L25" s="4"/>
      <c r="M25" s="19"/>
      <c r="N25" s="4"/>
      <c r="O25" s="69"/>
      <c r="P25" s="68"/>
    </row>
    <row r="26">
      <c r="A26" s="18" t="s">
        <v>116</v>
      </c>
      <c r="B26" s="20">
        <v>0.3333333333333333</v>
      </c>
      <c r="C26" s="4"/>
      <c r="D26" s="19"/>
      <c r="E26" s="3"/>
      <c r="F26" s="4"/>
      <c r="G26" s="19"/>
      <c r="H26" s="4"/>
      <c r="I26" s="20">
        <v>0.7375</v>
      </c>
      <c r="J26" s="4"/>
      <c r="K26" s="19"/>
      <c r="L26" s="4"/>
      <c r="M26" s="19"/>
      <c r="N26" s="4"/>
      <c r="O26" s="69">
        <f>I26-B26</f>
        <v>0.4041666667</v>
      </c>
      <c r="P26" s="78">
        <v>0.375</v>
      </c>
      <c r="Q26" s="69">
        <f t="shared" ref="Q26:Q27" si="4">O26-P26</f>
        <v>0.02916666667</v>
      </c>
    </row>
    <row r="27">
      <c r="A27" s="18" t="s">
        <v>65</v>
      </c>
      <c r="B27" s="19"/>
      <c r="C27" s="4"/>
      <c r="D27" s="20">
        <v>0.43680555555555556</v>
      </c>
      <c r="E27" s="3"/>
      <c r="F27" s="4"/>
      <c r="G27" s="19"/>
      <c r="H27" s="4"/>
      <c r="I27" s="19"/>
      <c r="J27" s="4"/>
      <c r="K27" s="19"/>
      <c r="L27" s="4"/>
      <c r="M27" s="19"/>
      <c r="N27" s="4"/>
      <c r="O27" s="69">
        <f>D27-B27</f>
        <v>0.4368055556</v>
      </c>
      <c r="P27" s="78">
        <v>0.375</v>
      </c>
      <c r="Q27" s="69">
        <f t="shared" si="4"/>
        <v>0.06180555556</v>
      </c>
    </row>
    <row r="28">
      <c r="O28" s="69"/>
      <c r="P28" s="97" t="s">
        <v>125</v>
      </c>
      <c r="Q28" s="69">
        <f>Q13+Q14+Q16+Q21+Q23+Q24+Q26+Q27</f>
        <v>0.5090277778</v>
      </c>
    </row>
    <row r="29">
      <c r="O29" s="69"/>
      <c r="P29" s="97" t="s">
        <v>203</v>
      </c>
      <c r="Q29" s="69">
        <f>Q10-Q15-Q17</f>
        <v>0.03472222222</v>
      </c>
    </row>
    <row r="30">
      <c r="A30" s="98"/>
      <c r="B30" s="99"/>
      <c r="C30" s="99"/>
      <c r="D30" s="99"/>
      <c r="E30" s="99"/>
      <c r="F30" s="99"/>
      <c r="G30" s="99"/>
      <c r="H30" s="99"/>
      <c r="I30" s="98"/>
      <c r="J30" s="99"/>
      <c r="K30" s="99"/>
      <c r="L30" s="99"/>
      <c r="M30" s="99"/>
      <c r="N30" s="99"/>
      <c r="O30" s="69"/>
      <c r="P30" s="97" t="s">
        <v>204</v>
      </c>
      <c r="Q30" s="87">
        <f>Q28-Q29</f>
        <v>0.4743055556</v>
      </c>
    </row>
    <row r="31">
      <c r="A31" s="1" t="s">
        <v>0</v>
      </c>
      <c r="B31" s="2" t="s">
        <v>1</v>
      </c>
      <c r="C31" s="3"/>
      <c r="D31" s="3"/>
      <c r="E31" s="3"/>
      <c r="F31" s="3"/>
      <c r="G31" s="3"/>
      <c r="H31" s="4"/>
      <c r="I31" s="1" t="s">
        <v>2</v>
      </c>
      <c r="J31" s="10" t="s">
        <v>34</v>
      </c>
      <c r="K31" s="3"/>
      <c r="L31" s="3"/>
      <c r="M31" s="3"/>
      <c r="N31" s="4"/>
      <c r="O31" s="69"/>
      <c r="P31" s="68"/>
    </row>
    <row r="32">
      <c r="A32" s="1" t="s">
        <v>4</v>
      </c>
      <c r="B32" s="9" t="s">
        <v>202</v>
      </c>
      <c r="C32" s="3"/>
      <c r="D32" s="3"/>
      <c r="E32" s="3"/>
      <c r="F32" s="3"/>
      <c r="G32" s="3"/>
      <c r="H32" s="4"/>
      <c r="I32" s="1" t="s">
        <v>6</v>
      </c>
      <c r="J32" s="10">
        <v>7.0</v>
      </c>
      <c r="K32" s="3"/>
      <c r="L32" s="3"/>
      <c r="M32" s="3"/>
      <c r="N32" s="4"/>
      <c r="O32" s="69"/>
      <c r="P32" s="68"/>
    </row>
    <row r="33">
      <c r="A33" s="70" t="s">
        <v>144</v>
      </c>
      <c r="B33" s="71" t="s">
        <v>145</v>
      </c>
      <c r="C33" s="80" t="s">
        <v>165</v>
      </c>
      <c r="D33" s="39"/>
      <c r="E33" s="71" t="s">
        <v>168</v>
      </c>
      <c r="F33" s="88" t="s">
        <v>169</v>
      </c>
      <c r="G33" s="3"/>
      <c r="H33" s="4"/>
      <c r="I33" s="81" t="s">
        <v>146</v>
      </c>
      <c r="J33" s="3"/>
      <c r="K33" s="4"/>
      <c r="L33" s="81" t="s">
        <v>170</v>
      </c>
      <c r="M33" s="3"/>
      <c r="N33" s="4"/>
      <c r="O33" s="69"/>
      <c r="P33" s="68"/>
    </row>
    <row r="34">
      <c r="A34" s="16"/>
      <c r="B34" s="73"/>
      <c r="C34" s="73"/>
      <c r="D34" s="46"/>
      <c r="E34" s="73"/>
      <c r="F34" s="89" t="s">
        <v>171</v>
      </c>
      <c r="G34" s="4"/>
      <c r="H34" s="1" t="s">
        <v>172</v>
      </c>
      <c r="I34" s="1" t="s">
        <v>147</v>
      </c>
      <c r="J34" s="90" t="s">
        <v>166</v>
      </c>
      <c r="K34" s="4"/>
      <c r="L34" s="90" t="s">
        <v>147</v>
      </c>
      <c r="M34" s="4"/>
      <c r="N34" s="1" t="s">
        <v>166</v>
      </c>
      <c r="O34" s="69"/>
      <c r="P34" s="68"/>
    </row>
    <row r="35">
      <c r="A35" s="74">
        <v>12.0</v>
      </c>
      <c r="B35" s="75">
        <v>0.0</v>
      </c>
      <c r="C35" s="83">
        <v>0.0</v>
      </c>
      <c r="D35" s="4"/>
      <c r="E35" s="75">
        <v>0.0</v>
      </c>
      <c r="F35" s="83">
        <v>0.0</v>
      </c>
      <c r="G35" s="4"/>
      <c r="H35" s="74">
        <v>0.0</v>
      </c>
      <c r="I35" s="74">
        <v>0.0</v>
      </c>
      <c r="J35" s="91">
        <v>0.0</v>
      </c>
      <c r="K35" s="4"/>
      <c r="L35" s="91">
        <v>0.0</v>
      </c>
      <c r="M35" s="4"/>
      <c r="N35" s="74">
        <v>0.0</v>
      </c>
      <c r="O35" s="69"/>
      <c r="P35" s="68"/>
    </row>
    <row r="36">
      <c r="A36" s="19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69"/>
      <c r="P36" s="68"/>
    </row>
    <row r="37">
      <c r="A37" s="11" t="s">
        <v>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4"/>
      <c r="O37" s="69"/>
      <c r="P37" s="68"/>
    </row>
    <row r="38">
      <c r="A38" s="15" t="s">
        <v>11</v>
      </c>
      <c r="B38" s="2" t="s">
        <v>12</v>
      </c>
      <c r="C38" s="3"/>
      <c r="D38" s="3"/>
      <c r="E38" s="3"/>
      <c r="F38" s="4"/>
      <c r="G38" s="2" t="s">
        <v>13</v>
      </c>
      <c r="H38" s="3"/>
      <c r="I38" s="3"/>
      <c r="J38" s="3"/>
      <c r="K38" s="10" t="s">
        <v>14</v>
      </c>
      <c r="L38" s="3"/>
      <c r="M38" s="3"/>
      <c r="N38" s="4"/>
      <c r="O38" s="69"/>
      <c r="P38" s="68"/>
    </row>
    <row r="39">
      <c r="A39" s="16"/>
      <c r="B39" s="17" t="s">
        <v>15</v>
      </c>
      <c r="C39" s="4"/>
      <c r="D39" s="17" t="s">
        <v>16</v>
      </c>
      <c r="E39" s="3"/>
      <c r="F39" s="4"/>
      <c r="G39" s="17" t="s">
        <v>15</v>
      </c>
      <c r="H39" s="4"/>
      <c r="I39" s="17" t="s">
        <v>16</v>
      </c>
      <c r="J39" s="4"/>
      <c r="K39" s="17" t="s">
        <v>15</v>
      </c>
      <c r="L39" s="4"/>
      <c r="M39" s="17" t="s">
        <v>16</v>
      </c>
      <c r="N39" s="4"/>
      <c r="O39" s="95" t="s">
        <v>8</v>
      </c>
      <c r="P39" s="96" t="s">
        <v>124</v>
      </c>
      <c r="Q39" s="97" t="s">
        <v>125</v>
      </c>
    </row>
    <row r="40">
      <c r="A40" s="22" t="s">
        <v>97</v>
      </c>
      <c r="B40" s="19"/>
      <c r="C40" s="4"/>
      <c r="D40" s="19"/>
      <c r="E40" s="3"/>
      <c r="F40" s="4"/>
      <c r="G40" s="19"/>
      <c r="H40" s="4"/>
      <c r="I40" s="19"/>
      <c r="J40" s="4"/>
      <c r="K40" s="19"/>
      <c r="L40" s="4"/>
      <c r="M40" s="19"/>
      <c r="N40" s="4"/>
      <c r="O40" s="69"/>
      <c r="P40" s="68"/>
    </row>
    <row r="41">
      <c r="A41" s="22" t="s">
        <v>98</v>
      </c>
      <c r="B41" s="19"/>
      <c r="C41" s="4"/>
      <c r="D41" s="19"/>
      <c r="E41" s="3"/>
      <c r="F41" s="4"/>
      <c r="G41" s="19"/>
      <c r="H41" s="4"/>
      <c r="I41" s="19"/>
      <c r="J41" s="4"/>
      <c r="K41" s="19"/>
      <c r="L41" s="4"/>
      <c r="M41" s="19"/>
      <c r="N41" s="4"/>
      <c r="O41" s="69"/>
      <c r="P41" s="68"/>
    </row>
    <row r="42">
      <c r="A42" s="18" t="s">
        <v>99</v>
      </c>
      <c r="B42" s="20">
        <v>0.40208333333333335</v>
      </c>
      <c r="C42" s="4"/>
      <c r="D42" s="19"/>
      <c r="E42" s="3"/>
      <c r="F42" s="4"/>
      <c r="G42" s="19"/>
      <c r="H42" s="4"/>
      <c r="I42" s="19"/>
      <c r="J42" s="4"/>
      <c r="K42" s="20">
        <v>0.7777777777777778</v>
      </c>
      <c r="L42" s="4"/>
      <c r="M42" s="19"/>
      <c r="N42" s="4"/>
      <c r="O42" s="69">
        <f>K42-B42</f>
        <v>0.3756944444</v>
      </c>
      <c r="P42" s="78">
        <v>0.3541666666666667</v>
      </c>
      <c r="Q42" s="69">
        <f t="shared" ref="Q42:Q46" si="5">O42-P42</f>
        <v>0.02152777778</v>
      </c>
    </row>
    <row r="43">
      <c r="A43" s="18" t="s">
        <v>103</v>
      </c>
      <c r="B43" s="20">
        <v>0.39166666666666666</v>
      </c>
      <c r="C43" s="4"/>
      <c r="D43" s="19"/>
      <c r="E43" s="3"/>
      <c r="F43" s="4"/>
      <c r="G43" s="19"/>
      <c r="H43" s="4"/>
      <c r="I43" s="20">
        <v>0.7381944444444445</v>
      </c>
      <c r="J43" s="4"/>
      <c r="K43" s="19"/>
      <c r="L43" s="4"/>
      <c r="M43" s="19"/>
      <c r="N43" s="4"/>
      <c r="O43" s="69">
        <f>I43-B42</f>
        <v>0.3361111111</v>
      </c>
      <c r="P43" s="78">
        <v>0.3541666666666667</v>
      </c>
      <c r="Q43" s="69">
        <f t="shared" si="5"/>
        <v>-0.01805555556</v>
      </c>
    </row>
    <row r="44">
      <c r="A44" s="18" t="s">
        <v>104</v>
      </c>
      <c r="B44" s="20">
        <v>0.3993055555555556</v>
      </c>
      <c r="C44" s="4"/>
      <c r="D44" s="19"/>
      <c r="E44" s="3"/>
      <c r="F44" s="4"/>
      <c r="G44" s="19"/>
      <c r="H44" s="4"/>
      <c r="I44" s="20">
        <v>0.7631944444444444</v>
      </c>
      <c r="J44" s="4"/>
      <c r="K44" s="19"/>
      <c r="L44" s="4"/>
      <c r="M44" s="19"/>
      <c r="N44" s="4"/>
      <c r="O44" s="69">
        <f t="shared" ref="O44:O46" si="6">I44-B44</f>
        <v>0.3638888889</v>
      </c>
      <c r="P44" s="78">
        <v>0.3541666666666667</v>
      </c>
      <c r="Q44" s="69">
        <f t="shared" si="5"/>
        <v>0.009722222222</v>
      </c>
    </row>
    <row r="45">
      <c r="A45" s="18" t="s">
        <v>105</v>
      </c>
      <c r="B45" s="20">
        <v>0.4</v>
      </c>
      <c r="C45" s="4"/>
      <c r="D45" s="19"/>
      <c r="E45" s="3"/>
      <c r="F45" s="4"/>
      <c r="G45" s="19"/>
      <c r="H45" s="4"/>
      <c r="I45" s="20">
        <v>0.7013888888888888</v>
      </c>
      <c r="J45" s="4"/>
      <c r="K45" s="19"/>
      <c r="L45" s="4"/>
      <c r="M45" s="19"/>
      <c r="N45" s="4"/>
      <c r="O45" s="69">
        <f t="shared" si="6"/>
        <v>0.3013888889</v>
      </c>
      <c r="P45" s="78">
        <v>0.3541666666666667</v>
      </c>
      <c r="Q45" s="69">
        <f t="shared" si="5"/>
        <v>-0.05277777778</v>
      </c>
    </row>
    <row r="46">
      <c r="A46" s="18" t="s">
        <v>106</v>
      </c>
      <c r="B46" s="20">
        <v>0.39861111111111114</v>
      </c>
      <c r="C46" s="4"/>
      <c r="D46" s="19"/>
      <c r="E46" s="3"/>
      <c r="F46" s="4"/>
      <c r="G46" s="19"/>
      <c r="H46" s="4"/>
      <c r="I46" s="20">
        <v>0.7555555555555555</v>
      </c>
      <c r="J46" s="4"/>
      <c r="K46" s="19"/>
      <c r="L46" s="4"/>
      <c r="M46" s="19"/>
      <c r="N46" s="4"/>
      <c r="O46" s="69">
        <f t="shared" si="6"/>
        <v>0.3569444444</v>
      </c>
      <c r="P46" s="78">
        <v>0.3541666666666667</v>
      </c>
      <c r="Q46" s="69">
        <f t="shared" si="5"/>
        <v>0.002777777778</v>
      </c>
    </row>
    <row r="47">
      <c r="A47" s="22" t="s">
        <v>107</v>
      </c>
      <c r="B47" s="19"/>
      <c r="C47" s="4"/>
      <c r="D47" s="19"/>
      <c r="E47" s="3"/>
      <c r="F47" s="4"/>
      <c r="G47" s="19"/>
      <c r="H47" s="4"/>
      <c r="I47" s="19"/>
      <c r="J47" s="4"/>
      <c r="K47" s="19"/>
      <c r="L47" s="4"/>
      <c r="M47" s="19"/>
      <c r="N47" s="4"/>
      <c r="O47" s="69"/>
      <c r="P47" s="68"/>
    </row>
    <row r="48">
      <c r="A48" s="22" t="s">
        <v>108</v>
      </c>
      <c r="B48" s="19"/>
      <c r="C48" s="4"/>
      <c r="D48" s="19"/>
      <c r="E48" s="3"/>
      <c r="F48" s="4"/>
      <c r="G48" s="19"/>
      <c r="H48" s="4"/>
      <c r="I48" s="19"/>
      <c r="J48" s="4"/>
      <c r="K48" s="19"/>
      <c r="L48" s="4"/>
      <c r="M48" s="19"/>
      <c r="N48" s="4"/>
      <c r="O48" s="69"/>
      <c r="P48" s="68"/>
    </row>
    <row r="49">
      <c r="A49" s="18" t="s">
        <v>109</v>
      </c>
      <c r="B49" s="20">
        <v>0.4125</v>
      </c>
      <c r="C49" s="4"/>
      <c r="D49" s="19"/>
      <c r="E49" s="3"/>
      <c r="F49" s="4"/>
      <c r="G49" s="19"/>
      <c r="H49" s="4"/>
      <c r="I49" s="20">
        <v>0.7625</v>
      </c>
      <c r="J49" s="4"/>
      <c r="K49" s="19"/>
      <c r="L49" s="4"/>
      <c r="M49" s="19"/>
      <c r="N49" s="4"/>
      <c r="O49" s="69">
        <f t="shared" ref="O49:O50" si="7">I49-B49</f>
        <v>0.35</v>
      </c>
      <c r="P49" s="78">
        <v>0.3541666666666667</v>
      </c>
      <c r="Q49" s="69">
        <f t="shared" ref="Q49:Q53" si="8">O49-P49</f>
        <v>-0.004166666667</v>
      </c>
    </row>
    <row r="50">
      <c r="A50" s="18" t="s">
        <v>110</v>
      </c>
      <c r="B50" s="20">
        <v>0.41180555555555554</v>
      </c>
      <c r="C50" s="4"/>
      <c r="D50" s="19"/>
      <c r="E50" s="3"/>
      <c r="F50" s="4"/>
      <c r="G50" s="19"/>
      <c r="H50" s="4"/>
      <c r="I50" s="20">
        <v>0.74375</v>
      </c>
      <c r="J50" s="4"/>
      <c r="K50" s="19"/>
      <c r="L50" s="4"/>
      <c r="M50" s="19"/>
      <c r="N50" s="4"/>
      <c r="O50" s="69">
        <f t="shared" si="7"/>
        <v>0.3319444444</v>
      </c>
      <c r="P50" s="78">
        <v>0.3541666666666667</v>
      </c>
      <c r="Q50" s="69">
        <f t="shared" si="8"/>
        <v>-0.02222222222</v>
      </c>
    </row>
    <row r="51">
      <c r="A51" s="18" t="s">
        <v>111</v>
      </c>
      <c r="B51" s="20">
        <v>0.4083333333333333</v>
      </c>
      <c r="C51" s="4"/>
      <c r="D51" s="19"/>
      <c r="E51" s="3"/>
      <c r="F51" s="4"/>
      <c r="G51" s="19"/>
      <c r="H51" s="4"/>
      <c r="I51" s="19"/>
      <c r="J51" s="4"/>
      <c r="K51" s="20">
        <v>0.7819444444444444</v>
      </c>
      <c r="L51" s="4"/>
      <c r="M51" s="19"/>
      <c r="N51" s="4"/>
      <c r="O51" s="69">
        <f>K51-B51</f>
        <v>0.3736111111</v>
      </c>
      <c r="P51" s="78">
        <v>0.3541666666666667</v>
      </c>
      <c r="Q51" s="69">
        <f t="shared" si="8"/>
        <v>0.01944444444</v>
      </c>
    </row>
    <row r="52">
      <c r="A52" s="18" t="s">
        <v>112</v>
      </c>
      <c r="B52" s="20">
        <v>0.37569444444444444</v>
      </c>
      <c r="C52" s="4"/>
      <c r="D52" s="19"/>
      <c r="E52" s="3"/>
      <c r="F52" s="4"/>
      <c r="G52" s="19"/>
      <c r="H52" s="4"/>
      <c r="I52" s="20">
        <v>0.7097222222222223</v>
      </c>
      <c r="J52" s="4"/>
      <c r="K52" s="19"/>
      <c r="L52" s="4"/>
      <c r="M52" s="19"/>
      <c r="N52" s="4"/>
      <c r="O52" s="69">
        <f>I52-B52</f>
        <v>0.3340277778</v>
      </c>
      <c r="P52" s="78">
        <v>0.3541666666666667</v>
      </c>
      <c r="Q52" s="69">
        <f t="shared" si="8"/>
        <v>-0.02013888889</v>
      </c>
    </row>
    <row r="53">
      <c r="A53" s="18" t="s">
        <v>113</v>
      </c>
      <c r="B53" s="19"/>
      <c r="C53" s="4"/>
      <c r="D53" s="20">
        <v>0.42986111111111114</v>
      </c>
      <c r="E53" s="3"/>
      <c r="F53" s="4"/>
      <c r="G53" s="19"/>
      <c r="H53" s="4"/>
      <c r="I53" s="20">
        <v>0.7618055555555555</v>
      </c>
      <c r="J53" s="4"/>
      <c r="K53" s="19"/>
      <c r="L53" s="4"/>
      <c r="M53" s="19"/>
      <c r="N53" s="4"/>
      <c r="O53" s="69">
        <f>I53-D53</f>
        <v>0.3319444444</v>
      </c>
      <c r="P53" s="78">
        <v>0.3541666666666667</v>
      </c>
      <c r="Q53" s="69">
        <f t="shared" si="8"/>
        <v>-0.02222222222</v>
      </c>
    </row>
    <row r="54">
      <c r="A54" s="22" t="s">
        <v>114</v>
      </c>
      <c r="B54" s="19"/>
      <c r="C54" s="4"/>
      <c r="D54" s="19"/>
      <c r="E54" s="3"/>
      <c r="F54" s="4"/>
      <c r="G54" s="19"/>
      <c r="H54" s="4"/>
      <c r="I54" s="19"/>
      <c r="J54" s="4"/>
      <c r="K54" s="19"/>
      <c r="L54" s="4"/>
      <c r="M54" s="19"/>
      <c r="N54" s="4"/>
      <c r="O54" s="69"/>
      <c r="P54" s="68"/>
    </row>
    <row r="55">
      <c r="A55" s="22" t="s">
        <v>115</v>
      </c>
      <c r="B55" s="19"/>
      <c r="C55" s="4"/>
      <c r="D55" s="19"/>
      <c r="E55" s="3"/>
      <c r="F55" s="4"/>
      <c r="G55" s="19"/>
      <c r="H55" s="4"/>
      <c r="I55" s="19"/>
      <c r="J55" s="4"/>
      <c r="K55" s="19"/>
      <c r="L55" s="4"/>
      <c r="M55" s="19"/>
      <c r="N55" s="4"/>
      <c r="O55" s="69"/>
      <c r="P55" s="68"/>
    </row>
    <row r="56">
      <c r="A56" s="18" t="s">
        <v>116</v>
      </c>
      <c r="B56" s="20">
        <v>0.3375</v>
      </c>
      <c r="C56" s="4"/>
      <c r="D56" s="19"/>
      <c r="E56" s="3"/>
      <c r="F56" s="4"/>
      <c r="G56" s="19"/>
      <c r="H56" s="4"/>
      <c r="I56" s="20">
        <v>0.7201388888888889</v>
      </c>
      <c r="J56" s="4"/>
      <c r="K56" s="19"/>
      <c r="L56" s="4"/>
      <c r="M56" s="19"/>
      <c r="N56" s="4"/>
      <c r="O56" s="69">
        <f>I56-B56</f>
        <v>0.3826388889</v>
      </c>
      <c r="P56" s="78">
        <v>0.3541666666666667</v>
      </c>
      <c r="Q56" s="69">
        <f>O56-P56</f>
        <v>0.02847222222</v>
      </c>
    </row>
    <row r="57">
      <c r="A57" s="18" t="s">
        <v>65</v>
      </c>
      <c r="B57" s="20">
        <v>0.3298611111111111</v>
      </c>
      <c r="C57" s="4"/>
      <c r="D57" s="19"/>
      <c r="E57" s="3"/>
      <c r="F57" s="4"/>
      <c r="G57" s="19"/>
      <c r="H57" s="4"/>
      <c r="I57" s="19"/>
      <c r="J57" s="4"/>
      <c r="K57" s="19"/>
      <c r="L57" s="4"/>
      <c r="M57" s="19"/>
      <c r="N57" s="4"/>
      <c r="O57" s="69"/>
      <c r="P57" s="68"/>
    </row>
    <row r="58">
      <c r="O58" s="69"/>
      <c r="P58" s="68"/>
    </row>
    <row r="59">
      <c r="O59" s="69"/>
      <c r="P59" s="68"/>
    </row>
    <row r="60">
      <c r="A60" s="1" t="s">
        <v>0</v>
      </c>
      <c r="B60" s="2" t="s">
        <v>1</v>
      </c>
      <c r="C60" s="3"/>
      <c r="D60" s="3"/>
      <c r="E60" s="3"/>
      <c r="F60" s="3"/>
      <c r="G60" s="3"/>
      <c r="H60" s="4"/>
      <c r="I60" s="1" t="s">
        <v>2</v>
      </c>
      <c r="J60" s="10" t="s">
        <v>37</v>
      </c>
      <c r="K60" s="3"/>
      <c r="L60" s="3"/>
      <c r="M60" s="3"/>
      <c r="N60" s="4"/>
      <c r="O60" s="69"/>
      <c r="P60" s="68"/>
    </row>
    <row r="61">
      <c r="A61" s="1" t="s">
        <v>4</v>
      </c>
      <c r="B61" s="9" t="s">
        <v>202</v>
      </c>
      <c r="C61" s="3"/>
      <c r="D61" s="3"/>
      <c r="E61" s="3"/>
      <c r="F61" s="3"/>
      <c r="G61" s="3"/>
      <c r="H61" s="4"/>
      <c r="I61" s="1" t="s">
        <v>6</v>
      </c>
      <c r="J61" s="10">
        <v>10.0</v>
      </c>
      <c r="K61" s="3"/>
      <c r="L61" s="3"/>
      <c r="M61" s="3"/>
      <c r="N61" s="4"/>
      <c r="O61" s="69"/>
      <c r="P61" s="68"/>
    </row>
    <row r="62">
      <c r="A62" s="70" t="s">
        <v>144</v>
      </c>
      <c r="B62" s="71" t="s">
        <v>145</v>
      </c>
      <c r="C62" s="80" t="s">
        <v>165</v>
      </c>
      <c r="D62" s="39"/>
      <c r="E62" s="71" t="s">
        <v>168</v>
      </c>
      <c r="F62" s="88" t="s">
        <v>169</v>
      </c>
      <c r="G62" s="3"/>
      <c r="H62" s="4"/>
      <c r="I62" s="81" t="s">
        <v>146</v>
      </c>
      <c r="J62" s="3"/>
      <c r="K62" s="4"/>
      <c r="L62" s="81" t="s">
        <v>170</v>
      </c>
      <c r="M62" s="3"/>
      <c r="N62" s="4"/>
      <c r="O62" s="69"/>
      <c r="P62" s="68"/>
    </row>
    <row r="63">
      <c r="A63" s="16"/>
      <c r="B63" s="73"/>
      <c r="C63" s="73"/>
      <c r="D63" s="46"/>
      <c r="E63" s="73"/>
      <c r="F63" s="89" t="s">
        <v>171</v>
      </c>
      <c r="G63" s="4"/>
      <c r="H63" s="1" t="s">
        <v>172</v>
      </c>
      <c r="I63" s="1" t="s">
        <v>147</v>
      </c>
      <c r="J63" s="90" t="s">
        <v>166</v>
      </c>
      <c r="K63" s="4"/>
      <c r="L63" s="90" t="s">
        <v>147</v>
      </c>
      <c r="M63" s="4"/>
      <c r="N63" s="1" t="s">
        <v>166</v>
      </c>
      <c r="O63" s="69"/>
      <c r="P63" s="68"/>
    </row>
    <row r="64">
      <c r="A64" s="74">
        <v>12.0</v>
      </c>
      <c r="B64" s="75">
        <v>0.0</v>
      </c>
      <c r="C64" s="83">
        <v>0.0</v>
      </c>
      <c r="D64" s="4"/>
      <c r="E64" s="75">
        <v>0.0</v>
      </c>
      <c r="F64" s="83">
        <v>0.0</v>
      </c>
      <c r="G64" s="4"/>
      <c r="H64" s="74">
        <v>9.9</v>
      </c>
      <c r="I64" s="74">
        <v>0.0</v>
      </c>
      <c r="J64" s="91">
        <v>0.0</v>
      </c>
      <c r="K64" s="4"/>
      <c r="L64" s="91">
        <v>0.0</v>
      </c>
      <c r="M64" s="4"/>
      <c r="N64" s="74">
        <v>0.0</v>
      </c>
      <c r="O64" s="69"/>
      <c r="P64" s="68"/>
    </row>
    <row r="65">
      <c r="A65" s="19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69"/>
      <c r="P65" s="68"/>
    </row>
    <row r="66">
      <c r="A66" s="11" t="s">
        <v>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4"/>
      <c r="O66" s="69"/>
      <c r="P66" s="68"/>
    </row>
    <row r="67">
      <c r="A67" s="15" t="s">
        <v>11</v>
      </c>
      <c r="B67" s="2" t="s">
        <v>12</v>
      </c>
      <c r="C67" s="3"/>
      <c r="D67" s="3"/>
      <c r="E67" s="3"/>
      <c r="F67" s="4"/>
      <c r="G67" s="2" t="s">
        <v>13</v>
      </c>
      <c r="H67" s="3"/>
      <c r="I67" s="3"/>
      <c r="J67" s="3"/>
      <c r="K67" s="10" t="s">
        <v>14</v>
      </c>
      <c r="L67" s="3"/>
      <c r="M67" s="3"/>
      <c r="N67" s="4"/>
      <c r="O67" s="69"/>
      <c r="P67" s="68"/>
    </row>
    <row r="68">
      <c r="A68" s="16"/>
      <c r="B68" s="17" t="s">
        <v>15</v>
      </c>
      <c r="C68" s="4"/>
      <c r="D68" s="17" t="s">
        <v>16</v>
      </c>
      <c r="E68" s="3"/>
      <c r="F68" s="4"/>
      <c r="G68" s="17" t="s">
        <v>15</v>
      </c>
      <c r="H68" s="4"/>
      <c r="I68" s="17" t="s">
        <v>16</v>
      </c>
      <c r="J68" s="4"/>
      <c r="K68" s="17" t="s">
        <v>15</v>
      </c>
      <c r="L68" s="4"/>
      <c r="M68" s="17" t="s">
        <v>16</v>
      </c>
      <c r="N68" s="4"/>
      <c r="O68" s="95" t="s">
        <v>8</v>
      </c>
      <c r="P68" s="96" t="s">
        <v>124</v>
      </c>
      <c r="Q68" s="97" t="s">
        <v>125</v>
      </c>
    </row>
    <row r="69">
      <c r="A69" s="22" t="s">
        <v>97</v>
      </c>
      <c r="B69" s="20">
        <v>0.2951388888888889</v>
      </c>
      <c r="C69" s="4"/>
      <c r="D69" s="20">
        <v>0.7069444444444445</v>
      </c>
      <c r="E69" s="3"/>
      <c r="F69" s="4"/>
      <c r="G69" s="19"/>
      <c r="H69" s="4"/>
      <c r="I69" s="19"/>
      <c r="J69" s="4"/>
      <c r="K69" s="19"/>
      <c r="L69" s="4"/>
      <c r="M69" s="19"/>
      <c r="N69" s="4"/>
      <c r="O69" s="69">
        <f>D69-B69</f>
        <v>0.4118055556</v>
      </c>
      <c r="P69" s="78">
        <v>0.375</v>
      </c>
      <c r="Q69" s="69">
        <f>O69</f>
        <v>0.4118055556</v>
      </c>
    </row>
    <row r="70">
      <c r="A70" s="22" t="s">
        <v>98</v>
      </c>
      <c r="B70" s="19"/>
      <c r="C70" s="4"/>
      <c r="D70" s="19"/>
      <c r="E70" s="3"/>
      <c r="F70" s="4"/>
      <c r="G70" s="19"/>
      <c r="H70" s="4"/>
      <c r="I70" s="19"/>
      <c r="J70" s="4"/>
      <c r="K70" s="19"/>
      <c r="L70" s="4"/>
      <c r="M70" s="19"/>
      <c r="N70" s="4"/>
      <c r="O70" s="69"/>
      <c r="P70" s="68"/>
    </row>
    <row r="71">
      <c r="A71" s="18" t="s">
        <v>99</v>
      </c>
      <c r="B71" s="20">
        <v>0.3</v>
      </c>
      <c r="C71" s="4"/>
      <c r="D71" s="19"/>
      <c r="E71" s="3"/>
      <c r="F71" s="4"/>
      <c r="G71" s="19"/>
      <c r="H71" s="4"/>
      <c r="I71" s="19"/>
      <c r="J71" s="4"/>
      <c r="K71" s="19"/>
      <c r="L71" s="4"/>
      <c r="M71" s="20">
        <v>0.9020833333333333</v>
      </c>
      <c r="N71" s="4"/>
      <c r="O71" s="69">
        <f>M71-B71</f>
        <v>0.6020833333</v>
      </c>
      <c r="P71" s="78">
        <v>0.375</v>
      </c>
      <c r="Q71" s="69">
        <f t="shared" ref="Q71:Q75" si="9">O71-P71</f>
        <v>0.2270833333</v>
      </c>
    </row>
    <row r="72">
      <c r="A72" s="18" t="s">
        <v>103</v>
      </c>
      <c r="B72" s="20">
        <v>0.38125</v>
      </c>
      <c r="C72" s="4"/>
      <c r="D72" s="19"/>
      <c r="E72" s="3"/>
      <c r="F72" s="4"/>
      <c r="G72" s="19"/>
      <c r="H72" s="4"/>
      <c r="I72" s="20">
        <v>0.7381944444444445</v>
      </c>
      <c r="J72" s="4"/>
      <c r="K72" s="19"/>
      <c r="L72" s="4"/>
      <c r="M72" s="19"/>
      <c r="N72" s="4"/>
      <c r="O72" s="69">
        <f>I72-B72</f>
        <v>0.3569444444</v>
      </c>
      <c r="P72" s="78">
        <v>0.375</v>
      </c>
      <c r="Q72" s="69">
        <f t="shared" si="9"/>
        <v>-0.01805555556</v>
      </c>
    </row>
    <row r="73">
      <c r="A73" s="18" t="s">
        <v>104</v>
      </c>
      <c r="B73" s="20">
        <v>0.40347222222222223</v>
      </c>
      <c r="C73" s="4"/>
      <c r="D73" s="19"/>
      <c r="E73" s="3"/>
      <c r="F73" s="4"/>
      <c r="G73" s="19"/>
      <c r="H73" s="4"/>
      <c r="I73" s="19"/>
      <c r="J73" s="4"/>
      <c r="K73" s="19"/>
      <c r="L73" s="4"/>
      <c r="M73" s="20">
        <v>0.875</v>
      </c>
      <c r="N73" s="4"/>
      <c r="O73" s="69">
        <f t="shared" ref="O73:O76" si="10">M73-B73</f>
        <v>0.4715277778</v>
      </c>
      <c r="P73" s="78">
        <v>0.375</v>
      </c>
      <c r="Q73" s="69">
        <f t="shared" si="9"/>
        <v>0.09652777778</v>
      </c>
    </row>
    <row r="74">
      <c r="A74" s="18" t="s">
        <v>105</v>
      </c>
      <c r="B74" s="20">
        <v>0.39791666666666664</v>
      </c>
      <c r="C74" s="4"/>
      <c r="D74" s="19"/>
      <c r="E74" s="3"/>
      <c r="F74" s="4"/>
      <c r="G74" s="19"/>
      <c r="H74" s="4"/>
      <c r="I74" s="19"/>
      <c r="J74" s="4"/>
      <c r="K74" s="19"/>
      <c r="L74" s="4"/>
      <c r="M74" s="20">
        <v>0.7916666666666666</v>
      </c>
      <c r="N74" s="4"/>
      <c r="O74" s="69">
        <f t="shared" si="10"/>
        <v>0.39375</v>
      </c>
      <c r="P74" s="78">
        <v>0.375</v>
      </c>
      <c r="Q74" s="69">
        <f t="shared" si="9"/>
        <v>0.01875</v>
      </c>
    </row>
    <row r="75">
      <c r="A75" s="18" t="s">
        <v>106</v>
      </c>
      <c r="B75" s="20">
        <v>0.40694444444444444</v>
      </c>
      <c r="C75" s="4"/>
      <c r="D75" s="19"/>
      <c r="E75" s="3"/>
      <c r="F75" s="4"/>
      <c r="G75" s="19"/>
      <c r="H75" s="4"/>
      <c r="I75" s="19"/>
      <c r="J75" s="4"/>
      <c r="K75" s="19"/>
      <c r="L75" s="4"/>
      <c r="M75" s="20">
        <v>0.85625</v>
      </c>
      <c r="N75" s="4"/>
      <c r="O75" s="69">
        <f t="shared" si="10"/>
        <v>0.4493055556</v>
      </c>
      <c r="P75" s="78">
        <v>0.375</v>
      </c>
      <c r="Q75" s="69">
        <f t="shared" si="9"/>
        <v>0.07430555556</v>
      </c>
    </row>
    <row r="76">
      <c r="A76" s="22" t="s">
        <v>107</v>
      </c>
      <c r="B76" s="20">
        <v>0.3597222222222222</v>
      </c>
      <c r="C76" s="4"/>
      <c r="D76" s="19"/>
      <c r="E76" s="3"/>
      <c r="F76" s="4"/>
      <c r="G76" s="19"/>
      <c r="H76" s="4"/>
      <c r="I76" s="19"/>
      <c r="J76" s="4"/>
      <c r="K76" s="19"/>
      <c r="L76" s="4"/>
      <c r="M76" s="20">
        <v>0.7708333333333334</v>
      </c>
      <c r="N76" s="4"/>
      <c r="O76" s="69">
        <f t="shared" si="10"/>
        <v>0.4111111111</v>
      </c>
      <c r="P76" s="78">
        <v>0.375</v>
      </c>
      <c r="Q76" s="69">
        <f>O76</f>
        <v>0.4111111111</v>
      </c>
    </row>
    <row r="77">
      <c r="A77" s="22" t="s">
        <v>108</v>
      </c>
      <c r="B77" s="19"/>
      <c r="C77" s="4"/>
      <c r="D77" s="19"/>
      <c r="E77" s="3"/>
      <c r="F77" s="4"/>
      <c r="G77" s="19"/>
      <c r="H77" s="4"/>
      <c r="I77" s="19"/>
      <c r="J77" s="4"/>
      <c r="K77" s="19"/>
      <c r="L77" s="4"/>
      <c r="M77" s="19"/>
      <c r="N77" s="4"/>
      <c r="O77" s="69"/>
      <c r="P77" s="68"/>
    </row>
    <row r="78">
      <c r="A78" s="18" t="s">
        <v>109</v>
      </c>
      <c r="B78" s="20">
        <v>0.35208333333333336</v>
      </c>
      <c r="C78" s="4"/>
      <c r="D78" s="19"/>
      <c r="E78" s="3"/>
      <c r="F78" s="4"/>
      <c r="G78" s="19"/>
      <c r="H78" s="4"/>
      <c r="I78" s="19"/>
      <c r="J78" s="4"/>
      <c r="K78" s="19"/>
      <c r="L78" s="4"/>
      <c r="M78" s="20">
        <v>0.8923611111111112</v>
      </c>
      <c r="N78" s="4"/>
      <c r="O78" s="69">
        <f>M78-B78</f>
        <v>0.5402777778</v>
      </c>
      <c r="P78" s="78">
        <v>0.375</v>
      </c>
      <c r="Q78" s="69">
        <f t="shared" ref="Q78:Q82" si="11">O78-P78</f>
        <v>0.1652777778</v>
      </c>
    </row>
    <row r="79">
      <c r="A79" s="18" t="s">
        <v>110</v>
      </c>
      <c r="B79" s="20">
        <v>0.2916666666666667</v>
      </c>
      <c r="C79" s="4"/>
      <c r="D79" s="19"/>
      <c r="E79" s="3"/>
      <c r="F79" s="4"/>
      <c r="G79" s="19"/>
      <c r="H79" s="4"/>
      <c r="I79" s="20">
        <v>0.7444444444444445</v>
      </c>
      <c r="J79" s="4"/>
      <c r="K79" s="19"/>
      <c r="L79" s="4"/>
      <c r="M79" s="19"/>
      <c r="N79" s="4"/>
      <c r="O79" s="69">
        <f>I79-B79</f>
        <v>0.4527777778</v>
      </c>
      <c r="P79" s="78">
        <v>0.375</v>
      </c>
      <c r="Q79" s="69">
        <f t="shared" si="11"/>
        <v>0.07777777778</v>
      </c>
    </row>
    <row r="80">
      <c r="A80" s="18" t="s">
        <v>111</v>
      </c>
      <c r="B80" s="20">
        <v>0.375</v>
      </c>
      <c r="C80" s="4"/>
      <c r="D80" s="19"/>
      <c r="E80" s="3"/>
      <c r="F80" s="4"/>
      <c r="G80" s="19"/>
      <c r="H80" s="4"/>
      <c r="I80" s="19"/>
      <c r="J80" s="4"/>
      <c r="K80" s="19"/>
      <c r="L80" s="4"/>
      <c r="M80" s="20">
        <v>0.9451388888888889</v>
      </c>
      <c r="N80" s="4"/>
      <c r="O80" s="69">
        <f>M80-B80</f>
        <v>0.5701388889</v>
      </c>
      <c r="P80" s="78">
        <v>0.375</v>
      </c>
      <c r="Q80" s="69">
        <f t="shared" si="11"/>
        <v>0.1951388889</v>
      </c>
    </row>
    <row r="81">
      <c r="A81" s="18" t="s">
        <v>112</v>
      </c>
      <c r="B81" s="20">
        <v>0.35555555555555557</v>
      </c>
      <c r="C81" s="4"/>
      <c r="D81" s="19"/>
      <c r="E81" s="3"/>
      <c r="F81" s="4"/>
      <c r="G81" s="19"/>
      <c r="H81" s="4"/>
      <c r="I81" s="20">
        <v>0.7166666666666667</v>
      </c>
      <c r="J81" s="4"/>
      <c r="K81" s="19"/>
      <c r="L81" s="4"/>
      <c r="M81" s="19"/>
      <c r="N81" s="4"/>
      <c r="O81" s="69">
        <f>I81-B81</f>
        <v>0.3611111111</v>
      </c>
      <c r="P81" s="78">
        <v>0.375</v>
      </c>
      <c r="Q81" s="69">
        <f t="shared" si="11"/>
        <v>-0.01388888889</v>
      </c>
    </row>
    <row r="82">
      <c r="A82" s="18" t="s">
        <v>113</v>
      </c>
      <c r="B82" s="20">
        <v>0.40555555555555556</v>
      </c>
      <c r="C82" s="4"/>
      <c r="D82" s="19"/>
      <c r="E82" s="3"/>
      <c r="F82" s="4"/>
      <c r="G82" s="19"/>
      <c r="H82" s="4"/>
      <c r="I82" s="19"/>
      <c r="J82" s="4"/>
      <c r="K82" s="19"/>
      <c r="L82" s="4"/>
      <c r="M82" s="20">
        <v>0.8791666666666667</v>
      </c>
      <c r="N82" s="4"/>
      <c r="O82" s="69">
        <f t="shared" ref="O82:O83" si="12">M82-B82</f>
        <v>0.4736111111</v>
      </c>
      <c r="P82" s="78">
        <v>0.375</v>
      </c>
      <c r="Q82" s="69">
        <f t="shared" si="11"/>
        <v>0.09861111111</v>
      </c>
    </row>
    <row r="83">
      <c r="A83" s="22" t="s">
        <v>114</v>
      </c>
      <c r="B83" s="20">
        <v>0.3875</v>
      </c>
      <c r="C83" s="4"/>
      <c r="D83" s="19"/>
      <c r="E83" s="3"/>
      <c r="F83" s="4"/>
      <c r="G83" s="19"/>
      <c r="H83" s="4"/>
      <c r="I83" s="19"/>
      <c r="J83" s="4"/>
      <c r="K83" s="19"/>
      <c r="L83" s="4"/>
      <c r="M83" s="20">
        <v>0.7916666666666666</v>
      </c>
      <c r="N83" s="4"/>
      <c r="O83" s="69">
        <f t="shared" si="12"/>
        <v>0.4041666667</v>
      </c>
      <c r="P83" s="78">
        <v>0.375</v>
      </c>
      <c r="Q83" s="69">
        <f t="shared" ref="Q83:Q84" si="13">O83</f>
        <v>0.4041666667</v>
      </c>
    </row>
    <row r="84">
      <c r="A84" s="22" t="s">
        <v>115</v>
      </c>
      <c r="B84" s="20">
        <v>0.3333333333333333</v>
      </c>
      <c r="C84" s="4"/>
      <c r="D84" s="20">
        <v>0.5416666666666666</v>
      </c>
      <c r="E84" s="3"/>
      <c r="F84" s="4"/>
      <c r="G84" s="19"/>
      <c r="H84" s="4"/>
      <c r="I84" s="19"/>
      <c r="J84" s="4"/>
      <c r="K84" s="19"/>
      <c r="L84" s="4"/>
      <c r="M84" s="19"/>
      <c r="N84" s="4"/>
      <c r="O84" s="69">
        <f>D84-B84</f>
        <v>0.2083333333</v>
      </c>
      <c r="P84" s="78">
        <v>0.375</v>
      </c>
      <c r="Q84" s="69">
        <f t="shared" si="13"/>
        <v>0.2083333333</v>
      </c>
    </row>
    <row r="85">
      <c r="A85" s="18" t="s">
        <v>116</v>
      </c>
      <c r="B85" s="20">
        <v>0.32222222222222224</v>
      </c>
      <c r="C85" s="4"/>
      <c r="D85" s="19"/>
      <c r="E85" s="3"/>
      <c r="F85" s="4"/>
      <c r="G85" s="19"/>
      <c r="H85" s="4"/>
      <c r="I85" s="19"/>
      <c r="J85" s="4"/>
      <c r="K85" s="19"/>
      <c r="L85" s="4"/>
      <c r="M85" s="20">
        <v>0.8909722222222223</v>
      </c>
      <c r="N85" s="4"/>
      <c r="O85" s="69">
        <f>M85-B85</f>
        <v>0.56875</v>
      </c>
      <c r="P85" s="78">
        <v>0.375</v>
      </c>
      <c r="Q85" s="69">
        <f>O85-P85</f>
        <v>0.19375</v>
      </c>
    </row>
    <row r="86">
      <c r="A86" s="18" t="s">
        <v>65</v>
      </c>
      <c r="B86" s="20">
        <v>0.3638888888888889</v>
      </c>
      <c r="C86" s="4"/>
      <c r="D86" s="19"/>
      <c r="E86" s="3"/>
      <c r="F86" s="4"/>
      <c r="G86" s="19"/>
      <c r="H86" s="4"/>
      <c r="I86" s="19"/>
      <c r="J86" s="4"/>
      <c r="K86" s="19"/>
      <c r="L86" s="4"/>
      <c r="M86" s="19"/>
      <c r="N86" s="4"/>
      <c r="O86" s="69">
        <f>D86-B86</f>
        <v>-0.3638888889</v>
      </c>
      <c r="P86" s="78">
        <v>0.375</v>
      </c>
    </row>
    <row r="87">
      <c r="O87" s="69"/>
      <c r="P87" s="68"/>
      <c r="Q87" s="87">
        <f>Q69+Q71+Q73+Q74+Q75+Q76+Q78+Q79+Q80+Q82+Q83+Q84+Q85</f>
        <v>2.582638889</v>
      </c>
    </row>
    <row r="88">
      <c r="O88" s="69"/>
      <c r="P88" s="68"/>
    </row>
    <row r="89">
      <c r="A89" s="1" t="s">
        <v>0</v>
      </c>
      <c r="B89" s="2" t="s">
        <v>1</v>
      </c>
      <c r="C89" s="3"/>
      <c r="D89" s="3"/>
      <c r="E89" s="3"/>
      <c r="F89" s="3"/>
      <c r="G89" s="3"/>
      <c r="H89" s="4"/>
      <c r="I89" s="1" t="s">
        <v>2</v>
      </c>
      <c r="J89" s="10" t="s">
        <v>101</v>
      </c>
      <c r="K89" s="3"/>
      <c r="L89" s="3"/>
      <c r="M89" s="3"/>
      <c r="N89" s="4"/>
      <c r="O89" s="69"/>
      <c r="P89" s="68"/>
    </row>
    <row r="90">
      <c r="A90" s="1" t="s">
        <v>4</v>
      </c>
      <c r="B90" s="9" t="s">
        <v>202</v>
      </c>
      <c r="C90" s="3"/>
      <c r="D90" s="3"/>
      <c r="E90" s="3"/>
      <c r="F90" s="3"/>
      <c r="G90" s="3"/>
      <c r="H90" s="4"/>
      <c r="I90" s="1" t="s">
        <v>6</v>
      </c>
      <c r="J90" s="10">
        <v>16.0</v>
      </c>
      <c r="K90" s="3"/>
      <c r="L90" s="3"/>
      <c r="M90" s="3"/>
      <c r="N90" s="4"/>
      <c r="O90" s="69"/>
      <c r="P90" s="68"/>
    </row>
    <row r="91">
      <c r="A91" s="70" t="s">
        <v>144</v>
      </c>
      <c r="B91" s="71" t="s">
        <v>145</v>
      </c>
      <c r="C91" s="80" t="s">
        <v>165</v>
      </c>
      <c r="D91" s="39"/>
      <c r="E91" s="71" t="s">
        <v>168</v>
      </c>
      <c r="F91" s="88" t="s">
        <v>169</v>
      </c>
      <c r="G91" s="3"/>
      <c r="H91" s="4"/>
      <c r="I91" s="81" t="s">
        <v>146</v>
      </c>
      <c r="J91" s="3"/>
      <c r="K91" s="4"/>
      <c r="L91" s="81" t="s">
        <v>170</v>
      </c>
      <c r="M91" s="3"/>
      <c r="N91" s="4"/>
      <c r="O91" s="69"/>
      <c r="P91" s="68"/>
    </row>
    <row r="92">
      <c r="A92" s="16"/>
      <c r="B92" s="73"/>
      <c r="C92" s="73"/>
      <c r="D92" s="46"/>
      <c r="E92" s="73"/>
      <c r="F92" s="89" t="s">
        <v>171</v>
      </c>
      <c r="G92" s="4"/>
      <c r="H92" s="1" t="s">
        <v>172</v>
      </c>
      <c r="I92" s="1" t="s">
        <v>147</v>
      </c>
      <c r="J92" s="90" t="s">
        <v>166</v>
      </c>
      <c r="K92" s="4"/>
      <c r="L92" s="90" t="s">
        <v>147</v>
      </c>
      <c r="M92" s="4"/>
      <c r="N92" s="1" t="s">
        <v>166</v>
      </c>
      <c r="O92" s="69"/>
      <c r="P92" s="68"/>
    </row>
    <row r="93">
      <c r="A93" s="74">
        <v>12.0</v>
      </c>
      <c r="B93" s="75">
        <v>0.0</v>
      </c>
      <c r="C93" s="83">
        <v>0.0</v>
      </c>
      <c r="D93" s="4"/>
      <c r="E93" s="75">
        <v>0.0</v>
      </c>
      <c r="F93" s="83">
        <v>0.0</v>
      </c>
      <c r="G93" s="4"/>
      <c r="H93" s="74">
        <v>47.3</v>
      </c>
      <c r="I93" s="74">
        <v>0.0</v>
      </c>
      <c r="J93" s="91">
        <v>0.0</v>
      </c>
      <c r="K93" s="4"/>
      <c r="L93" s="91">
        <v>0.0</v>
      </c>
      <c r="M93" s="4"/>
      <c r="N93" s="74">
        <v>0.0</v>
      </c>
      <c r="O93" s="69"/>
      <c r="P93" s="68"/>
    </row>
    <row r="94">
      <c r="A94" s="19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69"/>
      <c r="P94" s="68"/>
    </row>
    <row r="95">
      <c r="A95" s="11" t="s">
        <v>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4"/>
      <c r="O95" s="69"/>
      <c r="P95" s="68"/>
    </row>
    <row r="96">
      <c r="A96" s="15" t="s">
        <v>11</v>
      </c>
      <c r="B96" s="2" t="s">
        <v>12</v>
      </c>
      <c r="C96" s="3"/>
      <c r="D96" s="3"/>
      <c r="E96" s="3"/>
      <c r="F96" s="4"/>
      <c r="G96" s="2" t="s">
        <v>13</v>
      </c>
      <c r="H96" s="3"/>
      <c r="I96" s="3"/>
      <c r="J96" s="3"/>
      <c r="K96" s="10" t="s">
        <v>14</v>
      </c>
      <c r="L96" s="3"/>
      <c r="M96" s="3"/>
      <c r="N96" s="4"/>
      <c r="O96" s="69"/>
      <c r="P96" s="68"/>
    </row>
    <row r="97">
      <c r="A97" s="16"/>
      <c r="B97" s="17" t="s">
        <v>15</v>
      </c>
      <c r="C97" s="4"/>
      <c r="D97" s="17" t="s">
        <v>16</v>
      </c>
      <c r="E97" s="3"/>
      <c r="F97" s="4"/>
      <c r="G97" s="17" t="s">
        <v>15</v>
      </c>
      <c r="H97" s="4"/>
      <c r="I97" s="17" t="s">
        <v>16</v>
      </c>
      <c r="J97" s="4"/>
      <c r="K97" s="17" t="s">
        <v>15</v>
      </c>
      <c r="L97" s="4"/>
      <c r="M97" s="17" t="s">
        <v>16</v>
      </c>
      <c r="N97" s="4"/>
      <c r="O97" s="97" t="s">
        <v>8</v>
      </c>
      <c r="P97" s="97" t="s">
        <v>124</v>
      </c>
      <c r="Q97" s="97" t="s">
        <v>125</v>
      </c>
    </row>
    <row r="98">
      <c r="A98" s="22" t="s">
        <v>97</v>
      </c>
      <c r="B98" s="20">
        <v>0.18888888888888888</v>
      </c>
      <c r="C98" s="4"/>
      <c r="D98" s="20">
        <v>0.65</v>
      </c>
      <c r="E98" s="3"/>
      <c r="F98" s="4"/>
      <c r="G98" s="19"/>
      <c r="H98" s="4"/>
      <c r="I98" s="19"/>
      <c r="J98" s="4"/>
      <c r="K98" s="19"/>
      <c r="L98" s="4"/>
      <c r="M98" s="19"/>
      <c r="N98" s="4"/>
      <c r="O98" s="69">
        <f>D98-B98</f>
        <v>0.4611111111</v>
      </c>
      <c r="P98" s="78">
        <v>0.3541666666666667</v>
      </c>
      <c r="Q98" s="69">
        <f>O98</f>
        <v>0.4611111111</v>
      </c>
    </row>
    <row r="99">
      <c r="A99" s="22" t="s">
        <v>98</v>
      </c>
      <c r="B99" s="19"/>
      <c r="C99" s="4"/>
      <c r="D99" s="19"/>
      <c r="E99" s="3"/>
      <c r="F99" s="4"/>
      <c r="G99" s="19"/>
      <c r="H99" s="4"/>
      <c r="I99" s="19"/>
      <c r="J99" s="4"/>
      <c r="K99" s="19"/>
      <c r="L99" s="4"/>
      <c r="M99" s="19"/>
      <c r="N99" s="4"/>
      <c r="O99" s="69"/>
      <c r="P99" s="68"/>
    </row>
    <row r="100">
      <c r="A100" s="18" t="s">
        <v>99</v>
      </c>
      <c r="B100" s="20">
        <v>0.2013888888888889</v>
      </c>
      <c r="C100" s="4"/>
      <c r="D100" s="19"/>
      <c r="E100" s="3"/>
      <c r="F100" s="4"/>
      <c r="G100" s="20">
        <v>0.5708333333333333</v>
      </c>
      <c r="H100" s="4"/>
      <c r="I100" s="19"/>
      <c r="J100" s="4"/>
      <c r="K100" s="19"/>
      <c r="L100" s="4"/>
      <c r="M100" s="19"/>
      <c r="N100" s="4"/>
      <c r="O100" s="69">
        <f>G100-B100</f>
        <v>0.3694444444</v>
      </c>
      <c r="P100" s="78">
        <v>0.3541666666666667</v>
      </c>
      <c r="Q100" s="69">
        <f t="shared" ref="Q100:Q104" si="14">O100-P100</f>
        <v>0.01527777778</v>
      </c>
    </row>
    <row r="101">
      <c r="A101" s="18" t="s">
        <v>103</v>
      </c>
      <c r="B101" s="20">
        <v>0.18888888888888888</v>
      </c>
      <c r="C101" s="4"/>
      <c r="D101" s="19"/>
      <c r="E101" s="3"/>
      <c r="F101" s="4"/>
      <c r="G101" s="19"/>
      <c r="H101" s="4"/>
      <c r="I101" s="20">
        <v>0.6763888888888889</v>
      </c>
      <c r="J101" s="4"/>
      <c r="K101" s="19"/>
      <c r="L101" s="4"/>
      <c r="M101" s="19"/>
      <c r="N101" s="4"/>
      <c r="O101" s="69">
        <f>I101-B101</f>
        <v>0.4875</v>
      </c>
      <c r="P101" s="78">
        <v>0.3541666666666667</v>
      </c>
      <c r="Q101" s="69">
        <f t="shared" si="14"/>
        <v>0.1333333333</v>
      </c>
    </row>
    <row r="102">
      <c r="A102" s="18" t="s">
        <v>104</v>
      </c>
      <c r="B102" s="20">
        <v>0.18958333333333333</v>
      </c>
      <c r="C102" s="4"/>
      <c r="D102" s="19"/>
      <c r="E102" s="3"/>
      <c r="F102" s="4"/>
      <c r="G102" s="19"/>
      <c r="H102" s="4"/>
      <c r="I102" s="19"/>
      <c r="J102" s="4"/>
      <c r="K102" s="19"/>
      <c r="L102" s="4"/>
      <c r="M102" s="20">
        <v>0.875</v>
      </c>
      <c r="N102" s="4"/>
      <c r="O102" s="69">
        <f>M102-B102</f>
        <v>0.6854166667</v>
      </c>
      <c r="P102" s="78">
        <v>0.3541666666666667</v>
      </c>
      <c r="Q102" s="69">
        <f t="shared" si="14"/>
        <v>0.33125</v>
      </c>
    </row>
    <row r="103">
      <c r="A103" s="18" t="s">
        <v>105</v>
      </c>
      <c r="B103" s="20">
        <v>0.21458333333333332</v>
      </c>
      <c r="C103" s="4"/>
      <c r="D103" s="19"/>
      <c r="E103" s="3"/>
      <c r="F103" s="4"/>
      <c r="G103" s="19"/>
      <c r="H103" s="4"/>
      <c r="I103" s="20">
        <v>0.7090277777777778</v>
      </c>
      <c r="J103" s="4"/>
      <c r="K103" s="19"/>
      <c r="L103" s="4"/>
      <c r="M103" s="19"/>
      <c r="N103" s="4"/>
      <c r="O103" s="69">
        <f>I103-B103</f>
        <v>0.4944444444</v>
      </c>
      <c r="P103" s="78">
        <v>0.3541666666666667</v>
      </c>
      <c r="Q103" s="69">
        <f t="shared" si="14"/>
        <v>0.1402777778</v>
      </c>
    </row>
    <row r="104">
      <c r="A104" s="18" t="s">
        <v>106</v>
      </c>
      <c r="B104" s="20">
        <v>0.20277777777777778</v>
      </c>
      <c r="C104" s="4"/>
      <c r="D104" s="19"/>
      <c r="E104" s="3"/>
      <c r="F104" s="4"/>
      <c r="G104" s="19"/>
      <c r="H104" s="4"/>
      <c r="I104" s="19"/>
      <c r="J104" s="4"/>
      <c r="K104" s="19"/>
      <c r="L104" s="4"/>
      <c r="M104" s="20">
        <v>0.85625</v>
      </c>
      <c r="N104" s="4"/>
      <c r="O104" s="69">
        <f>M104-B104</f>
        <v>0.6534722222</v>
      </c>
      <c r="P104" s="78">
        <v>0.3541666666666667</v>
      </c>
      <c r="Q104" s="69">
        <f t="shared" si="14"/>
        <v>0.2993055556</v>
      </c>
    </row>
    <row r="105">
      <c r="A105" s="22" t="s">
        <v>107</v>
      </c>
      <c r="B105" s="20">
        <v>0.18958333333333333</v>
      </c>
      <c r="C105" s="4"/>
      <c r="D105" s="20">
        <v>0.7243055555555555</v>
      </c>
      <c r="E105" s="3"/>
      <c r="F105" s="4"/>
      <c r="G105" s="19"/>
      <c r="H105" s="4"/>
      <c r="I105" s="19"/>
      <c r="J105" s="4"/>
      <c r="K105" s="19"/>
      <c r="L105" s="4"/>
      <c r="M105" s="19"/>
      <c r="N105" s="4"/>
      <c r="O105" s="69">
        <f>D105-B105</f>
        <v>0.5347222222</v>
      </c>
      <c r="P105" s="78">
        <v>0.3541666666666667</v>
      </c>
      <c r="Q105" s="69">
        <f>O105</f>
        <v>0.5347222222</v>
      </c>
    </row>
    <row r="106">
      <c r="A106" s="22" t="s">
        <v>108</v>
      </c>
      <c r="B106" s="19"/>
      <c r="C106" s="4"/>
      <c r="D106" s="19"/>
      <c r="E106" s="3"/>
      <c r="F106" s="4"/>
      <c r="G106" s="19"/>
      <c r="H106" s="4"/>
      <c r="I106" s="19"/>
      <c r="J106" s="4"/>
      <c r="K106" s="19"/>
      <c r="L106" s="4"/>
      <c r="M106" s="19"/>
      <c r="N106" s="4"/>
      <c r="O106" s="69"/>
      <c r="P106" s="68"/>
    </row>
    <row r="107">
      <c r="A107" s="18" t="s">
        <v>109</v>
      </c>
      <c r="B107" s="20">
        <v>0.17430555555555555</v>
      </c>
      <c r="C107" s="4"/>
      <c r="D107" s="19"/>
      <c r="E107" s="3"/>
      <c r="F107" s="4"/>
      <c r="G107" s="19"/>
      <c r="H107" s="4"/>
      <c r="I107" s="19"/>
      <c r="J107" s="4"/>
      <c r="K107" s="19"/>
      <c r="L107" s="4"/>
      <c r="M107" s="20">
        <v>0.8680555555555556</v>
      </c>
      <c r="N107" s="4"/>
      <c r="O107" s="69">
        <f>M107-B107</f>
        <v>0.69375</v>
      </c>
      <c r="P107" s="78">
        <v>0.3541666666666667</v>
      </c>
      <c r="Q107" s="69">
        <f t="shared" ref="Q107:Q111" si="15">O107-P107</f>
        <v>0.3395833333</v>
      </c>
    </row>
    <row r="108">
      <c r="A108" s="18" t="s">
        <v>110</v>
      </c>
      <c r="B108" s="20">
        <v>0.18819444444444444</v>
      </c>
      <c r="C108" s="4"/>
      <c r="D108" s="19"/>
      <c r="E108" s="3"/>
      <c r="F108" s="4"/>
      <c r="G108" s="19"/>
      <c r="H108" s="4"/>
      <c r="I108" s="20">
        <v>0.6673611111111111</v>
      </c>
      <c r="J108" s="4"/>
      <c r="K108" s="19"/>
      <c r="L108" s="4"/>
      <c r="M108" s="19"/>
      <c r="N108" s="4"/>
      <c r="O108" s="69">
        <f>I108-B108</f>
        <v>0.4791666667</v>
      </c>
      <c r="P108" s="78">
        <v>0.3541666666666667</v>
      </c>
      <c r="Q108" s="69">
        <f t="shared" si="15"/>
        <v>0.125</v>
      </c>
    </row>
    <row r="109">
      <c r="A109" s="18" t="s">
        <v>111</v>
      </c>
      <c r="B109" s="20">
        <v>0.1909722222222222</v>
      </c>
      <c r="C109" s="4"/>
      <c r="D109" s="19"/>
      <c r="E109" s="3"/>
      <c r="F109" s="4"/>
      <c r="G109" s="19"/>
      <c r="H109" s="4"/>
      <c r="I109" s="19"/>
      <c r="J109" s="4"/>
      <c r="K109" s="19"/>
      <c r="L109" s="4"/>
      <c r="M109" s="20">
        <v>0.94375</v>
      </c>
      <c r="N109" s="4"/>
      <c r="O109" s="69">
        <f>M109-B109</f>
        <v>0.7527777778</v>
      </c>
      <c r="P109" s="78">
        <v>0.3541666666666667</v>
      </c>
      <c r="Q109" s="69">
        <f t="shared" si="15"/>
        <v>0.3986111111</v>
      </c>
    </row>
    <row r="110">
      <c r="A110" s="18" t="s">
        <v>112</v>
      </c>
      <c r="B110" s="20">
        <v>0.20416666666666666</v>
      </c>
      <c r="C110" s="4"/>
      <c r="D110" s="19"/>
      <c r="E110" s="3"/>
      <c r="F110" s="4"/>
      <c r="G110" s="19"/>
      <c r="H110" s="4"/>
      <c r="I110" s="20">
        <v>0.6666666666666666</v>
      </c>
      <c r="J110" s="4"/>
      <c r="K110" s="19"/>
      <c r="L110" s="4"/>
      <c r="M110" s="19"/>
      <c r="N110" s="4"/>
      <c r="O110" s="69">
        <f>I110-B110</f>
        <v>0.4625</v>
      </c>
      <c r="P110" s="78">
        <v>0.3541666666666667</v>
      </c>
      <c r="Q110" s="69">
        <f t="shared" si="15"/>
        <v>0.1083333333</v>
      </c>
    </row>
    <row r="111">
      <c r="A111" s="18" t="s">
        <v>113</v>
      </c>
      <c r="B111" s="20">
        <v>0.18680555555555556</v>
      </c>
      <c r="C111" s="4"/>
      <c r="D111" s="19"/>
      <c r="E111" s="3"/>
      <c r="F111" s="4"/>
      <c r="G111" s="19"/>
      <c r="H111" s="4"/>
      <c r="I111" s="19"/>
      <c r="J111" s="4"/>
      <c r="K111" s="19"/>
      <c r="L111" s="4"/>
      <c r="M111" s="20">
        <v>0.8756944444444444</v>
      </c>
      <c r="N111" s="4"/>
      <c r="O111" s="69">
        <f>M111-B111</f>
        <v>0.6888888889</v>
      </c>
      <c r="P111" s="78">
        <v>0.3541666666666667</v>
      </c>
      <c r="Q111" s="69">
        <f t="shared" si="15"/>
        <v>0.3347222222</v>
      </c>
    </row>
    <row r="112">
      <c r="A112" s="22" t="s">
        <v>114</v>
      </c>
      <c r="B112" s="20">
        <v>0.1875</v>
      </c>
      <c r="C112" s="4"/>
      <c r="D112" s="20">
        <v>0.6840277777777778</v>
      </c>
      <c r="E112" s="3"/>
      <c r="F112" s="4"/>
      <c r="G112" s="19"/>
      <c r="H112" s="4"/>
      <c r="I112" s="19"/>
      <c r="J112" s="4"/>
      <c r="K112" s="19"/>
      <c r="L112" s="4"/>
      <c r="M112" s="19"/>
      <c r="N112" s="4"/>
      <c r="O112" s="69">
        <f t="shared" ref="O112:O113" si="16">D112-B112</f>
        <v>0.4965277778</v>
      </c>
      <c r="P112" s="78">
        <v>0.3541666666666667</v>
      </c>
      <c r="Q112" s="69">
        <f t="shared" ref="Q112:Q113" si="17">O112</f>
        <v>0.4965277778</v>
      </c>
    </row>
    <row r="113">
      <c r="A113" s="22" t="s">
        <v>115</v>
      </c>
      <c r="B113" s="20">
        <v>0.2590277777777778</v>
      </c>
      <c r="C113" s="4"/>
      <c r="D113" s="20">
        <v>0.7368055555555556</v>
      </c>
      <c r="E113" s="3"/>
      <c r="F113" s="4"/>
      <c r="G113" s="19"/>
      <c r="H113" s="4"/>
      <c r="I113" s="19"/>
      <c r="J113" s="4"/>
      <c r="K113" s="19"/>
      <c r="L113" s="4"/>
      <c r="M113" s="19"/>
      <c r="N113" s="4"/>
      <c r="O113" s="69">
        <f t="shared" si="16"/>
        <v>0.4777777778</v>
      </c>
      <c r="P113" s="78">
        <v>0.3541666666666667</v>
      </c>
      <c r="Q113" s="69">
        <f t="shared" si="17"/>
        <v>0.4777777778</v>
      </c>
    </row>
    <row r="114">
      <c r="A114" s="18" t="s">
        <v>116</v>
      </c>
      <c r="B114" s="20">
        <v>0.18958333333333333</v>
      </c>
      <c r="C114" s="4"/>
      <c r="D114" s="19"/>
      <c r="E114" s="3"/>
      <c r="F114" s="4"/>
      <c r="G114" s="20">
        <v>0.5659722222222222</v>
      </c>
      <c r="H114" s="4"/>
      <c r="I114" s="19"/>
      <c r="J114" s="4"/>
      <c r="K114" s="19"/>
      <c r="L114" s="4"/>
      <c r="M114" s="19"/>
      <c r="N114" s="4"/>
      <c r="O114" s="69">
        <f>G114-B114</f>
        <v>0.3763888889</v>
      </c>
      <c r="P114" s="78">
        <v>0.3541666666666667</v>
      </c>
      <c r="Q114" s="69">
        <f>O114-P114</f>
        <v>0.02222222222</v>
      </c>
    </row>
    <row r="115">
      <c r="A115" s="18" t="s">
        <v>65</v>
      </c>
      <c r="B115" s="20">
        <v>0.1875</v>
      </c>
      <c r="C115" s="4"/>
      <c r="D115" s="19"/>
      <c r="E115" s="3"/>
      <c r="F115" s="4"/>
      <c r="G115" s="19"/>
      <c r="H115" s="4"/>
      <c r="I115" s="19"/>
      <c r="J115" s="4"/>
      <c r="K115" s="19"/>
      <c r="L115" s="4"/>
      <c r="M115" s="19"/>
      <c r="N115" s="4"/>
      <c r="O115" s="69"/>
      <c r="P115" s="68"/>
    </row>
    <row r="116">
      <c r="O116" s="69"/>
      <c r="P116" s="68"/>
      <c r="Q116" s="69">
        <f>Q98+Q100+Q101+Q102+Q103+Q104+Q105+Q107+Q108+Q109+Q110+Q111+Q112+Q113+Q114</f>
        <v>4.218055556</v>
      </c>
    </row>
    <row r="117">
      <c r="O117" s="69"/>
      <c r="P117" s="68"/>
    </row>
    <row r="118">
      <c r="O118" s="69"/>
      <c r="P118" s="68"/>
    </row>
    <row r="119">
      <c r="A119" s="1" t="s">
        <v>0</v>
      </c>
      <c r="B119" s="2" t="s">
        <v>1</v>
      </c>
      <c r="C119" s="3"/>
      <c r="D119" s="3"/>
      <c r="E119" s="3"/>
      <c r="F119" s="3"/>
      <c r="G119" s="3"/>
      <c r="H119" s="4"/>
      <c r="I119" s="1" t="s">
        <v>2</v>
      </c>
      <c r="J119" s="10" t="s">
        <v>40</v>
      </c>
      <c r="K119" s="3"/>
      <c r="L119" s="3"/>
      <c r="M119" s="3"/>
      <c r="N119" s="4"/>
      <c r="O119" s="69"/>
      <c r="P119" s="68"/>
    </row>
    <row r="120">
      <c r="A120" s="1" t="s">
        <v>4</v>
      </c>
      <c r="B120" s="9" t="s">
        <v>202</v>
      </c>
      <c r="C120" s="3"/>
      <c r="D120" s="3"/>
      <c r="E120" s="3"/>
      <c r="F120" s="3"/>
      <c r="G120" s="3"/>
      <c r="H120" s="4"/>
      <c r="I120" s="1" t="s">
        <v>6</v>
      </c>
      <c r="J120" s="10">
        <v>13.0</v>
      </c>
      <c r="K120" s="3"/>
      <c r="L120" s="3"/>
      <c r="M120" s="3"/>
      <c r="N120" s="4"/>
      <c r="O120" s="69"/>
      <c r="P120" s="68"/>
    </row>
    <row r="121">
      <c r="A121" s="70" t="s">
        <v>144</v>
      </c>
      <c r="B121" s="71" t="s">
        <v>145</v>
      </c>
      <c r="C121" s="80" t="s">
        <v>165</v>
      </c>
      <c r="D121" s="39"/>
      <c r="E121" s="71" t="s">
        <v>168</v>
      </c>
      <c r="F121" s="88" t="s">
        <v>169</v>
      </c>
      <c r="G121" s="3"/>
      <c r="H121" s="4"/>
      <c r="I121" s="81" t="s">
        <v>146</v>
      </c>
      <c r="J121" s="3"/>
      <c r="K121" s="4"/>
      <c r="L121" s="81" t="s">
        <v>170</v>
      </c>
      <c r="M121" s="3"/>
      <c r="N121" s="4"/>
      <c r="O121" s="69"/>
      <c r="P121" s="68"/>
    </row>
    <row r="122">
      <c r="A122" s="16"/>
      <c r="B122" s="73"/>
      <c r="C122" s="73"/>
      <c r="D122" s="46"/>
      <c r="E122" s="73"/>
      <c r="F122" s="89" t="s">
        <v>171</v>
      </c>
      <c r="G122" s="4"/>
      <c r="H122" s="1" t="s">
        <v>172</v>
      </c>
      <c r="I122" s="1" t="s">
        <v>147</v>
      </c>
      <c r="J122" s="90" t="s">
        <v>166</v>
      </c>
      <c r="K122" s="4"/>
      <c r="L122" s="90" t="s">
        <v>147</v>
      </c>
      <c r="M122" s="4"/>
      <c r="N122" s="1" t="s">
        <v>166</v>
      </c>
      <c r="O122" s="69"/>
      <c r="P122" s="68"/>
    </row>
    <row r="123">
      <c r="A123" s="74">
        <v>12.0</v>
      </c>
      <c r="B123" s="75">
        <v>0.0</v>
      </c>
      <c r="C123" s="83">
        <v>0.0</v>
      </c>
      <c r="D123" s="4"/>
      <c r="E123" s="75">
        <v>0.0</v>
      </c>
      <c r="F123" s="83">
        <v>0.0</v>
      </c>
      <c r="G123" s="4"/>
      <c r="H123" s="74">
        <v>24.2</v>
      </c>
      <c r="I123" s="74">
        <v>0.0</v>
      </c>
      <c r="J123" s="91">
        <v>0.0</v>
      </c>
      <c r="K123" s="4"/>
      <c r="L123" s="91">
        <v>0.0</v>
      </c>
      <c r="M123" s="4"/>
      <c r="N123" s="74">
        <v>0.0</v>
      </c>
      <c r="O123" s="69"/>
      <c r="P123" s="68"/>
    </row>
    <row r="124">
      <c r="A124" s="19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69"/>
      <c r="P124" s="68"/>
    </row>
    <row r="125">
      <c r="A125" s="11" t="s">
        <v>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4"/>
      <c r="O125" s="69"/>
      <c r="P125" s="68"/>
    </row>
    <row r="126">
      <c r="A126" s="15" t="s">
        <v>11</v>
      </c>
      <c r="B126" s="2" t="s">
        <v>12</v>
      </c>
      <c r="C126" s="3"/>
      <c r="D126" s="3"/>
      <c r="E126" s="3"/>
      <c r="F126" s="4"/>
      <c r="G126" s="2" t="s">
        <v>13</v>
      </c>
      <c r="H126" s="3"/>
      <c r="I126" s="3"/>
      <c r="J126" s="3"/>
      <c r="K126" s="10" t="s">
        <v>14</v>
      </c>
      <c r="L126" s="3"/>
      <c r="M126" s="3"/>
      <c r="N126" s="4"/>
      <c r="O126" s="69"/>
      <c r="P126" s="68"/>
    </row>
    <row r="127">
      <c r="A127" s="16"/>
      <c r="B127" s="17" t="s">
        <v>15</v>
      </c>
      <c r="C127" s="4"/>
      <c r="D127" s="17" t="s">
        <v>16</v>
      </c>
      <c r="E127" s="3"/>
      <c r="F127" s="4"/>
      <c r="G127" s="17" t="s">
        <v>15</v>
      </c>
      <c r="H127" s="4"/>
      <c r="I127" s="17" t="s">
        <v>16</v>
      </c>
      <c r="J127" s="4"/>
      <c r="K127" s="17" t="s">
        <v>15</v>
      </c>
      <c r="L127" s="4"/>
      <c r="M127" s="17" t="s">
        <v>16</v>
      </c>
      <c r="N127" s="4"/>
      <c r="O127" s="97" t="s">
        <v>8</v>
      </c>
      <c r="P127" s="97" t="s">
        <v>124</v>
      </c>
      <c r="Q127" s="97" t="s">
        <v>125</v>
      </c>
    </row>
    <row r="128">
      <c r="A128" s="22" t="s">
        <v>97</v>
      </c>
      <c r="B128" s="20">
        <v>0.39305555555555555</v>
      </c>
      <c r="C128" s="4"/>
      <c r="D128" s="20">
        <v>0.71875</v>
      </c>
      <c r="E128" s="3"/>
      <c r="F128" s="4"/>
      <c r="G128" s="19"/>
      <c r="H128" s="4"/>
      <c r="I128" s="19"/>
      <c r="J128" s="4"/>
      <c r="K128" s="19"/>
      <c r="L128" s="4"/>
      <c r="M128" s="19"/>
      <c r="N128" s="4"/>
      <c r="O128" s="69"/>
      <c r="P128" s="68"/>
    </row>
    <row r="129">
      <c r="A129" s="22" t="s">
        <v>98</v>
      </c>
      <c r="B129" s="19"/>
      <c r="C129" s="4"/>
      <c r="D129" s="19"/>
      <c r="E129" s="3"/>
      <c r="F129" s="4"/>
      <c r="G129" s="19"/>
      <c r="H129" s="4"/>
      <c r="I129" s="19"/>
      <c r="J129" s="4"/>
      <c r="K129" s="19"/>
      <c r="L129" s="4"/>
      <c r="M129" s="19"/>
      <c r="N129" s="4"/>
      <c r="O129" s="69"/>
      <c r="P129" s="68"/>
    </row>
    <row r="130">
      <c r="A130" s="18" t="s">
        <v>99</v>
      </c>
      <c r="B130" s="19"/>
      <c r="C130" s="4"/>
      <c r="D130" s="19"/>
      <c r="E130" s="3"/>
      <c r="F130" s="4"/>
      <c r="G130" s="20">
        <v>0.5513888888888889</v>
      </c>
      <c r="H130" s="4"/>
      <c r="I130" s="19"/>
      <c r="J130" s="4"/>
      <c r="K130" s="19"/>
      <c r="L130" s="4"/>
      <c r="M130" s="20">
        <v>0.86875</v>
      </c>
      <c r="N130" s="4"/>
      <c r="O130" s="69"/>
      <c r="P130" s="68"/>
    </row>
    <row r="131">
      <c r="A131" s="18" t="s">
        <v>103</v>
      </c>
      <c r="B131" s="20">
        <v>0.39166666666666666</v>
      </c>
      <c r="C131" s="4"/>
      <c r="D131" s="19"/>
      <c r="E131" s="3"/>
      <c r="F131" s="4"/>
      <c r="G131" s="19"/>
      <c r="H131" s="4"/>
      <c r="I131" s="20">
        <v>0.7375</v>
      </c>
      <c r="J131" s="4"/>
      <c r="K131" s="19"/>
      <c r="L131" s="4"/>
      <c r="M131" s="19"/>
      <c r="N131" s="4"/>
      <c r="O131" s="69"/>
      <c r="P131" s="68"/>
    </row>
    <row r="132">
      <c r="A132" s="18" t="s">
        <v>104</v>
      </c>
      <c r="B132" s="23"/>
      <c r="C132" s="4"/>
      <c r="D132" s="24"/>
      <c r="E132" s="3"/>
      <c r="F132" s="3"/>
      <c r="G132" s="25"/>
      <c r="H132" s="3"/>
      <c r="I132" s="26"/>
      <c r="J132" s="3"/>
      <c r="K132" s="24"/>
      <c r="L132" s="3"/>
      <c r="M132" s="24"/>
      <c r="N132" s="4"/>
      <c r="O132" s="69"/>
      <c r="P132" s="68"/>
    </row>
    <row r="133">
      <c r="A133" s="18" t="s">
        <v>105</v>
      </c>
      <c r="B133" s="20">
        <v>0.40555555555555556</v>
      </c>
      <c r="C133" s="4"/>
      <c r="D133" s="19"/>
      <c r="E133" s="3"/>
      <c r="F133" s="4"/>
      <c r="G133" s="19"/>
      <c r="H133" s="4"/>
      <c r="I133" s="20">
        <v>0.7013888888888888</v>
      </c>
      <c r="J133" s="4"/>
      <c r="K133" s="19"/>
      <c r="L133" s="4"/>
      <c r="M133" s="19"/>
      <c r="N133" s="4"/>
      <c r="O133" s="69"/>
      <c r="P133" s="68"/>
    </row>
    <row r="134">
      <c r="A134" s="18" t="s">
        <v>106</v>
      </c>
      <c r="B134" s="19"/>
      <c r="C134" s="4"/>
      <c r="D134" s="19"/>
      <c r="E134" s="3"/>
      <c r="F134" s="4"/>
      <c r="G134" s="20">
        <v>0.5604166666666667</v>
      </c>
      <c r="H134" s="4"/>
      <c r="I134" s="19"/>
      <c r="J134" s="4"/>
      <c r="K134" s="19"/>
      <c r="L134" s="4"/>
      <c r="M134" s="20">
        <v>0.8541666666666666</v>
      </c>
      <c r="N134" s="4"/>
      <c r="O134" s="69"/>
      <c r="P134" s="68"/>
    </row>
    <row r="135">
      <c r="A135" s="22" t="s">
        <v>107</v>
      </c>
      <c r="B135" s="20">
        <v>0.3923611111111111</v>
      </c>
      <c r="C135" s="4"/>
      <c r="D135" s="20">
        <v>0.75</v>
      </c>
      <c r="E135" s="3"/>
      <c r="F135" s="4"/>
      <c r="G135" s="19"/>
      <c r="H135" s="4"/>
      <c r="I135" s="19"/>
      <c r="J135" s="4"/>
      <c r="K135" s="19"/>
      <c r="L135" s="4"/>
      <c r="M135" s="19"/>
      <c r="N135" s="4"/>
      <c r="O135" s="69"/>
      <c r="P135" s="68"/>
    </row>
    <row r="136">
      <c r="A136" s="22" t="s">
        <v>108</v>
      </c>
      <c r="B136" s="19"/>
      <c r="C136" s="4"/>
      <c r="D136" s="19"/>
      <c r="E136" s="3"/>
      <c r="F136" s="4"/>
      <c r="G136" s="19"/>
      <c r="H136" s="4"/>
      <c r="I136" s="19"/>
      <c r="J136" s="4"/>
      <c r="K136" s="19"/>
      <c r="L136" s="4"/>
      <c r="M136" s="19"/>
      <c r="N136" s="4"/>
      <c r="O136" s="69"/>
      <c r="P136" s="68"/>
    </row>
    <row r="137">
      <c r="A137" s="18" t="s">
        <v>109</v>
      </c>
      <c r="B137" s="19"/>
      <c r="C137" s="4"/>
      <c r="D137" s="20">
        <v>0.47430555555555554</v>
      </c>
      <c r="E137" s="3"/>
      <c r="F137" s="4"/>
      <c r="G137" s="19"/>
      <c r="H137" s="4"/>
      <c r="I137" s="20">
        <v>0.7625</v>
      </c>
      <c r="J137" s="4"/>
      <c r="K137" s="19"/>
      <c r="L137" s="4"/>
      <c r="M137" s="19"/>
      <c r="N137" s="4"/>
      <c r="O137" s="69"/>
      <c r="P137" s="68"/>
    </row>
    <row r="138">
      <c r="A138" s="18" t="s">
        <v>110</v>
      </c>
      <c r="B138" s="23"/>
      <c r="C138" s="4"/>
      <c r="D138" s="24"/>
      <c r="E138" s="3"/>
      <c r="F138" s="3"/>
      <c r="G138" s="25"/>
      <c r="H138" s="3"/>
      <c r="I138" s="26"/>
      <c r="J138" s="3"/>
      <c r="K138" s="24"/>
      <c r="L138" s="3"/>
      <c r="M138" s="24"/>
      <c r="N138" s="4"/>
      <c r="O138" s="69"/>
      <c r="P138" s="68"/>
    </row>
    <row r="139">
      <c r="A139" s="18" t="s">
        <v>111</v>
      </c>
      <c r="B139" s="23"/>
      <c r="C139" s="4"/>
      <c r="D139" s="24"/>
      <c r="E139" s="3"/>
      <c r="F139" s="3"/>
      <c r="G139" s="25"/>
      <c r="H139" s="3"/>
      <c r="I139" s="26"/>
      <c r="J139" s="3"/>
      <c r="K139" s="24"/>
      <c r="L139" s="3"/>
      <c r="M139" s="24"/>
      <c r="N139" s="4"/>
      <c r="O139" s="69"/>
      <c r="P139" s="68"/>
    </row>
    <row r="140">
      <c r="A140" s="18" t="s">
        <v>112</v>
      </c>
      <c r="B140" s="20">
        <v>0.40208333333333335</v>
      </c>
      <c r="C140" s="4"/>
      <c r="D140" s="19"/>
      <c r="E140" s="3"/>
      <c r="F140" s="4"/>
      <c r="G140" s="19"/>
      <c r="H140" s="4"/>
      <c r="I140" s="20">
        <v>0.7152777777777778</v>
      </c>
      <c r="J140" s="4"/>
      <c r="K140" s="19"/>
      <c r="L140" s="4"/>
      <c r="M140" s="19"/>
      <c r="N140" s="4"/>
      <c r="O140" s="69"/>
      <c r="P140" s="68"/>
    </row>
    <row r="141">
      <c r="A141" s="18" t="s">
        <v>113</v>
      </c>
      <c r="B141" s="19"/>
      <c r="C141" s="4"/>
      <c r="D141" s="19"/>
      <c r="E141" s="3"/>
      <c r="F141" s="4"/>
      <c r="G141" s="20">
        <v>0.5416666666666666</v>
      </c>
      <c r="H141" s="4"/>
      <c r="I141" s="19"/>
      <c r="J141" s="4"/>
      <c r="K141" s="19"/>
      <c r="L141" s="4"/>
      <c r="M141" s="20">
        <v>0.8666666666666667</v>
      </c>
      <c r="N141" s="4"/>
      <c r="O141" s="69"/>
      <c r="P141" s="68"/>
    </row>
    <row r="142">
      <c r="A142" s="22" t="s">
        <v>114</v>
      </c>
      <c r="B142" s="20">
        <v>0.3958333333333333</v>
      </c>
      <c r="C142" s="4"/>
      <c r="D142" s="20">
        <v>0.7222222222222222</v>
      </c>
      <c r="E142" s="3"/>
      <c r="F142" s="4"/>
      <c r="G142" s="19"/>
      <c r="H142" s="4"/>
      <c r="I142" s="19"/>
      <c r="J142" s="4"/>
      <c r="K142" s="19"/>
      <c r="L142" s="4"/>
      <c r="M142" s="19"/>
      <c r="N142" s="4"/>
      <c r="O142" s="69"/>
      <c r="P142" s="68"/>
    </row>
    <row r="143">
      <c r="A143" s="22" t="s">
        <v>115</v>
      </c>
      <c r="B143" s="19"/>
      <c r="C143" s="4"/>
      <c r="D143" s="19"/>
      <c r="E143" s="3"/>
      <c r="F143" s="4"/>
      <c r="G143" s="19"/>
      <c r="H143" s="4"/>
      <c r="I143" s="19"/>
      <c r="J143" s="4"/>
      <c r="K143" s="19"/>
      <c r="L143" s="4"/>
      <c r="M143" s="19"/>
      <c r="N143" s="4"/>
      <c r="O143" s="69"/>
      <c r="P143" s="68"/>
    </row>
    <row r="144">
      <c r="A144" s="18" t="s">
        <v>116</v>
      </c>
      <c r="B144" s="19"/>
      <c r="C144" s="4"/>
      <c r="D144" s="19"/>
      <c r="E144" s="3"/>
      <c r="F144" s="4"/>
      <c r="G144" s="20">
        <v>0.55625</v>
      </c>
      <c r="H144" s="4"/>
      <c r="I144" s="19"/>
      <c r="J144" s="4"/>
      <c r="K144" s="19"/>
      <c r="L144" s="4"/>
      <c r="M144" s="20">
        <v>0.8763888888888889</v>
      </c>
      <c r="N144" s="4"/>
      <c r="O144" s="69"/>
      <c r="P144" s="68"/>
    </row>
    <row r="145">
      <c r="A145" s="18" t="s">
        <v>65</v>
      </c>
      <c r="B145" s="20">
        <v>0.39375</v>
      </c>
      <c r="C145" s="4"/>
      <c r="D145" s="19"/>
      <c r="E145" s="3"/>
      <c r="F145" s="4"/>
      <c r="G145" s="19"/>
      <c r="H145" s="4"/>
      <c r="I145" s="19"/>
      <c r="J145" s="4"/>
      <c r="K145" s="19"/>
      <c r="L145" s="4"/>
      <c r="M145" s="19"/>
      <c r="N145" s="4"/>
      <c r="O145" s="69"/>
      <c r="P145" s="68"/>
    </row>
    <row r="146">
      <c r="O146" s="69"/>
      <c r="P146" s="68"/>
    </row>
    <row r="147">
      <c r="O147" s="69"/>
      <c r="P147" s="68"/>
    </row>
    <row r="148">
      <c r="O148" s="69"/>
      <c r="P148" s="68"/>
    </row>
    <row r="149">
      <c r="O149" s="69"/>
      <c r="P149" s="68"/>
    </row>
    <row r="150">
      <c r="O150" s="69"/>
      <c r="P150" s="68"/>
    </row>
    <row r="151">
      <c r="O151" s="69"/>
      <c r="P151" s="68"/>
    </row>
    <row r="152">
      <c r="O152" s="69"/>
      <c r="P152" s="68"/>
    </row>
    <row r="153">
      <c r="O153" s="69"/>
      <c r="P153" s="68"/>
    </row>
    <row r="154">
      <c r="O154" s="69"/>
      <c r="P154" s="68"/>
    </row>
    <row r="155">
      <c r="O155" s="69"/>
      <c r="P155" s="68"/>
    </row>
    <row r="156">
      <c r="O156" s="69"/>
      <c r="P156" s="68"/>
    </row>
    <row r="157">
      <c r="O157" s="69"/>
      <c r="P157" s="68"/>
    </row>
    <row r="158">
      <c r="O158" s="69"/>
      <c r="P158" s="68"/>
    </row>
    <row r="159">
      <c r="O159" s="69"/>
      <c r="P159" s="68"/>
    </row>
    <row r="160">
      <c r="O160" s="69"/>
      <c r="P160" s="68"/>
    </row>
    <row r="161">
      <c r="O161" s="69"/>
      <c r="P161" s="68"/>
    </row>
    <row r="162">
      <c r="O162" s="69"/>
      <c r="P162" s="68"/>
    </row>
    <row r="163">
      <c r="O163" s="69"/>
      <c r="P163" s="68"/>
    </row>
    <row r="164">
      <c r="O164" s="69"/>
      <c r="P164" s="68"/>
    </row>
    <row r="165">
      <c r="O165" s="69"/>
      <c r="P165" s="68"/>
    </row>
    <row r="166">
      <c r="O166" s="69"/>
      <c r="P166" s="68"/>
    </row>
    <row r="167">
      <c r="O167" s="69"/>
      <c r="P167" s="68"/>
    </row>
    <row r="168">
      <c r="O168" s="69"/>
      <c r="P168" s="68"/>
    </row>
    <row r="169">
      <c r="O169" s="69"/>
      <c r="P169" s="68"/>
    </row>
    <row r="170">
      <c r="O170" s="69"/>
      <c r="P170" s="68"/>
    </row>
    <row r="171">
      <c r="O171" s="69"/>
      <c r="P171" s="68"/>
    </row>
    <row r="172">
      <c r="O172" s="69"/>
      <c r="P172" s="68"/>
    </row>
    <row r="173">
      <c r="O173" s="69"/>
      <c r="P173" s="68"/>
    </row>
    <row r="174">
      <c r="O174" s="69"/>
      <c r="P174" s="68"/>
    </row>
    <row r="175">
      <c r="O175" s="69"/>
      <c r="P175" s="68"/>
    </row>
    <row r="176">
      <c r="O176" s="69"/>
      <c r="P176" s="68"/>
    </row>
    <row r="177">
      <c r="O177" s="69"/>
      <c r="P177" s="68"/>
    </row>
    <row r="178">
      <c r="O178" s="69"/>
      <c r="P178" s="68"/>
    </row>
    <row r="179">
      <c r="O179" s="69"/>
      <c r="P179" s="68"/>
    </row>
    <row r="180">
      <c r="O180" s="69"/>
      <c r="P180" s="68"/>
    </row>
    <row r="181">
      <c r="O181" s="69"/>
      <c r="P181" s="68"/>
    </row>
    <row r="182">
      <c r="O182" s="69"/>
      <c r="P182" s="68"/>
    </row>
    <row r="183">
      <c r="O183" s="69"/>
      <c r="P183" s="68"/>
    </row>
    <row r="184">
      <c r="O184" s="69"/>
      <c r="P184" s="68"/>
    </row>
    <row r="185">
      <c r="O185" s="69"/>
      <c r="P185" s="68"/>
    </row>
    <row r="186">
      <c r="O186" s="69"/>
      <c r="P186" s="68"/>
    </row>
    <row r="187">
      <c r="O187" s="69"/>
      <c r="P187" s="68"/>
    </row>
    <row r="188">
      <c r="O188" s="69"/>
      <c r="P188" s="68"/>
    </row>
    <row r="189">
      <c r="O189" s="69"/>
      <c r="P189" s="68"/>
    </row>
    <row r="190">
      <c r="O190" s="69"/>
      <c r="P190" s="68"/>
    </row>
    <row r="191">
      <c r="O191" s="69"/>
      <c r="P191" s="68"/>
    </row>
    <row r="192">
      <c r="O192" s="69"/>
      <c r="P192" s="68"/>
    </row>
    <row r="193">
      <c r="O193" s="69"/>
      <c r="P193" s="68"/>
    </row>
    <row r="194">
      <c r="O194" s="69"/>
      <c r="P194" s="68"/>
    </row>
    <row r="195">
      <c r="O195" s="69"/>
      <c r="P195" s="68"/>
    </row>
    <row r="196">
      <c r="O196" s="69"/>
      <c r="P196" s="68"/>
    </row>
    <row r="197">
      <c r="O197" s="69"/>
      <c r="P197" s="68"/>
    </row>
    <row r="198">
      <c r="O198" s="69"/>
      <c r="P198" s="68"/>
    </row>
    <row r="199">
      <c r="O199" s="69"/>
      <c r="P199" s="68"/>
    </row>
    <row r="200">
      <c r="O200" s="69"/>
      <c r="P200" s="68"/>
    </row>
    <row r="201">
      <c r="O201" s="69"/>
      <c r="P201" s="68"/>
    </row>
    <row r="202">
      <c r="O202" s="69"/>
      <c r="P202" s="68"/>
    </row>
    <row r="203">
      <c r="O203" s="69"/>
      <c r="P203" s="68"/>
    </row>
    <row r="204">
      <c r="O204" s="69"/>
      <c r="P204" s="68"/>
    </row>
    <row r="205">
      <c r="O205" s="69"/>
      <c r="P205" s="68"/>
    </row>
    <row r="206">
      <c r="O206" s="69"/>
      <c r="P206" s="68"/>
    </row>
    <row r="207">
      <c r="O207" s="69"/>
      <c r="P207" s="68"/>
    </row>
    <row r="208">
      <c r="O208" s="69"/>
      <c r="P208" s="68"/>
    </row>
    <row r="209">
      <c r="O209" s="69"/>
      <c r="P209" s="68"/>
    </row>
    <row r="210">
      <c r="O210" s="69"/>
      <c r="P210" s="68"/>
    </row>
    <row r="211">
      <c r="O211" s="69"/>
      <c r="P211" s="68"/>
    </row>
    <row r="212">
      <c r="O212" s="69"/>
      <c r="P212" s="68"/>
    </row>
    <row r="213">
      <c r="O213" s="69"/>
      <c r="P213" s="68"/>
    </row>
    <row r="214">
      <c r="O214" s="69"/>
      <c r="P214" s="68"/>
    </row>
    <row r="215">
      <c r="O215" s="69"/>
      <c r="P215" s="68"/>
    </row>
    <row r="216">
      <c r="O216" s="69"/>
      <c r="P216" s="68"/>
    </row>
    <row r="217">
      <c r="O217" s="69"/>
      <c r="P217" s="68"/>
    </row>
    <row r="218">
      <c r="O218" s="69"/>
      <c r="P218" s="68"/>
    </row>
    <row r="219">
      <c r="O219" s="69"/>
      <c r="P219" s="68"/>
    </row>
    <row r="220">
      <c r="O220" s="69"/>
      <c r="P220" s="68"/>
    </row>
    <row r="221">
      <c r="O221" s="69"/>
      <c r="P221" s="68"/>
    </row>
    <row r="222">
      <c r="O222" s="69"/>
      <c r="P222" s="68"/>
    </row>
    <row r="223">
      <c r="O223" s="69"/>
      <c r="P223" s="68"/>
    </row>
    <row r="224">
      <c r="O224" s="69"/>
      <c r="P224" s="68"/>
    </row>
    <row r="225">
      <c r="O225" s="69"/>
      <c r="P225" s="68"/>
    </row>
    <row r="226">
      <c r="O226" s="69"/>
      <c r="P226" s="68"/>
    </row>
    <row r="227">
      <c r="O227" s="69"/>
      <c r="P227" s="68"/>
    </row>
    <row r="228">
      <c r="O228" s="69"/>
      <c r="P228" s="68"/>
    </row>
    <row r="229">
      <c r="O229" s="69"/>
      <c r="P229" s="68"/>
    </row>
    <row r="230">
      <c r="O230" s="69"/>
      <c r="P230" s="68"/>
    </row>
    <row r="231">
      <c r="O231" s="69"/>
      <c r="P231" s="68"/>
    </row>
    <row r="232">
      <c r="O232" s="69"/>
      <c r="P232" s="68"/>
    </row>
    <row r="233">
      <c r="O233" s="69"/>
      <c r="P233" s="68"/>
    </row>
    <row r="234">
      <c r="O234" s="69"/>
      <c r="P234" s="68"/>
    </row>
    <row r="235">
      <c r="O235" s="69"/>
      <c r="P235" s="68"/>
    </row>
    <row r="236">
      <c r="O236" s="69"/>
      <c r="P236" s="68"/>
    </row>
    <row r="237">
      <c r="O237" s="69"/>
      <c r="P237" s="68"/>
    </row>
    <row r="238">
      <c r="O238" s="69"/>
      <c r="P238" s="68"/>
    </row>
    <row r="239">
      <c r="O239" s="69"/>
      <c r="P239" s="68"/>
    </row>
    <row r="240">
      <c r="O240" s="69"/>
      <c r="P240" s="68"/>
    </row>
    <row r="241">
      <c r="O241" s="69"/>
      <c r="P241" s="68"/>
    </row>
    <row r="242">
      <c r="O242" s="69"/>
      <c r="P242" s="68"/>
    </row>
    <row r="243">
      <c r="O243" s="69"/>
      <c r="P243" s="68"/>
    </row>
    <row r="244">
      <c r="O244" s="69"/>
      <c r="P244" s="68"/>
    </row>
    <row r="245">
      <c r="O245" s="69"/>
      <c r="P245" s="68"/>
    </row>
    <row r="246">
      <c r="O246" s="69"/>
      <c r="P246" s="68"/>
    </row>
    <row r="247">
      <c r="O247" s="69"/>
      <c r="P247" s="68"/>
    </row>
    <row r="248">
      <c r="O248" s="69"/>
      <c r="P248" s="68"/>
    </row>
    <row r="249">
      <c r="O249" s="69"/>
      <c r="P249" s="68"/>
    </row>
    <row r="250">
      <c r="O250" s="69"/>
      <c r="P250" s="68"/>
    </row>
    <row r="251">
      <c r="O251" s="69"/>
      <c r="P251" s="68"/>
    </row>
    <row r="252">
      <c r="O252" s="69"/>
      <c r="P252" s="68"/>
    </row>
    <row r="253">
      <c r="O253" s="69"/>
      <c r="P253" s="68"/>
    </row>
    <row r="254">
      <c r="O254" s="69"/>
      <c r="P254" s="68"/>
    </row>
    <row r="255">
      <c r="O255" s="69"/>
      <c r="P255" s="68"/>
    </row>
    <row r="256">
      <c r="O256" s="69"/>
      <c r="P256" s="68"/>
    </row>
    <row r="257">
      <c r="O257" s="69"/>
      <c r="P257" s="68"/>
    </row>
    <row r="258">
      <c r="O258" s="69"/>
      <c r="P258" s="68"/>
    </row>
    <row r="259">
      <c r="O259" s="69"/>
      <c r="P259" s="68"/>
    </row>
    <row r="260">
      <c r="O260" s="69"/>
      <c r="P260" s="68"/>
    </row>
    <row r="261">
      <c r="O261" s="69"/>
      <c r="P261" s="68"/>
    </row>
    <row r="262">
      <c r="O262" s="69"/>
      <c r="P262" s="68"/>
    </row>
    <row r="263">
      <c r="O263" s="69"/>
      <c r="P263" s="68"/>
    </row>
    <row r="264">
      <c r="O264" s="69"/>
      <c r="P264" s="68"/>
    </row>
    <row r="265">
      <c r="O265" s="69"/>
      <c r="P265" s="68"/>
    </row>
    <row r="266">
      <c r="O266" s="69"/>
      <c r="P266" s="68"/>
    </row>
    <row r="267">
      <c r="O267" s="69"/>
      <c r="P267" s="68"/>
    </row>
    <row r="268">
      <c r="O268" s="69"/>
      <c r="P268" s="68"/>
    </row>
    <row r="269">
      <c r="O269" s="69"/>
      <c r="P269" s="68"/>
    </row>
    <row r="270">
      <c r="O270" s="69"/>
      <c r="P270" s="68"/>
    </row>
    <row r="271">
      <c r="O271" s="69"/>
      <c r="P271" s="68"/>
    </row>
    <row r="272">
      <c r="O272" s="69"/>
      <c r="P272" s="68"/>
    </row>
    <row r="273">
      <c r="O273" s="69"/>
      <c r="P273" s="68"/>
    </row>
    <row r="274">
      <c r="O274" s="69"/>
      <c r="P274" s="68"/>
    </row>
    <row r="275">
      <c r="O275" s="69"/>
      <c r="P275" s="68"/>
    </row>
    <row r="276">
      <c r="O276" s="69"/>
      <c r="P276" s="68"/>
    </row>
    <row r="277">
      <c r="O277" s="69"/>
      <c r="P277" s="68"/>
    </row>
    <row r="278">
      <c r="O278" s="69"/>
      <c r="P278" s="68"/>
    </row>
    <row r="279">
      <c r="O279" s="69"/>
      <c r="P279" s="68"/>
    </row>
    <row r="280">
      <c r="O280" s="69"/>
      <c r="P280" s="68"/>
    </row>
    <row r="281">
      <c r="O281" s="69"/>
      <c r="P281" s="68"/>
    </row>
    <row r="282">
      <c r="O282" s="69"/>
      <c r="P282" s="68"/>
    </row>
    <row r="283">
      <c r="O283" s="69"/>
      <c r="P283" s="68"/>
    </row>
    <row r="284">
      <c r="O284" s="69"/>
      <c r="P284" s="68"/>
    </row>
    <row r="285">
      <c r="O285" s="69"/>
      <c r="P285" s="68"/>
    </row>
    <row r="286">
      <c r="O286" s="69"/>
      <c r="P286" s="68"/>
    </row>
    <row r="287">
      <c r="O287" s="69"/>
      <c r="P287" s="68"/>
    </row>
    <row r="288">
      <c r="O288" s="69"/>
      <c r="P288" s="68"/>
    </row>
    <row r="289">
      <c r="O289" s="69"/>
      <c r="P289" s="68"/>
    </row>
    <row r="290">
      <c r="O290" s="69"/>
      <c r="P290" s="68"/>
    </row>
    <row r="291">
      <c r="O291" s="69"/>
      <c r="P291" s="68"/>
    </row>
    <row r="292">
      <c r="O292" s="69"/>
      <c r="P292" s="68"/>
    </row>
    <row r="293">
      <c r="O293" s="69"/>
      <c r="P293" s="68"/>
    </row>
    <row r="294">
      <c r="O294" s="69"/>
      <c r="P294" s="68"/>
    </row>
    <row r="295">
      <c r="O295" s="69"/>
      <c r="P295" s="68"/>
    </row>
    <row r="296">
      <c r="O296" s="69"/>
      <c r="P296" s="68"/>
    </row>
    <row r="297">
      <c r="O297" s="69"/>
      <c r="P297" s="68"/>
    </row>
    <row r="298">
      <c r="O298" s="69"/>
      <c r="P298" s="68"/>
    </row>
    <row r="299">
      <c r="O299" s="69"/>
      <c r="P299" s="68"/>
    </row>
    <row r="300">
      <c r="O300" s="69"/>
      <c r="P300" s="68"/>
    </row>
    <row r="301">
      <c r="O301" s="69"/>
      <c r="P301" s="68"/>
    </row>
    <row r="302">
      <c r="O302" s="69"/>
      <c r="P302" s="68"/>
    </row>
    <row r="303">
      <c r="O303" s="69"/>
      <c r="P303" s="68"/>
    </row>
    <row r="304">
      <c r="O304" s="69"/>
      <c r="P304" s="68"/>
    </row>
    <row r="305">
      <c r="O305" s="69"/>
      <c r="P305" s="68"/>
    </row>
    <row r="306">
      <c r="O306" s="69"/>
      <c r="P306" s="68"/>
    </row>
    <row r="307">
      <c r="O307" s="69"/>
      <c r="P307" s="68"/>
    </row>
    <row r="308">
      <c r="O308" s="69"/>
      <c r="P308" s="68"/>
    </row>
    <row r="309">
      <c r="O309" s="69"/>
      <c r="P309" s="68"/>
    </row>
    <row r="310">
      <c r="O310" s="69"/>
      <c r="P310" s="68"/>
    </row>
    <row r="311">
      <c r="O311" s="69"/>
      <c r="P311" s="68"/>
    </row>
    <row r="312">
      <c r="O312" s="69"/>
      <c r="P312" s="68"/>
    </row>
    <row r="313">
      <c r="O313" s="69"/>
      <c r="P313" s="68"/>
    </row>
    <row r="314">
      <c r="O314" s="69"/>
      <c r="P314" s="68"/>
    </row>
    <row r="315">
      <c r="O315" s="69"/>
      <c r="P315" s="68"/>
    </row>
    <row r="316">
      <c r="O316" s="69"/>
      <c r="P316" s="68"/>
    </row>
    <row r="317">
      <c r="O317" s="69"/>
      <c r="P317" s="68"/>
    </row>
    <row r="318">
      <c r="O318" s="69"/>
      <c r="P318" s="68"/>
    </row>
    <row r="319">
      <c r="O319" s="69"/>
      <c r="P319" s="68"/>
    </row>
    <row r="320">
      <c r="O320" s="69"/>
      <c r="P320" s="68"/>
    </row>
    <row r="321">
      <c r="O321" s="69"/>
      <c r="P321" s="68"/>
    </row>
    <row r="322">
      <c r="O322" s="69"/>
      <c r="P322" s="68"/>
    </row>
    <row r="323">
      <c r="O323" s="69"/>
      <c r="P323" s="68"/>
    </row>
    <row r="324">
      <c r="O324" s="69"/>
      <c r="P324" s="68"/>
    </row>
    <row r="325">
      <c r="O325" s="69"/>
      <c r="P325" s="68"/>
    </row>
    <row r="326">
      <c r="O326" s="69"/>
      <c r="P326" s="68"/>
    </row>
    <row r="327">
      <c r="O327" s="69"/>
      <c r="P327" s="68"/>
    </row>
    <row r="328">
      <c r="O328" s="69"/>
      <c r="P328" s="68"/>
    </row>
    <row r="329">
      <c r="O329" s="69"/>
      <c r="P329" s="68"/>
    </row>
    <row r="330">
      <c r="O330" s="69"/>
      <c r="P330" s="68"/>
    </row>
    <row r="331">
      <c r="O331" s="69"/>
      <c r="P331" s="68"/>
    </row>
    <row r="332">
      <c r="O332" s="69"/>
      <c r="P332" s="68"/>
    </row>
    <row r="333">
      <c r="O333" s="69"/>
      <c r="P333" s="68"/>
    </row>
    <row r="334">
      <c r="O334" s="69"/>
      <c r="P334" s="68"/>
    </row>
    <row r="335">
      <c r="O335" s="69"/>
      <c r="P335" s="68"/>
    </row>
    <row r="336">
      <c r="O336" s="69"/>
      <c r="P336" s="68"/>
    </row>
    <row r="337">
      <c r="O337" s="69"/>
      <c r="P337" s="68"/>
    </row>
    <row r="338">
      <c r="O338" s="69"/>
      <c r="P338" s="68"/>
    </row>
    <row r="339">
      <c r="O339" s="69"/>
      <c r="P339" s="68"/>
    </row>
    <row r="340">
      <c r="O340" s="69"/>
      <c r="P340" s="68"/>
    </row>
    <row r="341">
      <c r="O341" s="69"/>
      <c r="P341" s="68"/>
    </row>
    <row r="342">
      <c r="O342" s="69"/>
      <c r="P342" s="68"/>
    </row>
    <row r="343">
      <c r="O343" s="69"/>
      <c r="P343" s="68"/>
    </row>
    <row r="344">
      <c r="O344" s="69"/>
      <c r="P344" s="68"/>
    </row>
    <row r="345">
      <c r="O345" s="69"/>
      <c r="P345" s="68"/>
    </row>
    <row r="346">
      <c r="O346" s="69"/>
      <c r="P346" s="68"/>
    </row>
    <row r="347">
      <c r="O347" s="69"/>
      <c r="P347" s="68"/>
    </row>
    <row r="348">
      <c r="O348" s="69"/>
      <c r="P348" s="68"/>
    </row>
    <row r="349">
      <c r="O349" s="69"/>
      <c r="P349" s="68"/>
    </row>
    <row r="350">
      <c r="O350" s="69"/>
      <c r="P350" s="68"/>
    </row>
    <row r="351">
      <c r="O351" s="69"/>
      <c r="P351" s="68"/>
    </row>
    <row r="352">
      <c r="O352" s="69"/>
      <c r="P352" s="68"/>
    </row>
    <row r="353">
      <c r="O353" s="69"/>
      <c r="P353" s="68"/>
    </row>
    <row r="354">
      <c r="O354" s="69"/>
      <c r="P354" s="68"/>
    </row>
    <row r="355">
      <c r="O355" s="69"/>
      <c r="P355" s="68"/>
    </row>
    <row r="356">
      <c r="O356" s="69"/>
      <c r="P356" s="68"/>
    </row>
    <row r="357">
      <c r="O357" s="69"/>
      <c r="P357" s="68"/>
    </row>
    <row r="358">
      <c r="O358" s="69"/>
      <c r="P358" s="68"/>
    </row>
    <row r="359">
      <c r="O359" s="69"/>
      <c r="P359" s="68"/>
    </row>
    <row r="360">
      <c r="O360" s="69"/>
      <c r="P360" s="68"/>
    </row>
    <row r="361">
      <c r="O361" s="69"/>
      <c r="P361" s="68"/>
    </row>
    <row r="362">
      <c r="O362" s="69"/>
      <c r="P362" s="68"/>
    </row>
    <row r="363">
      <c r="O363" s="69"/>
      <c r="P363" s="68"/>
    </row>
    <row r="364">
      <c r="O364" s="69"/>
      <c r="P364" s="68"/>
    </row>
    <row r="365">
      <c r="O365" s="69"/>
      <c r="P365" s="68"/>
    </row>
    <row r="366">
      <c r="O366" s="69"/>
      <c r="P366" s="68"/>
    </row>
    <row r="367">
      <c r="O367" s="69"/>
      <c r="P367" s="68"/>
    </row>
    <row r="368">
      <c r="O368" s="69"/>
      <c r="P368" s="68"/>
    </row>
    <row r="369">
      <c r="O369" s="69"/>
      <c r="P369" s="68"/>
    </row>
    <row r="370">
      <c r="O370" s="69"/>
      <c r="P370" s="68"/>
    </row>
    <row r="371">
      <c r="O371" s="69"/>
      <c r="P371" s="68"/>
    </row>
    <row r="372">
      <c r="O372" s="69"/>
      <c r="P372" s="68"/>
    </row>
    <row r="373">
      <c r="O373" s="69"/>
      <c r="P373" s="68"/>
    </row>
    <row r="374">
      <c r="O374" s="69"/>
      <c r="P374" s="68"/>
    </row>
    <row r="375">
      <c r="O375" s="69"/>
      <c r="P375" s="68"/>
    </row>
    <row r="376">
      <c r="O376" s="69"/>
      <c r="P376" s="68"/>
    </row>
    <row r="377">
      <c r="O377" s="69"/>
      <c r="P377" s="68"/>
    </row>
    <row r="378">
      <c r="O378" s="69"/>
      <c r="P378" s="68"/>
    </row>
    <row r="379">
      <c r="O379" s="69"/>
      <c r="P379" s="68"/>
    </row>
    <row r="380">
      <c r="O380" s="69"/>
      <c r="P380" s="68"/>
    </row>
    <row r="381">
      <c r="O381" s="69"/>
      <c r="P381" s="68"/>
    </row>
    <row r="382">
      <c r="O382" s="69"/>
      <c r="P382" s="68"/>
    </row>
    <row r="383">
      <c r="O383" s="69"/>
      <c r="P383" s="68"/>
    </row>
    <row r="384">
      <c r="O384" s="69"/>
      <c r="P384" s="68"/>
    </row>
    <row r="385">
      <c r="O385" s="69"/>
      <c r="P385" s="68"/>
    </row>
    <row r="386">
      <c r="O386" s="69"/>
      <c r="P386" s="68"/>
    </row>
    <row r="387">
      <c r="O387" s="69"/>
      <c r="P387" s="68"/>
    </row>
    <row r="388">
      <c r="O388" s="69"/>
      <c r="P388" s="68"/>
    </row>
    <row r="389">
      <c r="O389" s="69"/>
      <c r="P389" s="68"/>
    </row>
    <row r="390">
      <c r="O390" s="69"/>
      <c r="P390" s="68"/>
    </row>
    <row r="391">
      <c r="O391" s="69"/>
      <c r="P391" s="68"/>
    </row>
    <row r="392">
      <c r="O392" s="69"/>
      <c r="P392" s="68"/>
    </row>
    <row r="393">
      <c r="O393" s="69"/>
      <c r="P393" s="68"/>
    </row>
    <row r="394">
      <c r="O394" s="69"/>
      <c r="P394" s="68"/>
    </row>
    <row r="395">
      <c r="O395" s="69"/>
      <c r="P395" s="68"/>
    </row>
    <row r="396">
      <c r="O396" s="69"/>
      <c r="P396" s="68"/>
    </row>
    <row r="397">
      <c r="O397" s="69"/>
      <c r="P397" s="68"/>
    </row>
    <row r="398">
      <c r="O398" s="69"/>
      <c r="P398" s="68"/>
    </row>
    <row r="399">
      <c r="O399" s="69"/>
      <c r="P399" s="68"/>
    </row>
    <row r="400">
      <c r="O400" s="69"/>
      <c r="P400" s="68"/>
    </row>
    <row r="401">
      <c r="O401" s="69"/>
      <c r="P401" s="68"/>
    </row>
    <row r="402">
      <c r="O402" s="69"/>
      <c r="P402" s="68"/>
    </row>
    <row r="403">
      <c r="O403" s="69"/>
      <c r="P403" s="68"/>
    </row>
    <row r="404">
      <c r="O404" s="69"/>
      <c r="P404" s="68"/>
    </row>
    <row r="405">
      <c r="O405" s="69"/>
      <c r="P405" s="68"/>
    </row>
    <row r="406">
      <c r="O406" s="69"/>
      <c r="P406" s="68"/>
    </row>
    <row r="407">
      <c r="O407" s="69"/>
      <c r="P407" s="68"/>
    </row>
    <row r="408">
      <c r="O408" s="69"/>
      <c r="P408" s="68"/>
    </row>
    <row r="409">
      <c r="O409" s="69"/>
      <c r="P409" s="68"/>
    </row>
    <row r="410">
      <c r="O410" s="69"/>
      <c r="P410" s="68"/>
    </row>
    <row r="411">
      <c r="O411" s="69"/>
      <c r="P411" s="68"/>
    </row>
    <row r="412">
      <c r="O412" s="69"/>
      <c r="P412" s="68"/>
    </row>
    <row r="413">
      <c r="O413" s="69"/>
      <c r="P413" s="68"/>
    </row>
    <row r="414">
      <c r="O414" s="69"/>
      <c r="P414" s="68"/>
    </row>
    <row r="415">
      <c r="O415" s="69"/>
      <c r="P415" s="68"/>
    </row>
    <row r="416">
      <c r="O416" s="69"/>
      <c r="P416" s="68"/>
    </row>
    <row r="417">
      <c r="O417" s="69"/>
      <c r="P417" s="68"/>
    </row>
    <row r="418">
      <c r="O418" s="69"/>
      <c r="P418" s="68"/>
    </row>
    <row r="419">
      <c r="O419" s="69"/>
      <c r="P419" s="68"/>
    </row>
    <row r="420">
      <c r="O420" s="69"/>
      <c r="P420" s="68"/>
    </row>
    <row r="421">
      <c r="O421" s="69"/>
      <c r="P421" s="68"/>
    </row>
    <row r="422">
      <c r="O422" s="69"/>
      <c r="P422" s="68"/>
    </row>
    <row r="423">
      <c r="O423" s="69"/>
      <c r="P423" s="68"/>
    </row>
    <row r="424">
      <c r="O424" s="69"/>
      <c r="P424" s="68"/>
    </row>
    <row r="425">
      <c r="O425" s="69"/>
      <c r="P425" s="68"/>
    </row>
    <row r="426">
      <c r="O426" s="69"/>
      <c r="P426" s="68"/>
    </row>
    <row r="427">
      <c r="O427" s="69"/>
      <c r="P427" s="68"/>
    </row>
    <row r="428">
      <c r="O428" s="69"/>
      <c r="P428" s="68"/>
    </row>
    <row r="429">
      <c r="O429" s="69"/>
      <c r="P429" s="68"/>
    </row>
    <row r="430">
      <c r="O430" s="69"/>
      <c r="P430" s="68"/>
    </row>
    <row r="431">
      <c r="O431" s="69"/>
      <c r="P431" s="68"/>
    </row>
    <row r="432">
      <c r="O432" s="69"/>
      <c r="P432" s="68"/>
    </row>
    <row r="433">
      <c r="O433" s="69"/>
      <c r="P433" s="68"/>
    </row>
    <row r="434">
      <c r="O434" s="69"/>
      <c r="P434" s="68"/>
    </row>
    <row r="435">
      <c r="O435" s="69"/>
      <c r="P435" s="68"/>
    </row>
    <row r="436">
      <c r="O436" s="69"/>
      <c r="P436" s="68"/>
    </row>
    <row r="437">
      <c r="O437" s="69"/>
      <c r="P437" s="68"/>
    </row>
    <row r="438">
      <c r="O438" s="69"/>
      <c r="P438" s="68"/>
    </row>
    <row r="439">
      <c r="O439" s="69"/>
      <c r="P439" s="68"/>
    </row>
    <row r="440">
      <c r="O440" s="69"/>
      <c r="P440" s="68"/>
    </row>
    <row r="441">
      <c r="O441" s="69"/>
      <c r="P441" s="68"/>
    </row>
    <row r="442">
      <c r="O442" s="69"/>
      <c r="P442" s="68"/>
    </row>
    <row r="443">
      <c r="O443" s="69"/>
      <c r="P443" s="68"/>
    </row>
    <row r="444">
      <c r="O444" s="69"/>
      <c r="P444" s="68"/>
    </row>
    <row r="445">
      <c r="O445" s="69"/>
      <c r="P445" s="68"/>
    </row>
    <row r="446">
      <c r="O446" s="69"/>
      <c r="P446" s="68"/>
    </row>
    <row r="447">
      <c r="O447" s="69"/>
      <c r="P447" s="68"/>
    </row>
    <row r="448">
      <c r="O448" s="69"/>
      <c r="P448" s="68"/>
    </row>
    <row r="449">
      <c r="O449" s="69"/>
      <c r="P449" s="68"/>
    </row>
    <row r="450">
      <c r="O450" s="69"/>
      <c r="P450" s="68"/>
    </row>
    <row r="451">
      <c r="O451" s="69"/>
      <c r="P451" s="68"/>
    </row>
    <row r="452">
      <c r="O452" s="69"/>
      <c r="P452" s="68"/>
    </row>
    <row r="453">
      <c r="O453" s="69"/>
      <c r="P453" s="68"/>
    </row>
    <row r="454">
      <c r="O454" s="69"/>
      <c r="P454" s="68"/>
    </row>
    <row r="455">
      <c r="O455" s="69"/>
      <c r="P455" s="68"/>
    </row>
    <row r="456">
      <c r="O456" s="69"/>
      <c r="P456" s="68"/>
    </row>
    <row r="457">
      <c r="O457" s="69"/>
      <c r="P457" s="68"/>
    </row>
    <row r="458">
      <c r="O458" s="69"/>
      <c r="P458" s="68"/>
    </row>
    <row r="459">
      <c r="O459" s="69"/>
      <c r="P459" s="68"/>
    </row>
    <row r="460">
      <c r="O460" s="69"/>
      <c r="P460" s="68"/>
    </row>
    <row r="461">
      <c r="O461" s="69"/>
      <c r="P461" s="68"/>
    </row>
    <row r="462">
      <c r="O462" s="69"/>
      <c r="P462" s="68"/>
    </row>
    <row r="463">
      <c r="O463" s="69"/>
      <c r="P463" s="68"/>
    </row>
    <row r="464">
      <c r="O464" s="69"/>
      <c r="P464" s="68"/>
    </row>
    <row r="465">
      <c r="O465" s="69"/>
      <c r="P465" s="68"/>
    </row>
    <row r="466">
      <c r="O466" s="69"/>
      <c r="P466" s="68"/>
    </row>
    <row r="467">
      <c r="O467" s="69"/>
      <c r="P467" s="68"/>
    </row>
    <row r="468">
      <c r="O468" s="69"/>
      <c r="P468" s="68"/>
    </row>
    <row r="469">
      <c r="O469" s="69"/>
      <c r="P469" s="68"/>
    </row>
    <row r="470">
      <c r="O470" s="69"/>
      <c r="P470" s="68"/>
    </row>
    <row r="471">
      <c r="O471" s="69"/>
      <c r="P471" s="68"/>
    </row>
    <row r="472">
      <c r="O472" s="69"/>
      <c r="P472" s="68"/>
    </row>
    <row r="473">
      <c r="O473" s="69"/>
      <c r="P473" s="68"/>
    </row>
    <row r="474">
      <c r="O474" s="69"/>
      <c r="P474" s="68"/>
    </row>
    <row r="475">
      <c r="O475" s="69"/>
      <c r="P475" s="68"/>
    </row>
    <row r="476">
      <c r="O476" s="69"/>
      <c r="P476" s="68"/>
    </row>
    <row r="477">
      <c r="O477" s="69"/>
      <c r="P477" s="68"/>
    </row>
    <row r="478">
      <c r="O478" s="69"/>
      <c r="P478" s="68"/>
    </row>
    <row r="479">
      <c r="O479" s="69"/>
      <c r="P479" s="68"/>
    </row>
    <row r="480">
      <c r="O480" s="69"/>
      <c r="P480" s="68"/>
    </row>
    <row r="481">
      <c r="O481" s="69"/>
      <c r="P481" s="68"/>
    </row>
    <row r="482">
      <c r="O482" s="69"/>
      <c r="P482" s="68"/>
    </row>
    <row r="483">
      <c r="O483" s="69"/>
      <c r="P483" s="68"/>
    </row>
    <row r="484">
      <c r="O484" s="69"/>
      <c r="P484" s="68"/>
    </row>
    <row r="485">
      <c r="O485" s="69"/>
      <c r="P485" s="68"/>
    </row>
    <row r="486">
      <c r="O486" s="69"/>
      <c r="P486" s="68"/>
    </row>
    <row r="487">
      <c r="O487" s="69"/>
      <c r="P487" s="68"/>
    </row>
    <row r="488">
      <c r="O488" s="69"/>
      <c r="P488" s="68"/>
    </row>
    <row r="489">
      <c r="O489" s="69"/>
      <c r="P489" s="68"/>
    </row>
    <row r="490">
      <c r="O490" s="69"/>
      <c r="P490" s="68"/>
    </row>
    <row r="491">
      <c r="O491" s="69"/>
      <c r="P491" s="68"/>
    </row>
    <row r="492">
      <c r="O492" s="69"/>
      <c r="P492" s="68"/>
    </row>
    <row r="493">
      <c r="O493" s="69"/>
      <c r="P493" s="68"/>
    </row>
    <row r="494">
      <c r="O494" s="69"/>
      <c r="P494" s="68"/>
    </row>
    <row r="495">
      <c r="O495" s="69"/>
      <c r="P495" s="68"/>
    </row>
    <row r="496">
      <c r="O496" s="69"/>
      <c r="P496" s="68"/>
    </row>
    <row r="497">
      <c r="O497" s="69"/>
      <c r="P497" s="68"/>
    </row>
    <row r="498">
      <c r="O498" s="69"/>
      <c r="P498" s="68"/>
    </row>
    <row r="499">
      <c r="O499" s="69"/>
      <c r="P499" s="68"/>
    </row>
    <row r="500">
      <c r="O500" s="69"/>
      <c r="P500" s="68"/>
    </row>
    <row r="501">
      <c r="O501" s="69"/>
      <c r="P501" s="68"/>
    </row>
    <row r="502">
      <c r="O502" s="69"/>
      <c r="P502" s="68"/>
    </row>
    <row r="503">
      <c r="O503" s="69"/>
      <c r="P503" s="68"/>
    </row>
    <row r="504">
      <c r="O504" s="69"/>
      <c r="P504" s="68"/>
    </row>
    <row r="505">
      <c r="O505" s="69"/>
      <c r="P505" s="68"/>
    </row>
    <row r="506">
      <c r="O506" s="69"/>
      <c r="P506" s="68"/>
    </row>
    <row r="507">
      <c r="O507" s="69"/>
      <c r="P507" s="68"/>
    </row>
    <row r="508">
      <c r="O508" s="69"/>
      <c r="P508" s="68"/>
    </row>
    <row r="509">
      <c r="O509" s="69"/>
      <c r="P509" s="68"/>
    </row>
    <row r="510">
      <c r="O510" s="69"/>
      <c r="P510" s="68"/>
    </row>
    <row r="511">
      <c r="O511" s="69"/>
      <c r="P511" s="68"/>
    </row>
    <row r="512">
      <c r="O512" s="69"/>
      <c r="P512" s="68"/>
    </row>
    <row r="513">
      <c r="O513" s="69"/>
      <c r="P513" s="68"/>
    </row>
    <row r="514">
      <c r="O514" s="69"/>
      <c r="P514" s="68"/>
    </row>
    <row r="515">
      <c r="O515" s="69"/>
      <c r="P515" s="68"/>
    </row>
    <row r="516">
      <c r="O516" s="69"/>
      <c r="P516" s="68"/>
    </row>
    <row r="517">
      <c r="O517" s="69"/>
      <c r="P517" s="68"/>
    </row>
    <row r="518">
      <c r="O518" s="69"/>
      <c r="P518" s="68"/>
    </row>
    <row r="519">
      <c r="O519" s="69"/>
      <c r="P519" s="68"/>
    </row>
    <row r="520">
      <c r="O520" s="69"/>
      <c r="P520" s="68"/>
    </row>
    <row r="521">
      <c r="O521" s="69"/>
      <c r="P521" s="68"/>
    </row>
    <row r="522">
      <c r="O522" s="69"/>
      <c r="P522" s="68"/>
    </row>
    <row r="523">
      <c r="O523" s="69"/>
      <c r="P523" s="68"/>
    </row>
    <row r="524">
      <c r="O524" s="69"/>
      <c r="P524" s="68"/>
    </row>
    <row r="525">
      <c r="O525" s="69"/>
      <c r="P525" s="68"/>
    </row>
    <row r="526">
      <c r="O526" s="69"/>
      <c r="P526" s="68"/>
    </row>
    <row r="527">
      <c r="O527" s="69"/>
      <c r="P527" s="68"/>
    </row>
    <row r="528">
      <c r="O528" s="69"/>
      <c r="P528" s="68"/>
    </row>
    <row r="529">
      <c r="O529" s="69"/>
      <c r="P529" s="68"/>
    </row>
    <row r="530">
      <c r="O530" s="69"/>
      <c r="P530" s="68"/>
    </row>
    <row r="531">
      <c r="O531" s="69"/>
      <c r="P531" s="68"/>
    </row>
    <row r="532">
      <c r="O532" s="69"/>
      <c r="P532" s="68"/>
    </row>
    <row r="533">
      <c r="O533" s="69"/>
      <c r="P533" s="68"/>
    </row>
    <row r="534">
      <c r="O534" s="69"/>
      <c r="P534" s="68"/>
    </row>
    <row r="535">
      <c r="O535" s="69"/>
      <c r="P535" s="68"/>
    </row>
    <row r="536">
      <c r="O536" s="69"/>
      <c r="P536" s="68"/>
    </row>
    <row r="537">
      <c r="O537" s="69"/>
      <c r="P537" s="68"/>
    </row>
    <row r="538">
      <c r="O538" s="69"/>
      <c r="P538" s="68"/>
    </row>
    <row r="539">
      <c r="O539" s="69"/>
      <c r="P539" s="68"/>
    </row>
    <row r="540">
      <c r="O540" s="69"/>
      <c r="P540" s="68"/>
    </row>
    <row r="541">
      <c r="O541" s="69"/>
      <c r="P541" s="68"/>
    </row>
    <row r="542">
      <c r="O542" s="69"/>
      <c r="P542" s="68"/>
    </row>
    <row r="543">
      <c r="O543" s="69"/>
      <c r="P543" s="68"/>
    </row>
    <row r="544">
      <c r="O544" s="69"/>
      <c r="P544" s="68"/>
    </row>
    <row r="545">
      <c r="O545" s="69"/>
      <c r="P545" s="68"/>
    </row>
    <row r="546">
      <c r="O546" s="69"/>
      <c r="P546" s="68"/>
    </row>
    <row r="547">
      <c r="O547" s="69"/>
      <c r="P547" s="68"/>
    </row>
    <row r="548">
      <c r="O548" s="69"/>
      <c r="P548" s="68"/>
    </row>
    <row r="549">
      <c r="O549" s="69"/>
      <c r="P549" s="68"/>
    </row>
    <row r="550">
      <c r="O550" s="69"/>
      <c r="P550" s="68"/>
    </row>
    <row r="551">
      <c r="O551" s="69"/>
      <c r="P551" s="68"/>
    </row>
    <row r="552">
      <c r="O552" s="69"/>
      <c r="P552" s="68"/>
    </row>
    <row r="553">
      <c r="O553" s="69"/>
      <c r="P553" s="68"/>
    </row>
    <row r="554">
      <c r="O554" s="69"/>
      <c r="P554" s="68"/>
    </row>
    <row r="555">
      <c r="O555" s="69"/>
      <c r="P555" s="68"/>
    </row>
    <row r="556">
      <c r="O556" s="69"/>
      <c r="P556" s="68"/>
    </row>
    <row r="557">
      <c r="O557" s="69"/>
      <c r="P557" s="68"/>
    </row>
    <row r="558">
      <c r="O558" s="69"/>
      <c r="P558" s="68"/>
    </row>
    <row r="559">
      <c r="O559" s="69"/>
      <c r="P559" s="68"/>
    </row>
    <row r="560">
      <c r="O560" s="69"/>
      <c r="P560" s="68"/>
    </row>
    <row r="561">
      <c r="O561" s="69"/>
      <c r="P561" s="68"/>
    </row>
    <row r="562">
      <c r="O562" s="69"/>
      <c r="P562" s="68"/>
    </row>
    <row r="563">
      <c r="O563" s="69"/>
      <c r="P563" s="68"/>
    </row>
    <row r="564">
      <c r="O564" s="69"/>
      <c r="P564" s="68"/>
    </row>
    <row r="565">
      <c r="O565" s="69"/>
      <c r="P565" s="68"/>
    </row>
    <row r="566">
      <c r="O566" s="69"/>
      <c r="P566" s="68"/>
    </row>
    <row r="567">
      <c r="O567" s="69"/>
      <c r="P567" s="68"/>
    </row>
    <row r="568">
      <c r="O568" s="69"/>
      <c r="P568" s="68"/>
    </row>
    <row r="569">
      <c r="O569" s="69"/>
      <c r="P569" s="68"/>
    </row>
    <row r="570">
      <c r="O570" s="69"/>
      <c r="P570" s="68"/>
    </row>
    <row r="571">
      <c r="O571" s="69"/>
      <c r="P571" s="68"/>
    </row>
    <row r="572">
      <c r="O572" s="69"/>
      <c r="P572" s="68"/>
    </row>
    <row r="573">
      <c r="O573" s="69"/>
      <c r="P573" s="68"/>
    </row>
    <row r="574">
      <c r="O574" s="69"/>
      <c r="P574" s="68"/>
    </row>
    <row r="575">
      <c r="O575" s="69"/>
      <c r="P575" s="68"/>
    </row>
    <row r="576">
      <c r="O576" s="69"/>
      <c r="P576" s="68"/>
    </row>
    <row r="577">
      <c r="O577" s="69"/>
      <c r="P577" s="68"/>
    </row>
    <row r="578">
      <c r="O578" s="69"/>
      <c r="P578" s="68"/>
    </row>
    <row r="579">
      <c r="O579" s="69"/>
      <c r="P579" s="68"/>
    </row>
    <row r="580">
      <c r="O580" s="69"/>
      <c r="P580" s="68"/>
    </row>
    <row r="581">
      <c r="O581" s="69"/>
      <c r="P581" s="68"/>
    </row>
    <row r="582">
      <c r="O582" s="69"/>
      <c r="P582" s="68"/>
    </row>
    <row r="583">
      <c r="O583" s="69"/>
      <c r="P583" s="68"/>
    </row>
    <row r="584">
      <c r="O584" s="69"/>
      <c r="P584" s="68"/>
    </row>
    <row r="585">
      <c r="O585" s="69"/>
      <c r="P585" s="68"/>
    </row>
    <row r="586">
      <c r="O586" s="69"/>
      <c r="P586" s="68"/>
    </row>
    <row r="587">
      <c r="O587" s="69"/>
      <c r="P587" s="68"/>
    </row>
    <row r="588">
      <c r="O588" s="69"/>
      <c r="P588" s="68"/>
    </row>
    <row r="589">
      <c r="O589" s="69"/>
      <c r="P589" s="68"/>
    </row>
    <row r="590">
      <c r="O590" s="69"/>
      <c r="P590" s="68"/>
    </row>
    <row r="591">
      <c r="O591" s="69"/>
      <c r="P591" s="68"/>
    </row>
    <row r="592">
      <c r="O592" s="69"/>
      <c r="P592" s="68"/>
    </row>
    <row r="593">
      <c r="O593" s="69"/>
      <c r="P593" s="68"/>
    </row>
    <row r="594">
      <c r="O594" s="69"/>
      <c r="P594" s="68"/>
    </row>
    <row r="595">
      <c r="O595" s="69"/>
      <c r="P595" s="68"/>
    </row>
    <row r="596">
      <c r="O596" s="69"/>
      <c r="P596" s="68"/>
    </row>
    <row r="597">
      <c r="O597" s="69"/>
      <c r="P597" s="68"/>
    </row>
    <row r="598">
      <c r="O598" s="69"/>
      <c r="P598" s="68"/>
    </row>
    <row r="599">
      <c r="O599" s="69"/>
      <c r="P599" s="68"/>
    </row>
    <row r="600">
      <c r="O600" s="69"/>
      <c r="P600" s="68"/>
    </row>
    <row r="601">
      <c r="O601" s="69"/>
      <c r="P601" s="68"/>
    </row>
    <row r="602">
      <c r="O602" s="69"/>
      <c r="P602" s="68"/>
    </row>
    <row r="603">
      <c r="O603" s="69"/>
      <c r="P603" s="68"/>
    </row>
    <row r="604">
      <c r="O604" s="69"/>
      <c r="P604" s="68"/>
    </row>
    <row r="605">
      <c r="O605" s="69"/>
      <c r="P605" s="68"/>
    </row>
    <row r="606">
      <c r="O606" s="69"/>
      <c r="P606" s="68"/>
    </row>
    <row r="607">
      <c r="O607" s="69"/>
      <c r="P607" s="68"/>
    </row>
    <row r="608">
      <c r="O608" s="69"/>
      <c r="P608" s="68"/>
    </row>
    <row r="609">
      <c r="O609" s="69"/>
      <c r="P609" s="68"/>
    </row>
    <row r="610">
      <c r="O610" s="69"/>
      <c r="P610" s="68"/>
    </row>
    <row r="611">
      <c r="O611" s="69"/>
      <c r="P611" s="68"/>
    </row>
    <row r="612">
      <c r="O612" s="69"/>
      <c r="P612" s="68"/>
    </row>
    <row r="613">
      <c r="O613" s="69"/>
      <c r="P613" s="68"/>
    </row>
    <row r="614">
      <c r="O614" s="69"/>
      <c r="P614" s="68"/>
    </row>
    <row r="615">
      <c r="O615" s="69"/>
      <c r="P615" s="68"/>
    </row>
    <row r="616">
      <c r="O616" s="69"/>
      <c r="P616" s="68"/>
    </row>
    <row r="617">
      <c r="O617" s="69"/>
      <c r="P617" s="68"/>
    </row>
    <row r="618">
      <c r="O618" s="69"/>
      <c r="P618" s="68"/>
    </row>
    <row r="619">
      <c r="O619" s="69"/>
      <c r="P619" s="68"/>
    </row>
    <row r="620">
      <c r="O620" s="69"/>
      <c r="P620" s="68"/>
    </row>
    <row r="621">
      <c r="O621" s="69"/>
      <c r="P621" s="68"/>
    </row>
    <row r="622">
      <c r="O622" s="69"/>
      <c r="P622" s="68"/>
    </row>
    <row r="623">
      <c r="O623" s="69"/>
      <c r="P623" s="68"/>
    </row>
    <row r="624">
      <c r="O624" s="69"/>
      <c r="P624" s="68"/>
    </row>
    <row r="625">
      <c r="O625" s="69"/>
      <c r="P625" s="68"/>
    </row>
    <row r="626">
      <c r="O626" s="69"/>
      <c r="P626" s="68"/>
    </row>
    <row r="627">
      <c r="O627" s="69"/>
      <c r="P627" s="68"/>
    </row>
    <row r="628">
      <c r="O628" s="69"/>
      <c r="P628" s="68"/>
    </row>
    <row r="629">
      <c r="O629" s="69"/>
      <c r="P629" s="68"/>
    </row>
    <row r="630">
      <c r="O630" s="69"/>
      <c r="P630" s="68"/>
    </row>
    <row r="631">
      <c r="O631" s="69"/>
      <c r="P631" s="68"/>
    </row>
    <row r="632">
      <c r="O632" s="69"/>
      <c r="P632" s="68"/>
    </row>
    <row r="633">
      <c r="O633" s="69"/>
      <c r="P633" s="68"/>
    </row>
    <row r="634">
      <c r="O634" s="69"/>
      <c r="P634" s="68"/>
    </row>
    <row r="635">
      <c r="O635" s="69"/>
      <c r="P635" s="68"/>
    </row>
    <row r="636">
      <c r="O636" s="69"/>
      <c r="P636" s="68"/>
    </row>
    <row r="637">
      <c r="O637" s="69"/>
      <c r="P637" s="68"/>
    </row>
    <row r="638">
      <c r="O638" s="69"/>
      <c r="P638" s="68"/>
    </row>
    <row r="639">
      <c r="O639" s="69"/>
      <c r="P639" s="68"/>
    </row>
    <row r="640">
      <c r="O640" s="69"/>
      <c r="P640" s="68"/>
    </row>
    <row r="641">
      <c r="O641" s="69"/>
      <c r="P641" s="68"/>
    </row>
    <row r="642">
      <c r="O642" s="69"/>
      <c r="P642" s="68"/>
    </row>
    <row r="643">
      <c r="O643" s="69"/>
      <c r="P643" s="68"/>
    </row>
    <row r="644">
      <c r="O644" s="69"/>
      <c r="P644" s="68"/>
    </row>
    <row r="645">
      <c r="O645" s="69"/>
      <c r="P645" s="68"/>
    </row>
    <row r="646">
      <c r="O646" s="69"/>
      <c r="P646" s="68"/>
    </row>
    <row r="647">
      <c r="O647" s="69"/>
      <c r="P647" s="68"/>
    </row>
    <row r="648">
      <c r="O648" s="69"/>
      <c r="P648" s="68"/>
    </row>
    <row r="649">
      <c r="O649" s="69"/>
      <c r="P649" s="68"/>
    </row>
    <row r="650">
      <c r="O650" s="69"/>
      <c r="P650" s="68"/>
    </row>
    <row r="651">
      <c r="O651" s="69"/>
      <c r="P651" s="68"/>
    </row>
    <row r="652">
      <c r="O652" s="69"/>
      <c r="P652" s="68"/>
    </row>
    <row r="653">
      <c r="O653" s="69"/>
      <c r="P653" s="68"/>
    </row>
    <row r="654">
      <c r="O654" s="69"/>
      <c r="P654" s="68"/>
    </row>
    <row r="655">
      <c r="O655" s="69"/>
      <c r="P655" s="68"/>
    </row>
    <row r="656">
      <c r="O656" s="69"/>
      <c r="P656" s="68"/>
    </row>
    <row r="657">
      <c r="O657" s="69"/>
      <c r="P657" s="68"/>
    </row>
    <row r="658">
      <c r="O658" s="69"/>
      <c r="P658" s="68"/>
    </row>
    <row r="659">
      <c r="O659" s="69"/>
      <c r="P659" s="68"/>
    </row>
    <row r="660">
      <c r="O660" s="69"/>
      <c r="P660" s="68"/>
    </row>
    <row r="661">
      <c r="O661" s="69"/>
      <c r="P661" s="68"/>
    </row>
    <row r="662">
      <c r="O662" s="69"/>
      <c r="P662" s="68"/>
    </row>
    <row r="663">
      <c r="O663" s="69"/>
      <c r="P663" s="68"/>
    </row>
    <row r="664">
      <c r="O664" s="69"/>
      <c r="P664" s="68"/>
    </row>
    <row r="665">
      <c r="O665" s="69"/>
      <c r="P665" s="68"/>
    </row>
    <row r="666">
      <c r="O666" s="69"/>
      <c r="P666" s="68"/>
    </row>
    <row r="667">
      <c r="O667" s="69"/>
      <c r="P667" s="68"/>
    </row>
    <row r="668">
      <c r="O668" s="69"/>
      <c r="P668" s="68"/>
    </row>
    <row r="669">
      <c r="O669" s="69"/>
      <c r="P669" s="68"/>
    </row>
    <row r="670">
      <c r="O670" s="69"/>
      <c r="P670" s="68"/>
    </row>
    <row r="671">
      <c r="O671" s="69"/>
      <c r="P671" s="68"/>
    </row>
    <row r="672">
      <c r="O672" s="69"/>
      <c r="P672" s="68"/>
    </row>
    <row r="673">
      <c r="O673" s="69"/>
      <c r="P673" s="68"/>
    </row>
    <row r="674">
      <c r="O674" s="69"/>
      <c r="P674" s="68"/>
    </row>
    <row r="675">
      <c r="O675" s="69"/>
      <c r="P675" s="68"/>
    </row>
    <row r="676">
      <c r="O676" s="69"/>
      <c r="P676" s="68"/>
    </row>
    <row r="677">
      <c r="O677" s="69"/>
      <c r="P677" s="68"/>
    </row>
    <row r="678">
      <c r="O678" s="69"/>
      <c r="P678" s="68"/>
    </row>
    <row r="679">
      <c r="O679" s="69"/>
      <c r="P679" s="68"/>
    </row>
    <row r="680">
      <c r="O680" s="69"/>
      <c r="P680" s="68"/>
    </row>
    <row r="681">
      <c r="O681" s="69"/>
      <c r="P681" s="68"/>
    </row>
    <row r="682">
      <c r="O682" s="69"/>
      <c r="P682" s="68"/>
    </row>
    <row r="683">
      <c r="O683" s="69"/>
      <c r="P683" s="68"/>
    </row>
    <row r="684">
      <c r="O684" s="69"/>
      <c r="P684" s="68"/>
    </row>
    <row r="685">
      <c r="O685" s="69"/>
      <c r="P685" s="68"/>
    </row>
    <row r="686">
      <c r="O686" s="69"/>
      <c r="P686" s="68"/>
    </row>
    <row r="687">
      <c r="O687" s="69"/>
      <c r="P687" s="68"/>
    </row>
    <row r="688">
      <c r="O688" s="69"/>
      <c r="P688" s="68"/>
    </row>
    <row r="689">
      <c r="O689" s="69"/>
      <c r="P689" s="68"/>
    </row>
    <row r="690">
      <c r="O690" s="69"/>
      <c r="P690" s="68"/>
    </row>
    <row r="691">
      <c r="O691" s="69"/>
      <c r="P691" s="68"/>
    </row>
    <row r="692">
      <c r="O692" s="69"/>
      <c r="P692" s="68"/>
    </row>
    <row r="693">
      <c r="O693" s="69"/>
      <c r="P693" s="68"/>
    </row>
    <row r="694">
      <c r="O694" s="69"/>
      <c r="P694" s="68"/>
    </row>
    <row r="695">
      <c r="O695" s="69"/>
      <c r="P695" s="68"/>
    </row>
    <row r="696">
      <c r="O696" s="69"/>
      <c r="P696" s="68"/>
    </row>
    <row r="697">
      <c r="O697" s="69"/>
      <c r="P697" s="68"/>
    </row>
    <row r="698">
      <c r="O698" s="69"/>
      <c r="P698" s="68"/>
    </row>
    <row r="699">
      <c r="O699" s="69"/>
      <c r="P699" s="68"/>
    </row>
    <row r="700">
      <c r="O700" s="69"/>
      <c r="P700" s="68"/>
    </row>
    <row r="701">
      <c r="O701" s="69"/>
      <c r="P701" s="68"/>
    </row>
    <row r="702">
      <c r="O702" s="69"/>
      <c r="P702" s="68"/>
    </row>
    <row r="703">
      <c r="O703" s="69"/>
      <c r="P703" s="68"/>
    </row>
    <row r="704">
      <c r="O704" s="69"/>
      <c r="P704" s="68"/>
    </row>
    <row r="705">
      <c r="O705" s="69"/>
      <c r="P705" s="68"/>
    </row>
    <row r="706">
      <c r="O706" s="69"/>
      <c r="P706" s="68"/>
    </row>
    <row r="707">
      <c r="O707" s="69"/>
      <c r="P707" s="68"/>
    </row>
    <row r="708">
      <c r="O708" s="69"/>
      <c r="P708" s="68"/>
    </row>
    <row r="709">
      <c r="O709" s="69"/>
      <c r="P709" s="68"/>
    </row>
    <row r="710">
      <c r="O710" s="69"/>
      <c r="P710" s="68"/>
    </row>
    <row r="711">
      <c r="O711" s="69"/>
      <c r="P711" s="68"/>
    </row>
    <row r="712">
      <c r="O712" s="69"/>
      <c r="P712" s="68"/>
    </row>
    <row r="713">
      <c r="O713" s="69"/>
      <c r="P713" s="68"/>
    </row>
    <row r="714">
      <c r="O714" s="69"/>
      <c r="P714" s="68"/>
    </row>
    <row r="715">
      <c r="O715" s="69"/>
      <c r="P715" s="68"/>
    </row>
    <row r="716">
      <c r="O716" s="69"/>
      <c r="P716" s="68"/>
    </row>
    <row r="717">
      <c r="O717" s="69"/>
      <c r="P717" s="68"/>
    </row>
    <row r="718">
      <c r="O718" s="69"/>
      <c r="P718" s="68"/>
    </row>
    <row r="719">
      <c r="O719" s="69"/>
      <c r="P719" s="68"/>
    </row>
    <row r="720">
      <c r="O720" s="69"/>
      <c r="P720" s="68"/>
    </row>
    <row r="721">
      <c r="O721" s="69"/>
      <c r="P721" s="68"/>
    </row>
    <row r="722">
      <c r="O722" s="69"/>
      <c r="P722" s="68"/>
    </row>
    <row r="723">
      <c r="O723" s="69"/>
      <c r="P723" s="68"/>
    </row>
    <row r="724">
      <c r="O724" s="69"/>
      <c r="P724" s="68"/>
    </row>
    <row r="725">
      <c r="O725" s="69"/>
      <c r="P725" s="68"/>
    </row>
    <row r="726">
      <c r="O726" s="69"/>
      <c r="P726" s="68"/>
    </row>
    <row r="727">
      <c r="O727" s="69"/>
      <c r="P727" s="68"/>
    </row>
    <row r="728">
      <c r="O728" s="69"/>
      <c r="P728" s="68"/>
    </row>
    <row r="729">
      <c r="O729" s="69"/>
      <c r="P729" s="68"/>
    </row>
    <row r="730">
      <c r="O730" s="69"/>
      <c r="P730" s="68"/>
    </row>
    <row r="731">
      <c r="O731" s="69"/>
      <c r="P731" s="68"/>
    </row>
    <row r="732">
      <c r="O732" s="69"/>
      <c r="P732" s="68"/>
    </row>
    <row r="733">
      <c r="O733" s="69"/>
      <c r="P733" s="68"/>
    </row>
    <row r="734">
      <c r="O734" s="69"/>
      <c r="P734" s="68"/>
    </row>
    <row r="735">
      <c r="O735" s="69"/>
      <c r="P735" s="68"/>
    </row>
    <row r="736">
      <c r="O736" s="69"/>
      <c r="P736" s="68"/>
    </row>
    <row r="737">
      <c r="O737" s="69"/>
      <c r="P737" s="68"/>
    </row>
    <row r="738">
      <c r="O738" s="69"/>
      <c r="P738" s="68"/>
    </row>
    <row r="739">
      <c r="O739" s="69"/>
      <c r="P739" s="68"/>
    </row>
    <row r="740">
      <c r="O740" s="69"/>
      <c r="P740" s="68"/>
    </row>
    <row r="741">
      <c r="O741" s="69"/>
      <c r="P741" s="68"/>
    </row>
    <row r="742">
      <c r="O742" s="69"/>
      <c r="P742" s="68"/>
    </row>
    <row r="743">
      <c r="O743" s="69"/>
      <c r="P743" s="68"/>
    </row>
    <row r="744">
      <c r="O744" s="69"/>
      <c r="P744" s="68"/>
    </row>
    <row r="745">
      <c r="O745" s="69"/>
      <c r="P745" s="68"/>
    </row>
    <row r="746">
      <c r="O746" s="69"/>
      <c r="P746" s="68"/>
    </row>
    <row r="747">
      <c r="O747" s="69"/>
      <c r="P747" s="68"/>
    </row>
    <row r="748">
      <c r="O748" s="69"/>
      <c r="P748" s="68"/>
    </row>
    <row r="749">
      <c r="O749" s="69"/>
      <c r="P749" s="68"/>
    </row>
    <row r="750">
      <c r="O750" s="69"/>
      <c r="P750" s="68"/>
    </row>
    <row r="751">
      <c r="O751" s="69"/>
      <c r="P751" s="68"/>
    </row>
    <row r="752">
      <c r="O752" s="69"/>
      <c r="P752" s="68"/>
    </row>
    <row r="753">
      <c r="O753" s="69"/>
      <c r="P753" s="68"/>
    </row>
    <row r="754">
      <c r="O754" s="69"/>
      <c r="P754" s="68"/>
    </row>
    <row r="755">
      <c r="O755" s="69"/>
      <c r="P755" s="68"/>
    </row>
    <row r="756">
      <c r="O756" s="69"/>
      <c r="P756" s="68"/>
    </row>
    <row r="757">
      <c r="O757" s="69"/>
      <c r="P757" s="68"/>
    </row>
    <row r="758">
      <c r="O758" s="69"/>
      <c r="P758" s="68"/>
    </row>
    <row r="759">
      <c r="O759" s="69"/>
      <c r="P759" s="68"/>
    </row>
    <row r="760">
      <c r="O760" s="69"/>
      <c r="P760" s="68"/>
    </row>
    <row r="761">
      <c r="O761" s="69"/>
      <c r="P761" s="68"/>
    </row>
    <row r="762">
      <c r="O762" s="69"/>
      <c r="P762" s="68"/>
    </row>
    <row r="763">
      <c r="O763" s="69"/>
      <c r="P763" s="68"/>
    </row>
    <row r="764">
      <c r="O764" s="69"/>
      <c r="P764" s="68"/>
    </row>
    <row r="765">
      <c r="O765" s="69"/>
      <c r="P765" s="68"/>
    </row>
    <row r="766">
      <c r="O766" s="69"/>
      <c r="P766" s="68"/>
    </row>
    <row r="767">
      <c r="O767" s="69"/>
      <c r="P767" s="68"/>
    </row>
    <row r="768">
      <c r="O768" s="69"/>
      <c r="P768" s="68"/>
    </row>
    <row r="769">
      <c r="O769" s="69"/>
      <c r="P769" s="68"/>
    </row>
    <row r="770">
      <c r="O770" s="69"/>
      <c r="P770" s="68"/>
    </row>
    <row r="771">
      <c r="O771" s="69"/>
      <c r="P771" s="68"/>
    </row>
    <row r="772">
      <c r="O772" s="69"/>
      <c r="P772" s="68"/>
    </row>
    <row r="773">
      <c r="O773" s="69"/>
      <c r="P773" s="68"/>
    </row>
    <row r="774">
      <c r="O774" s="69"/>
      <c r="P774" s="68"/>
    </row>
    <row r="775">
      <c r="O775" s="69"/>
      <c r="P775" s="68"/>
    </row>
    <row r="776">
      <c r="O776" s="69"/>
      <c r="P776" s="68"/>
    </row>
    <row r="777">
      <c r="O777" s="69"/>
      <c r="P777" s="68"/>
    </row>
    <row r="778">
      <c r="O778" s="69"/>
      <c r="P778" s="68"/>
    </row>
    <row r="779">
      <c r="O779" s="69"/>
      <c r="P779" s="68"/>
    </row>
    <row r="780">
      <c r="O780" s="69"/>
      <c r="P780" s="68"/>
    </row>
    <row r="781">
      <c r="O781" s="69"/>
      <c r="P781" s="68"/>
    </row>
    <row r="782">
      <c r="O782" s="69"/>
      <c r="P782" s="68"/>
    </row>
    <row r="783">
      <c r="O783" s="69"/>
      <c r="P783" s="68"/>
    </row>
    <row r="784">
      <c r="O784" s="69"/>
      <c r="P784" s="68"/>
    </row>
    <row r="785">
      <c r="O785" s="69"/>
      <c r="P785" s="68"/>
    </row>
    <row r="786">
      <c r="O786" s="69"/>
      <c r="P786" s="68"/>
    </row>
    <row r="787">
      <c r="O787" s="69"/>
      <c r="P787" s="68"/>
    </row>
    <row r="788">
      <c r="O788" s="69"/>
      <c r="P788" s="68"/>
    </row>
    <row r="789">
      <c r="O789" s="69"/>
      <c r="P789" s="68"/>
    </row>
    <row r="790">
      <c r="O790" s="69"/>
      <c r="P790" s="68"/>
    </row>
    <row r="791">
      <c r="O791" s="69"/>
      <c r="P791" s="68"/>
    </row>
    <row r="792">
      <c r="O792" s="69"/>
      <c r="P792" s="68"/>
    </row>
    <row r="793">
      <c r="O793" s="69"/>
      <c r="P793" s="68"/>
    </row>
    <row r="794">
      <c r="O794" s="69"/>
      <c r="P794" s="68"/>
    </row>
    <row r="795">
      <c r="O795" s="69"/>
      <c r="P795" s="68"/>
    </row>
    <row r="796">
      <c r="O796" s="69"/>
      <c r="P796" s="68"/>
    </row>
    <row r="797">
      <c r="O797" s="69"/>
      <c r="P797" s="68"/>
    </row>
    <row r="798">
      <c r="O798" s="69"/>
      <c r="P798" s="68"/>
    </row>
    <row r="799">
      <c r="O799" s="69"/>
      <c r="P799" s="68"/>
    </row>
    <row r="800">
      <c r="O800" s="69"/>
      <c r="P800" s="68"/>
    </row>
    <row r="801">
      <c r="O801" s="69"/>
      <c r="P801" s="68"/>
    </row>
    <row r="802">
      <c r="O802" s="69"/>
      <c r="P802" s="68"/>
    </row>
    <row r="803">
      <c r="O803" s="69"/>
      <c r="P803" s="68"/>
    </row>
    <row r="804">
      <c r="O804" s="69"/>
      <c r="P804" s="68"/>
    </row>
    <row r="805">
      <c r="O805" s="69"/>
      <c r="P805" s="68"/>
    </row>
    <row r="806">
      <c r="O806" s="69"/>
      <c r="P806" s="68"/>
    </row>
    <row r="807">
      <c r="O807" s="69"/>
      <c r="P807" s="68"/>
    </row>
    <row r="808">
      <c r="O808" s="69"/>
      <c r="P808" s="68"/>
    </row>
    <row r="809">
      <c r="O809" s="69"/>
      <c r="P809" s="68"/>
    </row>
    <row r="810">
      <c r="O810" s="69"/>
      <c r="P810" s="68"/>
    </row>
    <row r="811">
      <c r="O811" s="69"/>
      <c r="P811" s="68"/>
    </row>
    <row r="812">
      <c r="O812" s="69"/>
      <c r="P812" s="68"/>
    </row>
    <row r="813">
      <c r="O813" s="69"/>
      <c r="P813" s="68"/>
    </row>
    <row r="814">
      <c r="O814" s="69"/>
      <c r="P814" s="68"/>
    </row>
    <row r="815">
      <c r="O815" s="69"/>
      <c r="P815" s="68"/>
    </row>
    <row r="816">
      <c r="O816" s="69"/>
      <c r="P816" s="68"/>
    </row>
    <row r="817">
      <c r="O817" s="69"/>
      <c r="P817" s="68"/>
    </row>
    <row r="818">
      <c r="O818" s="69"/>
      <c r="P818" s="68"/>
    </row>
    <row r="819">
      <c r="O819" s="69"/>
      <c r="P819" s="68"/>
    </row>
    <row r="820">
      <c r="O820" s="69"/>
      <c r="P820" s="68"/>
    </row>
    <row r="821">
      <c r="O821" s="69"/>
      <c r="P821" s="68"/>
    </row>
    <row r="822">
      <c r="O822" s="69"/>
      <c r="P822" s="68"/>
    </row>
    <row r="823">
      <c r="O823" s="69"/>
      <c r="P823" s="68"/>
    </row>
    <row r="824">
      <c r="O824" s="69"/>
      <c r="P824" s="68"/>
    </row>
    <row r="825">
      <c r="O825" s="69"/>
      <c r="P825" s="68"/>
    </row>
    <row r="826">
      <c r="O826" s="69"/>
      <c r="P826" s="68"/>
    </row>
    <row r="827">
      <c r="O827" s="69"/>
      <c r="P827" s="68"/>
    </row>
    <row r="828">
      <c r="O828" s="69"/>
      <c r="P828" s="68"/>
    </row>
    <row r="829">
      <c r="O829" s="69"/>
      <c r="P829" s="68"/>
    </row>
    <row r="830">
      <c r="O830" s="69"/>
      <c r="P830" s="68"/>
    </row>
    <row r="831">
      <c r="O831" s="69"/>
      <c r="P831" s="68"/>
    </row>
    <row r="832">
      <c r="O832" s="69"/>
      <c r="P832" s="68"/>
    </row>
    <row r="833">
      <c r="O833" s="69"/>
      <c r="P833" s="68"/>
    </row>
    <row r="834">
      <c r="O834" s="69"/>
      <c r="P834" s="68"/>
    </row>
    <row r="835">
      <c r="O835" s="69"/>
      <c r="P835" s="68"/>
    </row>
    <row r="836">
      <c r="O836" s="69"/>
      <c r="P836" s="68"/>
    </row>
    <row r="837">
      <c r="O837" s="69"/>
      <c r="P837" s="68"/>
    </row>
    <row r="838">
      <c r="O838" s="69"/>
      <c r="P838" s="68"/>
    </row>
    <row r="839">
      <c r="O839" s="69"/>
      <c r="P839" s="68"/>
    </row>
    <row r="840">
      <c r="O840" s="69"/>
      <c r="P840" s="68"/>
    </row>
    <row r="841">
      <c r="O841" s="69"/>
      <c r="P841" s="68"/>
    </row>
    <row r="842">
      <c r="O842" s="69"/>
      <c r="P842" s="68"/>
    </row>
    <row r="843">
      <c r="O843" s="69"/>
      <c r="P843" s="68"/>
    </row>
    <row r="844">
      <c r="O844" s="69"/>
      <c r="P844" s="68"/>
    </row>
    <row r="845">
      <c r="O845" s="69"/>
      <c r="P845" s="68"/>
    </row>
    <row r="846">
      <c r="O846" s="69"/>
      <c r="P846" s="68"/>
    </row>
    <row r="847">
      <c r="O847" s="69"/>
      <c r="P847" s="68"/>
    </row>
    <row r="848">
      <c r="O848" s="69"/>
      <c r="P848" s="68"/>
    </row>
    <row r="849">
      <c r="O849" s="69"/>
      <c r="P849" s="68"/>
    </row>
    <row r="850">
      <c r="O850" s="69"/>
      <c r="P850" s="68"/>
    </row>
    <row r="851">
      <c r="O851" s="69"/>
      <c r="P851" s="68"/>
    </row>
    <row r="852">
      <c r="O852" s="69"/>
      <c r="P852" s="68"/>
    </row>
    <row r="853">
      <c r="O853" s="69"/>
      <c r="P853" s="68"/>
    </row>
    <row r="854">
      <c r="O854" s="69"/>
      <c r="P854" s="68"/>
    </row>
    <row r="855">
      <c r="O855" s="69"/>
      <c r="P855" s="68"/>
    </row>
    <row r="856">
      <c r="O856" s="69"/>
      <c r="P856" s="68"/>
    </row>
    <row r="857">
      <c r="O857" s="69"/>
      <c r="P857" s="68"/>
    </row>
    <row r="858">
      <c r="O858" s="69"/>
      <c r="P858" s="68"/>
    </row>
    <row r="859">
      <c r="O859" s="69"/>
      <c r="P859" s="68"/>
    </row>
    <row r="860">
      <c r="O860" s="69"/>
      <c r="P860" s="68"/>
    </row>
    <row r="861">
      <c r="O861" s="69"/>
      <c r="P861" s="68"/>
    </row>
    <row r="862">
      <c r="O862" s="69"/>
      <c r="P862" s="68"/>
    </row>
    <row r="863">
      <c r="O863" s="69"/>
      <c r="P863" s="68"/>
    </row>
    <row r="864">
      <c r="O864" s="69"/>
      <c r="P864" s="68"/>
    </row>
    <row r="865">
      <c r="O865" s="69"/>
      <c r="P865" s="68"/>
    </row>
    <row r="866">
      <c r="O866" s="69"/>
      <c r="P866" s="68"/>
    </row>
    <row r="867">
      <c r="O867" s="69"/>
      <c r="P867" s="68"/>
    </row>
    <row r="868">
      <c r="O868" s="69"/>
      <c r="P868" s="68"/>
    </row>
    <row r="869">
      <c r="O869" s="69"/>
      <c r="P869" s="68"/>
    </row>
    <row r="870">
      <c r="O870" s="69"/>
      <c r="P870" s="68"/>
    </row>
    <row r="871">
      <c r="O871" s="69"/>
      <c r="P871" s="68"/>
    </row>
    <row r="872">
      <c r="O872" s="69"/>
      <c r="P872" s="68"/>
    </row>
    <row r="873">
      <c r="O873" s="69"/>
      <c r="P873" s="68"/>
    </row>
    <row r="874">
      <c r="O874" s="69"/>
      <c r="P874" s="68"/>
    </row>
    <row r="875">
      <c r="O875" s="69"/>
      <c r="P875" s="68"/>
    </row>
    <row r="876">
      <c r="O876" s="69"/>
      <c r="P876" s="68"/>
    </row>
    <row r="877">
      <c r="O877" s="69"/>
      <c r="P877" s="68"/>
    </row>
    <row r="878">
      <c r="O878" s="69"/>
      <c r="P878" s="68"/>
    </row>
    <row r="879">
      <c r="O879" s="69"/>
      <c r="P879" s="68"/>
    </row>
    <row r="880">
      <c r="O880" s="69"/>
      <c r="P880" s="68"/>
    </row>
    <row r="881">
      <c r="O881" s="69"/>
      <c r="P881" s="68"/>
    </row>
    <row r="882">
      <c r="O882" s="69"/>
      <c r="P882" s="68"/>
    </row>
    <row r="883">
      <c r="O883" s="69"/>
      <c r="P883" s="68"/>
    </row>
    <row r="884">
      <c r="O884" s="69"/>
      <c r="P884" s="68"/>
    </row>
    <row r="885">
      <c r="O885" s="69"/>
      <c r="P885" s="68"/>
    </row>
    <row r="886">
      <c r="O886" s="69"/>
      <c r="P886" s="68"/>
    </row>
    <row r="887">
      <c r="O887" s="69"/>
      <c r="P887" s="68"/>
    </row>
    <row r="888">
      <c r="O888" s="69"/>
      <c r="P888" s="68"/>
    </row>
    <row r="889">
      <c r="O889" s="69"/>
      <c r="P889" s="68"/>
    </row>
    <row r="890">
      <c r="O890" s="69"/>
      <c r="P890" s="68"/>
    </row>
    <row r="891">
      <c r="O891" s="69"/>
      <c r="P891" s="68"/>
    </row>
    <row r="892">
      <c r="O892" s="69"/>
      <c r="P892" s="68"/>
    </row>
    <row r="893">
      <c r="O893" s="69"/>
      <c r="P893" s="68"/>
    </row>
    <row r="894">
      <c r="O894" s="69"/>
      <c r="P894" s="68"/>
    </row>
    <row r="895">
      <c r="O895" s="69"/>
      <c r="P895" s="68"/>
    </row>
    <row r="896">
      <c r="O896" s="69"/>
      <c r="P896" s="68"/>
    </row>
    <row r="897">
      <c r="O897" s="69"/>
      <c r="P897" s="68"/>
    </row>
    <row r="898">
      <c r="O898" s="69"/>
      <c r="P898" s="68"/>
    </row>
    <row r="899">
      <c r="O899" s="69"/>
      <c r="P899" s="68"/>
    </row>
    <row r="900">
      <c r="O900" s="69"/>
      <c r="P900" s="68"/>
    </row>
    <row r="901">
      <c r="O901" s="69"/>
      <c r="P901" s="68"/>
    </row>
    <row r="902">
      <c r="O902" s="69"/>
      <c r="P902" s="68"/>
    </row>
    <row r="903">
      <c r="O903" s="69"/>
      <c r="P903" s="68"/>
    </row>
    <row r="904">
      <c r="O904" s="69"/>
      <c r="P904" s="68"/>
    </row>
    <row r="905">
      <c r="O905" s="69"/>
      <c r="P905" s="68"/>
    </row>
    <row r="906">
      <c r="O906" s="69"/>
      <c r="P906" s="68"/>
    </row>
    <row r="907">
      <c r="O907" s="69"/>
      <c r="P907" s="68"/>
    </row>
    <row r="908">
      <c r="O908" s="69"/>
      <c r="P908" s="68"/>
    </row>
    <row r="909">
      <c r="O909" s="69"/>
      <c r="P909" s="68"/>
    </row>
    <row r="910">
      <c r="O910" s="69"/>
      <c r="P910" s="68"/>
    </row>
    <row r="911">
      <c r="O911" s="69"/>
      <c r="P911" s="68"/>
    </row>
    <row r="912">
      <c r="O912" s="69"/>
      <c r="P912" s="68"/>
    </row>
    <row r="913">
      <c r="O913" s="69"/>
      <c r="P913" s="68"/>
    </row>
    <row r="914">
      <c r="O914" s="69"/>
      <c r="P914" s="68"/>
    </row>
    <row r="915">
      <c r="O915" s="69"/>
      <c r="P915" s="68"/>
    </row>
    <row r="916">
      <c r="O916" s="69"/>
      <c r="P916" s="68"/>
    </row>
    <row r="917">
      <c r="O917" s="69"/>
      <c r="P917" s="68"/>
    </row>
    <row r="918">
      <c r="O918" s="69"/>
      <c r="P918" s="68"/>
    </row>
    <row r="919">
      <c r="O919" s="69"/>
      <c r="P919" s="68"/>
    </row>
    <row r="920">
      <c r="O920" s="69"/>
      <c r="P920" s="68"/>
    </row>
    <row r="921">
      <c r="O921" s="69"/>
      <c r="P921" s="68"/>
    </row>
    <row r="922">
      <c r="O922" s="69"/>
      <c r="P922" s="68"/>
    </row>
    <row r="923">
      <c r="O923" s="69"/>
      <c r="P923" s="68"/>
    </row>
    <row r="924">
      <c r="O924" s="69"/>
      <c r="P924" s="68"/>
    </row>
    <row r="925">
      <c r="O925" s="69"/>
      <c r="P925" s="68"/>
    </row>
    <row r="926">
      <c r="O926" s="69"/>
      <c r="P926" s="68"/>
    </row>
    <row r="927">
      <c r="O927" s="69"/>
      <c r="P927" s="68"/>
    </row>
    <row r="928">
      <c r="O928" s="69"/>
      <c r="P928" s="68"/>
    </row>
    <row r="929">
      <c r="O929" s="69"/>
      <c r="P929" s="68"/>
    </row>
    <row r="930">
      <c r="O930" s="69"/>
      <c r="P930" s="68"/>
    </row>
    <row r="931">
      <c r="O931" s="69"/>
      <c r="P931" s="68"/>
    </row>
    <row r="932">
      <c r="O932" s="69"/>
      <c r="P932" s="68"/>
    </row>
    <row r="933">
      <c r="O933" s="69"/>
      <c r="P933" s="68"/>
    </row>
    <row r="934">
      <c r="O934" s="69"/>
      <c r="P934" s="68"/>
    </row>
    <row r="935">
      <c r="O935" s="69"/>
      <c r="P935" s="68"/>
    </row>
    <row r="936">
      <c r="O936" s="69"/>
      <c r="P936" s="68"/>
    </row>
    <row r="937">
      <c r="O937" s="69"/>
      <c r="P937" s="68"/>
    </row>
    <row r="938">
      <c r="O938" s="69"/>
      <c r="P938" s="68"/>
    </row>
    <row r="939">
      <c r="O939" s="69"/>
      <c r="P939" s="68"/>
    </row>
    <row r="940">
      <c r="O940" s="69"/>
      <c r="P940" s="68"/>
    </row>
    <row r="941">
      <c r="O941" s="69"/>
      <c r="P941" s="68"/>
    </row>
    <row r="942">
      <c r="O942" s="69"/>
      <c r="P942" s="68"/>
    </row>
    <row r="943">
      <c r="O943" s="69"/>
      <c r="P943" s="68"/>
    </row>
    <row r="944">
      <c r="O944" s="69"/>
      <c r="P944" s="68"/>
    </row>
    <row r="945">
      <c r="O945" s="69"/>
      <c r="P945" s="68"/>
    </row>
    <row r="946">
      <c r="O946" s="69"/>
      <c r="P946" s="68"/>
    </row>
    <row r="947">
      <c r="O947" s="69"/>
      <c r="P947" s="68"/>
    </row>
    <row r="948">
      <c r="O948" s="69"/>
      <c r="P948" s="68"/>
    </row>
    <row r="949">
      <c r="O949" s="69"/>
      <c r="P949" s="68"/>
    </row>
    <row r="950">
      <c r="O950" s="69"/>
      <c r="P950" s="68"/>
    </row>
    <row r="951">
      <c r="O951" s="69"/>
      <c r="P951" s="68"/>
    </row>
    <row r="952">
      <c r="O952" s="69"/>
      <c r="P952" s="68"/>
    </row>
    <row r="953">
      <c r="O953" s="69"/>
      <c r="P953" s="68"/>
    </row>
    <row r="954">
      <c r="O954" s="69"/>
      <c r="P954" s="68"/>
    </row>
    <row r="955">
      <c r="O955" s="69"/>
      <c r="P955" s="68"/>
    </row>
    <row r="956">
      <c r="O956" s="69"/>
      <c r="P956" s="68"/>
    </row>
    <row r="957">
      <c r="O957" s="69"/>
      <c r="P957" s="68"/>
    </row>
    <row r="958">
      <c r="O958" s="69"/>
      <c r="P958" s="68"/>
    </row>
    <row r="959">
      <c r="O959" s="69"/>
      <c r="P959" s="68"/>
    </row>
    <row r="960">
      <c r="O960" s="69"/>
      <c r="P960" s="68"/>
    </row>
    <row r="961">
      <c r="O961" s="69"/>
      <c r="P961" s="68"/>
    </row>
    <row r="962">
      <c r="O962" s="69"/>
      <c r="P962" s="68"/>
    </row>
    <row r="963">
      <c r="O963" s="69"/>
      <c r="P963" s="68"/>
    </row>
    <row r="964">
      <c r="O964" s="69"/>
      <c r="P964" s="68"/>
    </row>
    <row r="965">
      <c r="O965" s="69"/>
      <c r="P965" s="68"/>
    </row>
    <row r="966">
      <c r="O966" s="69"/>
      <c r="P966" s="68"/>
    </row>
    <row r="967">
      <c r="O967" s="69"/>
      <c r="P967" s="68"/>
    </row>
    <row r="968">
      <c r="O968" s="69"/>
      <c r="P968" s="68"/>
    </row>
    <row r="969">
      <c r="O969" s="69"/>
      <c r="P969" s="68"/>
    </row>
    <row r="970">
      <c r="O970" s="69"/>
      <c r="P970" s="68"/>
    </row>
    <row r="971">
      <c r="O971" s="69"/>
      <c r="P971" s="68"/>
    </row>
    <row r="972">
      <c r="O972" s="69"/>
      <c r="P972" s="68"/>
    </row>
    <row r="973">
      <c r="O973" s="69"/>
      <c r="P973" s="68"/>
    </row>
    <row r="974">
      <c r="O974" s="69"/>
      <c r="P974" s="68"/>
    </row>
    <row r="975">
      <c r="O975" s="69"/>
      <c r="P975" s="68"/>
    </row>
    <row r="976">
      <c r="O976" s="69"/>
      <c r="P976" s="68"/>
    </row>
    <row r="977">
      <c r="O977" s="69"/>
      <c r="P977" s="68"/>
    </row>
    <row r="978">
      <c r="O978" s="69"/>
      <c r="P978" s="68"/>
    </row>
    <row r="979">
      <c r="O979" s="69"/>
      <c r="P979" s="68"/>
    </row>
    <row r="980">
      <c r="O980" s="69"/>
      <c r="P980" s="68"/>
    </row>
    <row r="981">
      <c r="O981" s="69"/>
      <c r="P981" s="68"/>
    </row>
    <row r="982">
      <c r="O982" s="69"/>
      <c r="P982" s="68"/>
    </row>
    <row r="983">
      <c r="O983" s="69"/>
      <c r="P983" s="68"/>
    </row>
    <row r="984">
      <c r="O984" s="69"/>
      <c r="P984" s="68"/>
    </row>
    <row r="985">
      <c r="O985" s="69"/>
      <c r="P985" s="68"/>
    </row>
    <row r="986">
      <c r="O986" s="69"/>
      <c r="P986" s="68"/>
    </row>
    <row r="987">
      <c r="O987" s="69"/>
      <c r="P987" s="68"/>
    </row>
    <row r="988">
      <c r="O988" s="69"/>
      <c r="P988" s="68"/>
    </row>
    <row r="989">
      <c r="O989" s="69"/>
      <c r="P989" s="68"/>
    </row>
    <row r="990">
      <c r="O990" s="69"/>
      <c r="P990" s="68"/>
    </row>
    <row r="991">
      <c r="O991" s="69"/>
      <c r="P991" s="68"/>
    </row>
    <row r="992">
      <c r="O992" s="69"/>
      <c r="P992" s="68"/>
    </row>
    <row r="993">
      <c r="O993" s="69"/>
      <c r="P993" s="68"/>
    </row>
    <row r="994">
      <c r="O994" s="69"/>
      <c r="P994" s="68"/>
    </row>
    <row r="995">
      <c r="O995" s="69"/>
      <c r="P995" s="68"/>
    </row>
    <row r="996">
      <c r="O996" s="69"/>
      <c r="P996" s="68"/>
    </row>
    <row r="997">
      <c r="O997" s="69"/>
      <c r="P997" s="68"/>
    </row>
    <row r="998">
      <c r="O998" s="69"/>
      <c r="P998" s="68"/>
    </row>
    <row r="999">
      <c r="O999" s="69"/>
      <c r="P999" s="68"/>
    </row>
    <row r="1000">
      <c r="O1000" s="69"/>
      <c r="P1000" s="68"/>
    </row>
    <row r="1001">
      <c r="O1001" s="69"/>
      <c r="P1001" s="68"/>
    </row>
  </sheetData>
  <mergeCells count="690">
    <mergeCell ref="D9:F9"/>
    <mergeCell ref="G9:H9"/>
    <mergeCell ref="B10:C10"/>
    <mergeCell ref="D10:F10"/>
    <mergeCell ref="G10:H10"/>
    <mergeCell ref="D11:F11"/>
    <mergeCell ref="G11:H11"/>
    <mergeCell ref="B11:C11"/>
    <mergeCell ref="B12:C12"/>
    <mergeCell ref="D12:F12"/>
    <mergeCell ref="G12:H12"/>
    <mergeCell ref="I12:J12"/>
    <mergeCell ref="K12:L12"/>
    <mergeCell ref="M12:N12"/>
    <mergeCell ref="E3:E4"/>
    <mergeCell ref="F3:H3"/>
    <mergeCell ref="F4:G4"/>
    <mergeCell ref="C5:D5"/>
    <mergeCell ref="F5:G5"/>
    <mergeCell ref="I3:K3"/>
    <mergeCell ref="L3:N3"/>
    <mergeCell ref="J4:K4"/>
    <mergeCell ref="L4:M4"/>
    <mergeCell ref="J5:K5"/>
    <mergeCell ref="L5:M5"/>
    <mergeCell ref="B1:H1"/>
    <mergeCell ref="J1:N1"/>
    <mergeCell ref="B2:H2"/>
    <mergeCell ref="J2:N2"/>
    <mergeCell ref="A3:A4"/>
    <mergeCell ref="B3:B4"/>
    <mergeCell ref="C3:D4"/>
    <mergeCell ref="I9:J9"/>
    <mergeCell ref="K9:L9"/>
    <mergeCell ref="I10:J10"/>
    <mergeCell ref="K10:L10"/>
    <mergeCell ref="M10:N10"/>
    <mergeCell ref="I11:J11"/>
    <mergeCell ref="K11:L11"/>
    <mergeCell ref="M11:N11"/>
    <mergeCell ref="A6:N6"/>
    <mergeCell ref="A7:N7"/>
    <mergeCell ref="A8:A9"/>
    <mergeCell ref="B8:F8"/>
    <mergeCell ref="G8:J8"/>
    <mergeCell ref="K8:N8"/>
    <mergeCell ref="B9:C9"/>
    <mergeCell ref="M9:N9"/>
    <mergeCell ref="I14:J14"/>
    <mergeCell ref="K14:L14"/>
    <mergeCell ref="B13:C13"/>
    <mergeCell ref="D13:F13"/>
    <mergeCell ref="G13:H13"/>
    <mergeCell ref="I13:J13"/>
    <mergeCell ref="K13:L13"/>
    <mergeCell ref="M13:N13"/>
    <mergeCell ref="B14:C14"/>
    <mergeCell ref="M14:N14"/>
    <mergeCell ref="D14:F14"/>
    <mergeCell ref="G14:H14"/>
    <mergeCell ref="D15:F15"/>
    <mergeCell ref="G15:H15"/>
    <mergeCell ref="I15:J15"/>
    <mergeCell ref="K15:L15"/>
    <mergeCell ref="M15:N15"/>
    <mergeCell ref="B15:C15"/>
    <mergeCell ref="B16:C16"/>
    <mergeCell ref="D16:F16"/>
    <mergeCell ref="G16:H16"/>
    <mergeCell ref="I16:J16"/>
    <mergeCell ref="K16:L16"/>
    <mergeCell ref="M16:N16"/>
    <mergeCell ref="I18:J18"/>
    <mergeCell ref="K18:L18"/>
    <mergeCell ref="I19:J19"/>
    <mergeCell ref="K19:L19"/>
    <mergeCell ref="M19:N19"/>
    <mergeCell ref="I20:J20"/>
    <mergeCell ref="K20:L20"/>
    <mergeCell ref="M20:N20"/>
    <mergeCell ref="B17:C17"/>
    <mergeCell ref="D17:F17"/>
    <mergeCell ref="G17:H17"/>
    <mergeCell ref="I17:J17"/>
    <mergeCell ref="K17:L17"/>
    <mergeCell ref="M17:N17"/>
    <mergeCell ref="B18:C18"/>
    <mergeCell ref="M18:N18"/>
    <mergeCell ref="D18:F18"/>
    <mergeCell ref="G18:H18"/>
    <mergeCell ref="B19:C19"/>
    <mergeCell ref="D19:F19"/>
    <mergeCell ref="G19:H19"/>
    <mergeCell ref="D20:F20"/>
    <mergeCell ref="G20:H20"/>
    <mergeCell ref="B20:C20"/>
    <mergeCell ref="B21:C21"/>
    <mergeCell ref="D21:F21"/>
    <mergeCell ref="G21:H21"/>
    <mergeCell ref="I21:J21"/>
    <mergeCell ref="K21:L21"/>
    <mergeCell ref="M21:N21"/>
    <mergeCell ref="F33:H33"/>
    <mergeCell ref="F34:G34"/>
    <mergeCell ref="B31:H31"/>
    <mergeCell ref="B32:H32"/>
    <mergeCell ref="A33:A34"/>
    <mergeCell ref="B33:B34"/>
    <mergeCell ref="E33:E34"/>
    <mergeCell ref="I33:K33"/>
    <mergeCell ref="J34:K34"/>
    <mergeCell ref="B39:C39"/>
    <mergeCell ref="D39:F39"/>
    <mergeCell ref="D40:F40"/>
    <mergeCell ref="G40:H40"/>
    <mergeCell ref="I40:J40"/>
    <mergeCell ref="K40:L40"/>
    <mergeCell ref="M40:N40"/>
    <mergeCell ref="B40:C40"/>
    <mergeCell ref="B41:C41"/>
    <mergeCell ref="D41:F41"/>
    <mergeCell ref="G41:H41"/>
    <mergeCell ref="I41:J41"/>
    <mergeCell ref="K41:L41"/>
    <mergeCell ref="M41:N41"/>
    <mergeCell ref="D43:F43"/>
    <mergeCell ref="G43:H43"/>
    <mergeCell ref="B42:C42"/>
    <mergeCell ref="D42:F42"/>
    <mergeCell ref="G42:H42"/>
    <mergeCell ref="I42:J42"/>
    <mergeCell ref="K42:L42"/>
    <mergeCell ref="M42:N42"/>
    <mergeCell ref="B43:C43"/>
    <mergeCell ref="M43:N43"/>
    <mergeCell ref="I43:J43"/>
    <mergeCell ref="K43:L43"/>
    <mergeCell ref="D44:F44"/>
    <mergeCell ref="G44:H44"/>
    <mergeCell ref="I44:J44"/>
    <mergeCell ref="K44:L44"/>
    <mergeCell ref="M44:N44"/>
    <mergeCell ref="B44:C44"/>
    <mergeCell ref="B45:C45"/>
    <mergeCell ref="D45:F45"/>
    <mergeCell ref="G45:H45"/>
    <mergeCell ref="I45:J45"/>
    <mergeCell ref="K45:L45"/>
    <mergeCell ref="M45:N45"/>
    <mergeCell ref="G38:J38"/>
    <mergeCell ref="K38:N38"/>
    <mergeCell ref="G39:H39"/>
    <mergeCell ref="I39:J39"/>
    <mergeCell ref="K39:L39"/>
    <mergeCell ref="M39:N39"/>
    <mergeCell ref="C33:D34"/>
    <mergeCell ref="C35:D35"/>
    <mergeCell ref="F35:G35"/>
    <mergeCell ref="A36:N36"/>
    <mergeCell ref="A37:N37"/>
    <mergeCell ref="A38:A39"/>
    <mergeCell ref="B38:F38"/>
    <mergeCell ref="B22:C22"/>
    <mergeCell ref="D22:F22"/>
    <mergeCell ref="G22:H22"/>
    <mergeCell ref="I22:J22"/>
    <mergeCell ref="K22:L22"/>
    <mergeCell ref="M22:N22"/>
    <mergeCell ref="B23:C23"/>
    <mergeCell ref="M23:N23"/>
    <mergeCell ref="B27:C27"/>
    <mergeCell ref="D27:F27"/>
    <mergeCell ref="G27:H27"/>
    <mergeCell ref="I27:J27"/>
    <mergeCell ref="K27:L27"/>
    <mergeCell ref="M27:N27"/>
    <mergeCell ref="B25:C25"/>
    <mergeCell ref="B26:C26"/>
    <mergeCell ref="D26:F26"/>
    <mergeCell ref="G26:H26"/>
    <mergeCell ref="I26:J26"/>
    <mergeCell ref="K26:L26"/>
    <mergeCell ref="M26:N26"/>
    <mergeCell ref="M25:N25"/>
    <mergeCell ref="J31:N31"/>
    <mergeCell ref="J32:N32"/>
    <mergeCell ref="L33:N33"/>
    <mergeCell ref="L34:M34"/>
    <mergeCell ref="J35:K35"/>
    <mergeCell ref="L35:M35"/>
    <mergeCell ref="I23:J23"/>
    <mergeCell ref="K23:L23"/>
    <mergeCell ref="I24:J24"/>
    <mergeCell ref="K24:L24"/>
    <mergeCell ref="M24:N24"/>
    <mergeCell ref="I25:J25"/>
    <mergeCell ref="K25:L25"/>
    <mergeCell ref="D23:F23"/>
    <mergeCell ref="G23:H23"/>
    <mergeCell ref="B24:C24"/>
    <mergeCell ref="D24:F24"/>
    <mergeCell ref="G24:H24"/>
    <mergeCell ref="D25:F25"/>
    <mergeCell ref="G25:H25"/>
    <mergeCell ref="I62:K62"/>
    <mergeCell ref="L62:N62"/>
    <mergeCell ref="D47:F47"/>
    <mergeCell ref="G47:H47"/>
    <mergeCell ref="B46:C46"/>
    <mergeCell ref="D46:F46"/>
    <mergeCell ref="G46:H46"/>
    <mergeCell ref="I46:J46"/>
    <mergeCell ref="K46:L46"/>
    <mergeCell ref="M46:N46"/>
    <mergeCell ref="B47:C47"/>
    <mergeCell ref="M47:N47"/>
    <mergeCell ref="I47:J47"/>
    <mergeCell ref="K47:L47"/>
    <mergeCell ref="D48:F48"/>
    <mergeCell ref="G48:H48"/>
    <mergeCell ref="I48:J48"/>
    <mergeCell ref="K48:L48"/>
    <mergeCell ref="M48:N48"/>
    <mergeCell ref="B48:C48"/>
    <mergeCell ref="B49:C49"/>
    <mergeCell ref="D49:F49"/>
    <mergeCell ref="G49:H49"/>
    <mergeCell ref="I49:J49"/>
    <mergeCell ref="K49:L49"/>
    <mergeCell ref="M49:N49"/>
    <mergeCell ref="D51:F51"/>
    <mergeCell ref="G51:H51"/>
    <mergeCell ref="B50:C50"/>
    <mergeCell ref="D50:F50"/>
    <mergeCell ref="G50:H50"/>
    <mergeCell ref="I50:J50"/>
    <mergeCell ref="K50:L50"/>
    <mergeCell ref="M50:N50"/>
    <mergeCell ref="B51:C51"/>
    <mergeCell ref="M51:N51"/>
    <mergeCell ref="I51:J51"/>
    <mergeCell ref="K51:L51"/>
    <mergeCell ref="D52:F52"/>
    <mergeCell ref="G52:H52"/>
    <mergeCell ref="I52:J52"/>
    <mergeCell ref="K52:L52"/>
    <mergeCell ref="M52:N52"/>
    <mergeCell ref="B52:C52"/>
    <mergeCell ref="B53:C53"/>
    <mergeCell ref="D53:F53"/>
    <mergeCell ref="G53:H53"/>
    <mergeCell ref="I53:J53"/>
    <mergeCell ref="K53:L53"/>
    <mergeCell ref="M53:N53"/>
    <mergeCell ref="D55:F55"/>
    <mergeCell ref="G55:H55"/>
    <mergeCell ref="B54:C54"/>
    <mergeCell ref="D54:F54"/>
    <mergeCell ref="G54:H54"/>
    <mergeCell ref="I54:J54"/>
    <mergeCell ref="K54:L54"/>
    <mergeCell ref="M54:N54"/>
    <mergeCell ref="B55:C55"/>
    <mergeCell ref="M55:N55"/>
    <mergeCell ref="I55:J55"/>
    <mergeCell ref="K55:L55"/>
    <mergeCell ref="D56:F56"/>
    <mergeCell ref="G56:H56"/>
    <mergeCell ref="I56:J56"/>
    <mergeCell ref="K56:L56"/>
    <mergeCell ref="M56:N56"/>
    <mergeCell ref="B56:C56"/>
    <mergeCell ref="B57:C57"/>
    <mergeCell ref="D57:F57"/>
    <mergeCell ref="G57:H57"/>
    <mergeCell ref="I57:J57"/>
    <mergeCell ref="K57:L57"/>
    <mergeCell ref="M57:N57"/>
    <mergeCell ref="E62:E63"/>
    <mergeCell ref="F62:H62"/>
    <mergeCell ref="F63:G63"/>
    <mergeCell ref="C64:D64"/>
    <mergeCell ref="F64:G64"/>
    <mergeCell ref="J63:K63"/>
    <mergeCell ref="L63:M63"/>
    <mergeCell ref="J64:K64"/>
    <mergeCell ref="L64:M64"/>
    <mergeCell ref="B60:H60"/>
    <mergeCell ref="J60:N60"/>
    <mergeCell ref="B61:H61"/>
    <mergeCell ref="J61:N61"/>
    <mergeCell ref="A62:A63"/>
    <mergeCell ref="B62:B63"/>
    <mergeCell ref="C62:D63"/>
    <mergeCell ref="I68:J68"/>
    <mergeCell ref="K68:L68"/>
    <mergeCell ref="I69:J69"/>
    <mergeCell ref="K69:L69"/>
    <mergeCell ref="M69:N69"/>
    <mergeCell ref="I70:J70"/>
    <mergeCell ref="K70:L70"/>
    <mergeCell ref="M70:N70"/>
    <mergeCell ref="A65:N65"/>
    <mergeCell ref="A66:N66"/>
    <mergeCell ref="A67:A68"/>
    <mergeCell ref="B67:F67"/>
    <mergeCell ref="G67:J67"/>
    <mergeCell ref="K67:N67"/>
    <mergeCell ref="B68:C68"/>
    <mergeCell ref="M68:N68"/>
    <mergeCell ref="D68:F68"/>
    <mergeCell ref="G68:H68"/>
    <mergeCell ref="B69:C69"/>
    <mergeCell ref="D69:F69"/>
    <mergeCell ref="G69:H69"/>
    <mergeCell ref="D70:F70"/>
    <mergeCell ref="G70:H70"/>
    <mergeCell ref="B70:C70"/>
    <mergeCell ref="B71:C71"/>
    <mergeCell ref="D71:F71"/>
    <mergeCell ref="G71:H71"/>
    <mergeCell ref="I71:J71"/>
    <mergeCell ref="K71:L71"/>
    <mergeCell ref="M71:N71"/>
    <mergeCell ref="D78:F78"/>
    <mergeCell ref="G78:H78"/>
    <mergeCell ref="B79:C79"/>
    <mergeCell ref="D79:F79"/>
    <mergeCell ref="G79:H79"/>
    <mergeCell ref="D80:F80"/>
    <mergeCell ref="G80:H80"/>
    <mergeCell ref="B80:C80"/>
    <mergeCell ref="B81:C81"/>
    <mergeCell ref="D81:F81"/>
    <mergeCell ref="G81:H81"/>
    <mergeCell ref="I81:J81"/>
    <mergeCell ref="K81:L81"/>
    <mergeCell ref="M81:N81"/>
    <mergeCell ref="D83:F83"/>
    <mergeCell ref="G83:H83"/>
    <mergeCell ref="B82:C82"/>
    <mergeCell ref="D82:F82"/>
    <mergeCell ref="G82:H82"/>
    <mergeCell ref="I82:J82"/>
    <mergeCell ref="K82:L82"/>
    <mergeCell ref="M82:N82"/>
    <mergeCell ref="B83:C83"/>
    <mergeCell ref="M83:N83"/>
    <mergeCell ref="I83:J83"/>
    <mergeCell ref="K83:L83"/>
    <mergeCell ref="D84:F84"/>
    <mergeCell ref="G84:H84"/>
    <mergeCell ref="I84:J84"/>
    <mergeCell ref="K84:L84"/>
    <mergeCell ref="M84:N84"/>
    <mergeCell ref="B84:C84"/>
    <mergeCell ref="B85:C85"/>
    <mergeCell ref="D85:F85"/>
    <mergeCell ref="G85:H85"/>
    <mergeCell ref="I85:J85"/>
    <mergeCell ref="K85:L85"/>
    <mergeCell ref="M85:N85"/>
    <mergeCell ref="I73:J73"/>
    <mergeCell ref="K73:L73"/>
    <mergeCell ref="I74:J74"/>
    <mergeCell ref="K74:L74"/>
    <mergeCell ref="M74:N74"/>
    <mergeCell ref="I75:J75"/>
    <mergeCell ref="K75:L75"/>
    <mergeCell ref="M75:N75"/>
    <mergeCell ref="B72:C72"/>
    <mergeCell ref="D72:F72"/>
    <mergeCell ref="G72:H72"/>
    <mergeCell ref="I72:J72"/>
    <mergeCell ref="K72:L72"/>
    <mergeCell ref="M72:N72"/>
    <mergeCell ref="B73:C73"/>
    <mergeCell ref="M73:N73"/>
    <mergeCell ref="D73:F73"/>
    <mergeCell ref="G73:H73"/>
    <mergeCell ref="B74:C74"/>
    <mergeCell ref="D74:F74"/>
    <mergeCell ref="G74:H74"/>
    <mergeCell ref="D75:F75"/>
    <mergeCell ref="G75:H75"/>
    <mergeCell ref="B75:C75"/>
    <mergeCell ref="B76:C76"/>
    <mergeCell ref="D76:F76"/>
    <mergeCell ref="G76:H76"/>
    <mergeCell ref="I76:J76"/>
    <mergeCell ref="K76:L76"/>
    <mergeCell ref="M76:N76"/>
    <mergeCell ref="I78:J78"/>
    <mergeCell ref="K78:L78"/>
    <mergeCell ref="I79:J79"/>
    <mergeCell ref="K79:L79"/>
    <mergeCell ref="M79:N79"/>
    <mergeCell ref="I80:J80"/>
    <mergeCell ref="K80:L80"/>
    <mergeCell ref="M80:N80"/>
    <mergeCell ref="B77:C77"/>
    <mergeCell ref="D77:F77"/>
    <mergeCell ref="G77:H77"/>
    <mergeCell ref="I77:J77"/>
    <mergeCell ref="K77:L77"/>
    <mergeCell ref="M77:N77"/>
    <mergeCell ref="B78:C78"/>
    <mergeCell ref="M78:N78"/>
    <mergeCell ref="F91:H91"/>
    <mergeCell ref="I91:K91"/>
    <mergeCell ref="D97:F97"/>
    <mergeCell ref="G97:H97"/>
    <mergeCell ref="B98:C98"/>
    <mergeCell ref="D98:F98"/>
    <mergeCell ref="G98:H98"/>
    <mergeCell ref="D99:F99"/>
    <mergeCell ref="G99:H99"/>
    <mergeCell ref="B99:C99"/>
    <mergeCell ref="B100:C100"/>
    <mergeCell ref="D100:F100"/>
    <mergeCell ref="G100:H100"/>
    <mergeCell ref="I100:J100"/>
    <mergeCell ref="K100:L100"/>
    <mergeCell ref="M100:N100"/>
    <mergeCell ref="B86:C86"/>
    <mergeCell ref="D86:F86"/>
    <mergeCell ref="G86:H86"/>
    <mergeCell ref="I86:J86"/>
    <mergeCell ref="K86:L86"/>
    <mergeCell ref="M86:N86"/>
    <mergeCell ref="J89:N89"/>
    <mergeCell ref="E91:E92"/>
    <mergeCell ref="F92:G92"/>
    <mergeCell ref="C93:D93"/>
    <mergeCell ref="F93:G93"/>
    <mergeCell ref="J92:K92"/>
    <mergeCell ref="L92:M92"/>
    <mergeCell ref="J93:K93"/>
    <mergeCell ref="L93:M93"/>
    <mergeCell ref="B89:H89"/>
    <mergeCell ref="B90:H90"/>
    <mergeCell ref="J90:N90"/>
    <mergeCell ref="A91:A92"/>
    <mergeCell ref="B91:B92"/>
    <mergeCell ref="C91:D92"/>
    <mergeCell ref="L91:N91"/>
    <mergeCell ref="I97:J97"/>
    <mergeCell ref="K97:L97"/>
    <mergeCell ref="I98:J98"/>
    <mergeCell ref="K98:L98"/>
    <mergeCell ref="M98:N98"/>
    <mergeCell ref="I99:J99"/>
    <mergeCell ref="K99:L99"/>
    <mergeCell ref="M99:N99"/>
    <mergeCell ref="A94:N94"/>
    <mergeCell ref="A95:N95"/>
    <mergeCell ref="A96:A97"/>
    <mergeCell ref="B96:F96"/>
    <mergeCell ref="G96:J96"/>
    <mergeCell ref="K96:N96"/>
    <mergeCell ref="B97:C97"/>
    <mergeCell ref="M97:N97"/>
    <mergeCell ref="I102:J102"/>
    <mergeCell ref="K102:L102"/>
    <mergeCell ref="B101:C101"/>
    <mergeCell ref="D101:F101"/>
    <mergeCell ref="G101:H101"/>
    <mergeCell ref="I101:J101"/>
    <mergeCell ref="K101:L101"/>
    <mergeCell ref="M101:N101"/>
    <mergeCell ref="B102:C102"/>
    <mergeCell ref="M102:N102"/>
    <mergeCell ref="D102:F102"/>
    <mergeCell ref="G102:H102"/>
    <mergeCell ref="D103:F103"/>
    <mergeCell ref="G103:H103"/>
    <mergeCell ref="I103:J103"/>
    <mergeCell ref="K103:L103"/>
    <mergeCell ref="M103:N103"/>
    <mergeCell ref="B103:C103"/>
    <mergeCell ref="B104:C104"/>
    <mergeCell ref="D104:F104"/>
    <mergeCell ref="G104:H104"/>
    <mergeCell ref="I104:J104"/>
    <mergeCell ref="K104:L104"/>
    <mergeCell ref="M104:N104"/>
    <mergeCell ref="I106:J106"/>
    <mergeCell ref="K106:L106"/>
    <mergeCell ref="I107:J107"/>
    <mergeCell ref="K107:L107"/>
    <mergeCell ref="M107:N107"/>
    <mergeCell ref="I108:J108"/>
    <mergeCell ref="K108:L108"/>
    <mergeCell ref="M108:N108"/>
    <mergeCell ref="B105:C105"/>
    <mergeCell ref="D105:F105"/>
    <mergeCell ref="G105:H105"/>
    <mergeCell ref="I105:J105"/>
    <mergeCell ref="K105:L105"/>
    <mergeCell ref="M105:N105"/>
    <mergeCell ref="B106:C106"/>
    <mergeCell ref="M106:N106"/>
    <mergeCell ref="D106:F106"/>
    <mergeCell ref="G106:H106"/>
    <mergeCell ref="B107:C107"/>
    <mergeCell ref="D107:F107"/>
    <mergeCell ref="G107:H107"/>
    <mergeCell ref="D108:F108"/>
    <mergeCell ref="G108:H108"/>
    <mergeCell ref="B108:C108"/>
    <mergeCell ref="B109:C109"/>
    <mergeCell ref="D109:F109"/>
    <mergeCell ref="G109:H109"/>
    <mergeCell ref="I109:J109"/>
    <mergeCell ref="K109:L109"/>
    <mergeCell ref="M109:N109"/>
    <mergeCell ref="G126:J126"/>
    <mergeCell ref="K126:N126"/>
    <mergeCell ref="G127:H127"/>
    <mergeCell ref="I127:J127"/>
    <mergeCell ref="K127:L127"/>
    <mergeCell ref="M127:N127"/>
    <mergeCell ref="C121:D122"/>
    <mergeCell ref="C123:D123"/>
    <mergeCell ref="F123:G123"/>
    <mergeCell ref="A124:N124"/>
    <mergeCell ref="A125:N125"/>
    <mergeCell ref="A126:A127"/>
    <mergeCell ref="B126:F126"/>
    <mergeCell ref="B110:C110"/>
    <mergeCell ref="D110:F110"/>
    <mergeCell ref="G110:H110"/>
    <mergeCell ref="I110:J110"/>
    <mergeCell ref="K110:L110"/>
    <mergeCell ref="M110:N110"/>
    <mergeCell ref="B111:C111"/>
    <mergeCell ref="M111:N111"/>
    <mergeCell ref="B115:C115"/>
    <mergeCell ref="D115:F115"/>
    <mergeCell ref="G115:H115"/>
    <mergeCell ref="I115:J115"/>
    <mergeCell ref="K115:L115"/>
    <mergeCell ref="M115:N115"/>
    <mergeCell ref="B113:C113"/>
    <mergeCell ref="B114:C114"/>
    <mergeCell ref="D114:F114"/>
    <mergeCell ref="G114:H114"/>
    <mergeCell ref="I114:J114"/>
    <mergeCell ref="K114:L114"/>
    <mergeCell ref="M114:N114"/>
    <mergeCell ref="M113:N113"/>
    <mergeCell ref="J119:N119"/>
    <mergeCell ref="J120:N120"/>
    <mergeCell ref="L121:N121"/>
    <mergeCell ref="L122:M122"/>
    <mergeCell ref="J123:K123"/>
    <mergeCell ref="L123:M123"/>
    <mergeCell ref="I111:J111"/>
    <mergeCell ref="K111:L111"/>
    <mergeCell ref="I112:J112"/>
    <mergeCell ref="K112:L112"/>
    <mergeCell ref="M112:N112"/>
    <mergeCell ref="I113:J113"/>
    <mergeCell ref="K113:L113"/>
    <mergeCell ref="D111:F111"/>
    <mergeCell ref="G111:H111"/>
    <mergeCell ref="B112:C112"/>
    <mergeCell ref="D112:F112"/>
    <mergeCell ref="G112:H112"/>
    <mergeCell ref="D113:F113"/>
    <mergeCell ref="G113:H113"/>
    <mergeCell ref="I139:J139"/>
    <mergeCell ref="K139:L139"/>
    <mergeCell ref="M139:N139"/>
    <mergeCell ref="F121:H121"/>
    <mergeCell ref="F122:G122"/>
    <mergeCell ref="B119:H119"/>
    <mergeCell ref="B120:H120"/>
    <mergeCell ref="A121:A122"/>
    <mergeCell ref="B121:B122"/>
    <mergeCell ref="E121:E122"/>
    <mergeCell ref="I121:K121"/>
    <mergeCell ref="J122:K122"/>
    <mergeCell ref="B127:C127"/>
    <mergeCell ref="D127:F127"/>
    <mergeCell ref="D128:F128"/>
    <mergeCell ref="G128:H128"/>
    <mergeCell ref="I128:J128"/>
    <mergeCell ref="K128:L128"/>
    <mergeCell ref="M128:N128"/>
    <mergeCell ref="B128:C128"/>
    <mergeCell ref="B129:C129"/>
    <mergeCell ref="D129:F129"/>
    <mergeCell ref="G129:H129"/>
    <mergeCell ref="I129:J129"/>
    <mergeCell ref="K129:L129"/>
    <mergeCell ref="M129:N129"/>
    <mergeCell ref="D131:F131"/>
    <mergeCell ref="G131:H131"/>
    <mergeCell ref="B130:C130"/>
    <mergeCell ref="D130:F130"/>
    <mergeCell ref="G130:H130"/>
    <mergeCell ref="I130:J130"/>
    <mergeCell ref="K130:L130"/>
    <mergeCell ref="M130:N130"/>
    <mergeCell ref="B131:C131"/>
    <mergeCell ref="M131:N131"/>
    <mergeCell ref="I131:J131"/>
    <mergeCell ref="K131:L131"/>
    <mergeCell ref="D132:F132"/>
    <mergeCell ref="G132:H132"/>
    <mergeCell ref="I132:J132"/>
    <mergeCell ref="K132:L132"/>
    <mergeCell ref="M132:N132"/>
    <mergeCell ref="B132:C132"/>
    <mergeCell ref="B133:C133"/>
    <mergeCell ref="D133:F133"/>
    <mergeCell ref="G133:H133"/>
    <mergeCell ref="I133:J133"/>
    <mergeCell ref="K133:L133"/>
    <mergeCell ref="M133:N133"/>
    <mergeCell ref="D135:F135"/>
    <mergeCell ref="G135:H135"/>
    <mergeCell ref="B134:C134"/>
    <mergeCell ref="D134:F134"/>
    <mergeCell ref="G134:H134"/>
    <mergeCell ref="I134:J134"/>
    <mergeCell ref="K134:L134"/>
    <mergeCell ref="M134:N134"/>
    <mergeCell ref="B135:C135"/>
    <mergeCell ref="M135:N135"/>
    <mergeCell ref="I135:J135"/>
    <mergeCell ref="K135:L135"/>
    <mergeCell ref="D136:F136"/>
    <mergeCell ref="G136:H136"/>
    <mergeCell ref="I136:J136"/>
    <mergeCell ref="K136:L136"/>
    <mergeCell ref="M136:N136"/>
    <mergeCell ref="B136:C136"/>
    <mergeCell ref="B137:C137"/>
    <mergeCell ref="D137:F137"/>
    <mergeCell ref="G137:H137"/>
    <mergeCell ref="I137:J137"/>
    <mergeCell ref="K137:L137"/>
    <mergeCell ref="M137:N137"/>
    <mergeCell ref="B138:C138"/>
    <mergeCell ref="D138:F138"/>
    <mergeCell ref="G138:H138"/>
    <mergeCell ref="I138:J138"/>
    <mergeCell ref="K138:L138"/>
    <mergeCell ref="M138:N138"/>
    <mergeCell ref="B139:C139"/>
    <mergeCell ref="D139:F139"/>
    <mergeCell ref="G139:H139"/>
    <mergeCell ref="D140:F140"/>
    <mergeCell ref="G140:H140"/>
    <mergeCell ref="I140:J140"/>
    <mergeCell ref="K140:L140"/>
    <mergeCell ref="M140:N140"/>
    <mergeCell ref="B140:C140"/>
    <mergeCell ref="B141:C141"/>
    <mergeCell ref="D141:F141"/>
    <mergeCell ref="G141:H141"/>
    <mergeCell ref="I141:J141"/>
    <mergeCell ref="K141:L141"/>
    <mergeCell ref="M141:N141"/>
    <mergeCell ref="D143:F143"/>
    <mergeCell ref="G143:H143"/>
    <mergeCell ref="B144:C144"/>
    <mergeCell ref="D144:F144"/>
    <mergeCell ref="G144:H144"/>
    <mergeCell ref="B145:C145"/>
    <mergeCell ref="D145:F145"/>
    <mergeCell ref="G145:H145"/>
    <mergeCell ref="I143:J143"/>
    <mergeCell ref="K143:L143"/>
    <mergeCell ref="I144:J144"/>
    <mergeCell ref="K144:L144"/>
    <mergeCell ref="M144:N144"/>
    <mergeCell ref="I145:J145"/>
    <mergeCell ref="K145:L145"/>
    <mergeCell ref="M145:N145"/>
    <mergeCell ref="B142:C142"/>
    <mergeCell ref="D142:F142"/>
    <mergeCell ref="G142:H142"/>
    <mergeCell ref="I142:J142"/>
    <mergeCell ref="K142:L142"/>
    <mergeCell ref="M142:N142"/>
    <mergeCell ref="B143:C143"/>
    <mergeCell ref="M143:N14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6.38"/>
  </cols>
  <sheetData>
    <row r="1">
      <c r="A1" s="1" t="s">
        <v>0</v>
      </c>
      <c r="B1" s="2" t="s">
        <v>1</v>
      </c>
      <c r="C1" s="3"/>
      <c r="D1" s="4"/>
      <c r="E1" s="1" t="s">
        <v>2</v>
      </c>
      <c r="F1" s="10" t="s">
        <v>205</v>
      </c>
      <c r="G1" s="4"/>
      <c r="H1" s="65"/>
      <c r="I1" s="60"/>
      <c r="J1" s="65"/>
    </row>
    <row r="2">
      <c r="A2" s="1" t="s">
        <v>4</v>
      </c>
      <c r="B2" s="9" t="s">
        <v>206</v>
      </c>
      <c r="C2" s="3"/>
      <c r="D2" s="4"/>
      <c r="E2" s="1" t="s">
        <v>6</v>
      </c>
      <c r="F2" s="10"/>
      <c r="G2" s="4"/>
      <c r="H2" s="65"/>
      <c r="I2" s="60"/>
      <c r="J2" s="65"/>
    </row>
    <row r="3">
      <c r="A3" s="11" t="s">
        <v>7</v>
      </c>
      <c r="B3" s="3"/>
      <c r="C3" s="3"/>
      <c r="D3" s="3"/>
      <c r="E3" s="3"/>
      <c r="F3" s="3"/>
      <c r="G3" s="4"/>
      <c r="H3" s="65"/>
      <c r="I3" s="60"/>
      <c r="J3" s="65"/>
    </row>
    <row r="4">
      <c r="A4" s="15" t="s">
        <v>11</v>
      </c>
      <c r="B4" s="2" t="s">
        <v>12</v>
      </c>
      <c r="C4" s="4"/>
      <c r="D4" s="2" t="s">
        <v>13</v>
      </c>
      <c r="E4" s="3"/>
      <c r="F4" s="10" t="s">
        <v>14</v>
      </c>
      <c r="G4" s="4"/>
      <c r="H4" s="95" t="s">
        <v>8</v>
      </c>
      <c r="I4" s="100" t="s">
        <v>124</v>
      </c>
      <c r="J4" s="95" t="s">
        <v>10</v>
      </c>
    </row>
    <row r="5">
      <c r="A5" s="16"/>
      <c r="B5" s="76" t="s">
        <v>15</v>
      </c>
      <c r="C5" s="76" t="s">
        <v>16</v>
      </c>
      <c r="D5" s="76" t="s">
        <v>15</v>
      </c>
      <c r="E5" s="76" t="s">
        <v>16</v>
      </c>
      <c r="F5" s="76" t="s">
        <v>15</v>
      </c>
      <c r="G5" s="76" t="s">
        <v>16</v>
      </c>
      <c r="H5" s="65"/>
      <c r="I5" s="60"/>
      <c r="J5" s="65"/>
    </row>
    <row r="6">
      <c r="A6" s="22" t="s">
        <v>207</v>
      </c>
      <c r="B6" s="54">
        <v>0.40625</v>
      </c>
      <c r="C6" s="77"/>
      <c r="D6" s="77"/>
      <c r="E6" s="77"/>
      <c r="F6" s="77"/>
      <c r="G6" s="77"/>
      <c r="H6" s="65"/>
      <c r="I6" s="60"/>
      <c r="J6" s="65"/>
    </row>
    <row r="7">
      <c r="A7" s="22" t="s">
        <v>208</v>
      </c>
      <c r="B7" s="77"/>
      <c r="C7" s="77"/>
      <c r="D7" s="77"/>
      <c r="E7" s="77"/>
      <c r="F7" s="77"/>
      <c r="G7" s="77"/>
      <c r="H7" s="65"/>
      <c r="I7" s="60"/>
      <c r="J7" s="65"/>
    </row>
    <row r="8">
      <c r="A8" s="18" t="s">
        <v>84</v>
      </c>
      <c r="B8" s="54">
        <v>0.36875</v>
      </c>
      <c r="C8" s="77"/>
      <c r="D8" s="77"/>
      <c r="E8" s="54">
        <v>0.7375</v>
      </c>
      <c r="F8" s="77"/>
      <c r="G8" s="77"/>
      <c r="H8" s="65">
        <f>E8-B8</f>
        <v>0.36875</v>
      </c>
      <c r="I8" s="64" t="s">
        <v>127</v>
      </c>
      <c r="J8" s="65">
        <f>I8-H8</f>
        <v>0.00625</v>
      </c>
    </row>
    <row r="9">
      <c r="A9" s="18" t="s">
        <v>85</v>
      </c>
      <c r="B9" s="54">
        <v>0.3902777777777778</v>
      </c>
      <c r="C9" s="77"/>
      <c r="D9" s="77"/>
      <c r="E9" s="77"/>
      <c r="F9" s="54">
        <v>0.775</v>
      </c>
      <c r="G9" s="77"/>
      <c r="H9" s="65">
        <f t="shared" ref="H9:H10" si="1">F9-B9</f>
        <v>0.3847222222</v>
      </c>
      <c r="I9" s="64" t="s">
        <v>127</v>
      </c>
      <c r="J9" s="65"/>
    </row>
    <row r="10">
      <c r="A10" s="18" t="s">
        <v>86</v>
      </c>
      <c r="B10" s="54">
        <v>0.40555555555555556</v>
      </c>
      <c r="C10" s="77"/>
      <c r="D10" s="77"/>
      <c r="E10" s="77"/>
      <c r="F10" s="54">
        <v>0.775</v>
      </c>
      <c r="G10" s="77"/>
      <c r="H10" s="65">
        <f t="shared" si="1"/>
        <v>0.3694444444</v>
      </c>
      <c r="I10" s="64" t="s">
        <v>127</v>
      </c>
      <c r="J10" s="65"/>
    </row>
    <row r="11">
      <c r="A11" s="18" t="s">
        <v>88</v>
      </c>
      <c r="B11" s="54">
        <v>0.37222222222222223</v>
      </c>
      <c r="C11" s="77"/>
      <c r="D11" s="77"/>
      <c r="E11" s="54">
        <v>0.7395833333333334</v>
      </c>
      <c r="F11" s="77"/>
      <c r="G11" s="77"/>
      <c r="H11" s="65">
        <f>E11-B11</f>
        <v>0.3673611111</v>
      </c>
      <c r="I11" s="64" t="s">
        <v>127</v>
      </c>
      <c r="J11" s="65"/>
    </row>
    <row r="12">
      <c r="A12" s="18" t="s">
        <v>89</v>
      </c>
      <c r="B12" s="54">
        <v>0.36736111111111114</v>
      </c>
      <c r="C12" s="77"/>
      <c r="D12" s="77"/>
      <c r="E12" s="77"/>
      <c r="F12" s="77"/>
      <c r="G12" s="54">
        <v>0.8340277777777778</v>
      </c>
      <c r="H12" s="101">
        <f>G12-B12</f>
        <v>0.4666666667</v>
      </c>
      <c r="I12" s="64" t="s">
        <v>127</v>
      </c>
      <c r="J12" s="101">
        <f>H12-I12</f>
        <v>0.09166666667</v>
      </c>
    </row>
    <row r="13">
      <c r="A13" s="22" t="s">
        <v>90</v>
      </c>
      <c r="B13" s="77"/>
      <c r="C13" s="77"/>
      <c r="D13" s="77"/>
      <c r="E13" s="77"/>
      <c r="F13" s="77"/>
      <c r="G13" s="77"/>
      <c r="H13" s="65"/>
      <c r="I13" s="60"/>
      <c r="J13" s="65"/>
    </row>
    <row r="14">
      <c r="A14" s="22" t="s">
        <v>91</v>
      </c>
      <c r="B14" s="77"/>
      <c r="C14" s="77"/>
      <c r="D14" s="77"/>
      <c r="E14" s="77"/>
      <c r="F14" s="77"/>
      <c r="G14" s="77"/>
      <c r="H14" s="65"/>
      <c r="I14" s="60"/>
      <c r="J14" s="65"/>
    </row>
    <row r="15">
      <c r="A15" s="18" t="s">
        <v>92</v>
      </c>
      <c r="B15" s="77"/>
      <c r="C15" s="54">
        <v>0.5048611111111111</v>
      </c>
      <c r="D15" s="77"/>
      <c r="E15" s="77"/>
      <c r="F15" s="77"/>
      <c r="G15" s="54">
        <v>0.625</v>
      </c>
      <c r="H15" s="65">
        <f>G15-C15</f>
        <v>0.1201388889</v>
      </c>
      <c r="I15" s="64" t="s">
        <v>127</v>
      </c>
      <c r="J15" s="65">
        <f>H15</f>
        <v>0.1201388889</v>
      </c>
    </row>
    <row r="16">
      <c r="A16" s="18" t="s">
        <v>93</v>
      </c>
      <c r="B16" s="77"/>
      <c r="C16" s="54">
        <v>0.41875</v>
      </c>
      <c r="D16" s="77"/>
      <c r="E16" s="54">
        <v>0.6916666666666667</v>
      </c>
      <c r="F16" s="77"/>
      <c r="G16" s="77"/>
      <c r="H16" s="65">
        <f>E16-C16</f>
        <v>0.2729166667</v>
      </c>
      <c r="I16" s="64" t="s">
        <v>127</v>
      </c>
      <c r="J16" s="65"/>
    </row>
    <row r="17">
      <c r="A17" s="18" t="s">
        <v>94</v>
      </c>
      <c r="B17" s="54">
        <v>0.4048611111111111</v>
      </c>
      <c r="C17" s="77"/>
      <c r="D17" s="77"/>
      <c r="E17" s="77"/>
      <c r="F17" s="54">
        <v>0.8319444444444445</v>
      </c>
      <c r="G17" s="77"/>
      <c r="H17" s="65">
        <f>F17-B17</f>
        <v>0.4270833333</v>
      </c>
      <c r="I17" s="64" t="s">
        <v>127</v>
      </c>
      <c r="J17" s="65">
        <f>H17-I17</f>
        <v>0.05208333333</v>
      </c>
      <c r="K17" s="48">
        <v>39.65</v>
      </c>
    </row>
    <row r="18">
      <c r="A18" s="18" t="s">
        <v>95</v>
      </c>
      <c r="B18" s="77"/>
      <c r="C18" s="54">
        <v>0.4326388888888889</v>
      </c>
      <c r="D18" s="77"/>
      <c r="E18" s="77"/>
      <c r="F18" s="54">
        <v>0.7736111111111111</v>
      </c>
      <c r="G18" s="77"/>
      <c r="H18" s="65">
        <f>F18-C18</f>
        <v>0.3409722222</v>
      </c>
      <c r="I18" s="64" t="s">
        <v>127</v>
      </c>
      <c r="J18" s="65"/>
    </row>
    <row r="19">
      <c r="A19" s="18" t="s">
        <v>96</v>
      </c>
      <c r="B19" s="54">
        <v>0.36041666666666666</v>
      </c>
      <c r="C19" s="77"/>
      <c r="D19" s="77"/>
      <c r="E19" s="77"/>
      <c r="F19" s="54">
        <v>0.7881944444444444</v>
      </c>
      <c r="G19" s="77"/>
      <c r="H19" s="65">
        <f>F19-B19</f>
        <v>0.4277777778</v>
      </c>
      <c r="I19" s="64" t="s">
        <v>127</v>
      </c>
      <c r="J19" s="65">
        <f>H19-I19</f>
        <v>0.05277777778</v>
      </c>
    </row>
    <row r="20">
      <c r="A20" s="22" t="s">
        <v>97</v>
      </c>
      <c r="B20" s="54">
        <v>0.4444444444444444</v>
      </c>
      <c r="C20" s="77"/>
      <c r="D20" s="77"/>
      <c r="E20" s="77"/>
      <c r="F20" s="77"/>
      <c r="G20" s="77"/>
      <c r="H20" s="65"/>
      <c r="I20" s="60"/>
      <c r="J20" s="65"/>
    </row>
    <row r="21">
      <c r="H21" s="65"/>
      <c r="I21" s="60"/>
      <c r="J21" s="66">
        <f>J12+J15+J17+J19</f>
        <v>0.3166666667</v>
      </c>
    </row>
    <row r="22">
      <c r="H22" s="65"/>
      <c r="I22" s="60"/>
      <c r="J22" s="65"/>
    </row>
    <row r="23">
      <c r="A23" s="1" t="s">
        <v>0</v>
      </c>
      <c r="B23" s="2" t="s">
        <v>1</v>
      </c>
      <c r="C23" s="3"/>
      <c r="D23" s="4"/>
      <c r="E23" s="1" t="s">
        <v>2</v>
      </c>
      <c r="F23" s="10" t="s">
        <v>209</v>
      </c>
      <c r="G23" s="4"/>
      <c r="H23" s="65"/>
      <c r="I23" s="60"/>
      <c r="J23" s="65"/>
    </row>
    <row r="24">
      <c r="A24" s="1" t="s">
        <v>4</v>
      </c>
      <c r="B24" s="9" t="s">
        <v>206</v>
      </c>
      <c r="C24" s="3"/>
      <c r="D24" s="4"/>
      <c r="E24" s="1" t="s">
        <v>6</v>
      </c>
      <c r="F24" s="10"/>
      <c r="G24" s="4"/>
      <c r="H24" s="65"/>
      <c r="I24" s="60"/>
      <c r="J24" s="65"/>
    </row>
    <row r="25">
      <c r="A25" s="11" t="s">
        <v>7</v>
      </c>
      <c r="B25" s="3"/>
      <c r="C25" s="3"/>
      <c r="D25" s="3"/>
      <c r="E25" s="3"/>
      <c r="F25" s="3"/>
      <c r="G25" s="4"/>
      <c r="H25" s="65"/>
      <c r="I25" s="60"/>
      <c r="J25" s="65"/>
    </row>
    <row r="26">
      <c r="A26" s="15" t="s">
        <v>11</v>
      </c>
      <c r="B26" s="2" t="s">
        <v>12</v>
      </c>
      <c r="C26" s="4"/>
      <c r="D26" s="2" t="s">
        <v>13</v>
      </c>
      <c r="E26" s="3"/>
      <c r="F26" s="10" t="s">
        <v>14</v>
      </c>
      <c r="G26" s="4"/>
      <c r="H26" s="95" t="s">
        <v>8</v>
      </c>
      <c r="I26" s="100" t="s">
        <v>124</v>
      </c>
      <c r="J26" s="95" t="s">
        <v>10</v>
      </c>
    </row>
    <row r="27">
      <c r="A27" s="16"/>
      <c r="B27" s="76" t="s">
        <v>15</v>
      </c>
      <c r="C27" s="76" t="s">
        <v>16</v>
      </c>
      <c r="D27" s="76" t="s">
        <v>15</v>
      </c>
      <c r="E27" s="76" t="s">
        <v>16</v>
      </c>
      <c r="F27" s="76" t="s">
        <v>15</v>
      </c>
      <c r="G27" s="76" t="s">
        <v>16</v>
      </c>
      <c r="H27" s="65"/>
      <c r="I27" s="60"/>
      <c r="J27" s="65"/>
    </row>
    <row r="28">
      <c r="A28" s="22" t="s">
        <v>207</v>
      </c>
      <c r="B28" s="77"/>
      <c r="C28" s="77"/>
      <c r="D28" s="77"/>
      <c r="E28" s="77"/>
      <c r="F28" s="77"/>
      <c r="G28" s="77"/>
      <c r="H28" s="65"/>
      <c r="I28" s="60"/>
      <c r="J28" s="65"/>
    </row>
    <row r="29">
      <c r="A29" s="22" t="s">
        <v>208</v>
      </c>
      <c r="B29" s="77"/>
      <c r="C29" s="77"/>
      <c r="D29" s="77"/>
      <c r="E29" s="77"/>
      <c r="F29" s="77"/>
      <c r="G29" s="77"/>
      <c r="H29" s="65"/>
      <c r="I29" s="60"/>
      <c r="J29" s="65"/>
    </row>
    <row r="30">
      <c r="A30" s="18" t="s">
        <v>84</v>
      </c>
      <c r="B30" s="54">
        <v>0.3298611111111111</v>
      </c>
      <c r="C30" s="77"/>
      <c r="D30" s="77"/>
      <c r="E30" s="54">
        <v>0.7118055555555556</v>
      </c>
      <c r="F30" s="77"/>
      <c r="G30" s="77"/>
      <c r="H30" s="65">
        <f t="shared" ref="H30:H31" si="2">E30-B30</f>
        <v>0.3819444444</v>
      </c>
      <c r="I30" s="64" t="s">
        <v>134</v>
      </c>
      <c r="J30" s="65">
        <f>H30-I30</f>
        <v>0.02777777778</v>
      </c>
    </row>
    <row r="31">
      <c r="A31" s="18" t="s">
        <v>85</v>
      </c>
      <c r="B31" s="54">
        <v>0.40694444444444444</v>
      </c>
      <c r="C31" s="77"/>
      <c r="D31" s="77"/>
      <c r="E31" s="54">
        <v>0.7333333333333333</v>
      </c>
      <c r="F31" s="77"/>
      <c r="G31" s="77"/>
      <c r="H31" s="65">
        <f t="shared" si="2"/>
        <v>0.3263888889</v>
      </c>
      <c r="I31" s="64" t="s">
        <v>134</v>
      </c>
      <c r="J31" s="65"/>
    </row>
    <row r="32">
      <c r="A32" s="18" t="s">
        <v>86</v>
      </c>
      <c r="B32" s="77"/>
      <c r="C32" s="54">
        <v>0.42291666666666666</v>
      </c>
      <c r="D32" s="77"/>
      <c r="E32" s="54">
        <v>0.7576388888888889</v>
      </c>
      <c r="F32" s="77"/>
      <c r="G32" s="77"/>
      <c r="H32" s="65">
        <f t="shared" ref="H32:H33" si="3">E32-C32</f>
        <v>0.3347222222</v>
      </c>
      <c r="I32" s="64" t="s">
        <v>134</v>
      </c>
      <c r="J32" s="65"/>
    </row>
    <row r="33">
      <c r="A33" s="18" t="s">
        <v>88</v>
      </c>
      <c r="B33" s="77"/>
      <c r="C33" s="54">
        <v>0.42083333333333334</v>
      </c>
      <c r="D33" s="77"/>
      <c r="E33" s="54">
        <v>0.7326388888888888</v>
      </c>
      <c r="F33" s="77"/>
      <c r="G33" s="77"/>
      <c r="H33" s="65">
        <f t="shared" si="3"/>
        <v>0.3118055556</v>
      </c>
      <c r="I33" s="64" t="s">
        <v>134</v>
      </c>
      <c r="J33" s="65"/>
    </row>
    <row r="34">
      <c r="A34" s="18" t="s">
        <v>89</v>
      </c>
      <c r="B34" s="54">
        <v>0.4027777777777778</v>
      </c>
      <c r="C34" s="77"/>
      <c r="D34" s="77"/>
      <c r="E34" s="54">
        <v>0.7458333333333333</v>
      </c>
      <c r="F34" s="77"/>
      <c r="G34" s="77"/>
      <c r="H34" s="65">
        <f>E34-B34</f>
        <v>0.3430555556</v>
      </c>
      <c r="I34" s="64" t="s">
        <v>134</v>
      </c>
      <c r="J34" s="65"/>
    </row>
    <row r="35">
      <c r="A35" s="22" t="s">
        <v>90</v>
      </c>
      <c r="B35" s="77"/>
      <c r="C35" s="77"/>
      <c r="D35" s="77"/>
      <c r="E35" s="77"/>
      <c r="F35" s="77"/>
      <c r="G35" s="77"/>
      <c r="H35" s="65"/>
      <c r="I35" s="60"/>
      <c r="J35" s="65"/>
    </row>
    <row r="36">
      <c r="A36" s="22" t="s">
        <v>91</v>
      </c>
      <c r="B36" s="77"/>
      <c r="C36" s="77"/>
      <c r="D36" s="77"/>
      <c r="E36" s="77"/>
      <c r="F36" s="77"/>
      <c r="G36" s="77"/>
      <c r="H36" s="65"/>
      <c r="I36" s="60"/>
      <c r="J36" s="65"/>
    </row>
    <row r="37">
      <c r="A37" s="18" t="s">
        <v>92</v>
      </c>
      <c r="B37" s="77"/>
      <c r="C37" s="54">
        <v>0.46597222222222223</v>
      </c>
      <c r="D37" s="77"/>
      <c r="E37" s="77"/>
      <c r="F37" s="77"/>
      <c r="G37" s="54">
        <v>0.8527777777777777</v>
      </c>
      <c r="H37" s="65">
        <f>G37-C37</f>
        <v>0.3868055556</v>
      </c>
      <c r="I37" s="64" t="s">
        <v>134</v>
      </c>
      <c r="J37" s="65"/>
    </row>
    <row r="38">
      <c r="A38" s="18" t="s">
        <v>93</v>
      </c>
      <c r="B38" s="54">
        <v>0.3659722222222222</v>
      </c>
      <c r="C38" s="77"/>
      <c r="D38" s="77"/>
      <c r="E38" s="54">
        <v>0.6916666666666667</v>
      </c>
      <c r="F38" s="77"/>
      <c r="G38" s="77"/>
      <c r="H38" s="65">
        <f>E38-B38</f>
        <v>0.3256944444</v>
      </c>
      <c r="I38" s="64" t="s">
        <v>134</v>
      </c>
      <c r="J38" s="65"/>
    </row>
    <row r="39">
      <c r="A39" s="18" t="s">
        <v>94</v>
      </c>
      <c r="B39" s="77"/>
      <c r="C39" s="54">
        <v>0.42569444444444443</v>
      </c>
      <c r="D39" s="77"/>
      <c r="E39" s="77"/>
      <c r="F39" s="54">
        <v>0.7993055555555556</v>
      </c>
      <c r="G39" s="77"/>
      <c r="H39" s="65">
        <f>F39-C39</f>
        <v>0.3736111111</v>
      </c>
      <c r="I39" s="64" t="s">
        <v>134</v>
      </c>
      <c r="J39" s="65"/>
    </row>
    <row r="40">
      <c r="A40" s="18" t="s">
        <v>95</v>
      </c>
      <c r="B40" s="54">
        <v>0.38958333333333334</v>
      </c>
      <c r="C40" s="77"/>
      <c r="D40" s="77"/>
      <c r="E40" s="77"/>
      <c r="F40" s="54">
        <v>0.7986111111111112</v>
      </c>
      <c r="G40" s="77"/>
      <c r="H40" s="65">
        <f>F40-B40</f>
        <v>0.4090277778</v>
      </c>
      <c r="I40" s="64" t="s">
        <v>134</v>
      </c>
      <c r="J40" s="65"/>
    </row>
    <row r="41">
      <c r="A41" s="18" t="s">
        <v>96</v>
      </c>
      <c r="B41" s="79"/>
      <c r="C41" s="24"/>
      <c r="D41" s="25"/>
      <c r="E41" s="26"/>
      <c r="F41" s="24"/>
      <c r="G41" s="102"/>
      <c r="H41" s="65"/>
      <c r="I41" s="60"/>
      <c r="J41" s="65"/>
    </row>
    <row r="42">
      <c r="A42" s="22" t="s">
        <v>97</v>
      </c>
      <c r="B42" s="77"/>
      <c r="C42" s="77"/>
      <c r="D42" s="77"/>
      <c r="E42" s="77"/>
      <c r="F42" s="77"/>
      <c r="G42" s="77"/>
      <c r="H42" s="65"/>
      <c r="I42" s="60"/>
      <c r="J42" s="65"/>
    </row>
    <row r="43">
      <c r="H43" s="65"/>
      <c r="I43" s="60"/>
      <c r="J43" s="65"/>
    </row>
    <row r="44">
      <c r="H44" s="65"/>
      <c r="I44" s="60"/>
      <c r="J44" s="65"/>
    </row>
    <row r="45">
      <c r="A45" s="1" t="s">
        <v>0</v>
      </c>
      <c r="B45" s="2" t="s">
        <v>1</v>
      </c>
      <c r="C45" s="3"/>
      <c r="D45" s="4"/>
      <c r="E45" s="1" t="s">
        <v>2</v>
      </c>
      <c r="F45" s="10" t="s">
        <v>210</v>
      </c>
      <c r="G45" s="4"/>
      <c r="H45" s="65"/>
      <c r="I45" s="60"/>
      <c r="J45" s="65"/>
    </row>
    <row r="46">
      <c r="A46" s="1" t="s">
        <v>4</v>
      </c>
      <c r="B46" s="9" t="s">
        <v>206</v>
      </c>
      <c r="C46" s="3"/>
      <c r="D46" s="4"/>
      <c r="E46" s="1" t="s">
        <v>6</v>
      </c>
      <c r="F46" s="10"/>
      <c r="G46" s="4"/>
      <c r="H46" s="65"/>
      <c r="I46" s="60"/>
      <c r="J46" s="65"/>
    </row>
    <row r="47">
      <c r="A47" s="11" t="s">
        <v>7</v>
      </c>
      <c r="B47" s="3"/>
      <c r="C47" s="3"/>
      <c r="D47" s="3"/>
      <c r="E47" s="3"/>
      <c r="F47" s="3"/>
      <c r="G47" s="4"/>
      <c r="H47" s="65"/>
      <c r="I47" s="60"/>
      <c r="J47" s="65"/>
    </row>
    <row r="48">
      <c r="A48" s="15" t="s">
        <v>11</v>
      </c>
      <c r="B48" s="2" t="s">
        <v>12</v>
      </c>
      <c r="C48" s="4"/>
      <c r="D48" s="2" t="s">
        <v>13</v>
      </c>
      <c r="E48" s="3"/>
      <c r="F48" s="10" t="s">
        <v>14</v>
      </c>
      <c r="G48" s="4"/>
      <c r="H48" s="95" t="s">
        <v>8</v>
      </c>
      <c r="I48" s="100" t="s">
        <v>124</v>
      </c>
      <c r="J48" s="95" t="s">
        <v>10</v>
      </c>
    </row>
    <row r="49">
      <c r="A49" s="16"/>
      <c r="B49" s="76" t="s">
        <v>15</v>
      </c>
      <c r="C49" s="76" t="s">
        <v>16</v>
      </c>
      <c r="D49" s="76" t="s">
        <v>15</v>
      </c>
      <c r="E49" s="76" t="s">
        <v>16</v>
      </c>
      <c r="F49" s="76" t="s">
        <v>15</v>
      </c>
      <c r="G49" s="76" t="s">
        <v>16</v>
      </c>
      <c r="H49" s="65"/>
      <c r="I49" s="60"/>
      <c r="J49" s="65"/>
    </row>
    <row r="50">
      <c r="A50" s="22" t="s">
        <v>207</v>
      </c>
      <c r="B50" s="54">
        <v>0.21736111111111112</v>
      </c>
      <c r="C50" s="54">
        <v>0.6090277777777777</v>
      </c>
      <c r="D50" s="77"/>
      <c r="E50" s="77"/>
      <c r="F50" s="77"/>
      <c r="G50" s="77"/>
      <c r="H50" s="65">
        <f>C50-B50</f>
        <v>0.3916666667</v>
      </c>
      <c r="I50" s="64" t="s">
        <v>134</v>
      </c>
      <c r="J50" s="65">
        <f>H50-I50</f>
        <v>0.0375</v>
      </c>
    </row>
    <row r="51">
      <c r="A51" s="22" t="s">
        <v>208</v>
      </c>
      <c r="B51" s="77"/>
      <c r="C51" s="77"/>
      <c r="D51" s="77"/>
      <c r="E51" s="77"/>
      <c r="F51" s="77"/>
      <c r="G51" s="77"/>
      <c r="H51" s="65"/>
      <c r="I51" s="60"/>
      <c r="J51" s="65"/>
    </row>
    <row r="52">
      <c r="A52" s="18" t="s">
        <v>84</v>
      </c>
      <c r="B52" s="54">
        <v>0.21736111111111112</v>
      </c>
      <c r="C52" s="77"/>
      <c r="D52" s="54">
        <v>0.5736111111111111</v>
      </c>
      <c r="E52" s="77"/>
      <c r="F52" s="77"/>
      <c r="G52" s="77"/>
      <c r="H52" s="65">
        <f>D52-B52</f>
        <v>0.35625</v>
      </c>
      <c r="I52" s="64" t="s">
        <v>134</v>
      </c>
      <c r="J52" s="65"/>
    </row>
    <row r="53">
      <c r="A53" s="18" t="s">
        <v>85</v>
      </c>
      <c r="B53" s="54">
        <v>0.3902777777777778</v>
      </c>
      <c r="C53" s="77"/>
      <c r="D53" s="77"/>
      <c r="E53" s="54">
        <v>0.7333333333333333</v>
      </c>
      <c r="F53" s="77"/>
      <c r="G53" s="77"/>
      <c r="H53" s="65">
        <f t="shared" ref="H53:H54" si="4">E53-B53</f>
        <v>0.3430555556</v>
      </c>
      <c r="I53" s="64" t="s">
        <v>134</v>
      </c>
      <c r="J53" s="65"/>
    </row>
    <row r="54">
      <c r="A54" s="18" t="s">
        <v>86</v>
      </c>
      <c r="B54" s="54">
        <v>0.3902777777777778</v>
      </c>
      <c r="C54" s="77"/>
      <c r="D54" s="77"/>
      <c r="E54" s="54">
        <v>0.76875</v>
      </c>
      <c r="F54" s="77"/>
      <c r="G54" s="77"/>
      <c r="H54" s="65">
        <f t="shared" si="4"/>
        <v>0.3784722222</v>
      </c>
      <c r="I54" s="64" t="s">
        <v>134</v>
      </c>
      <c r="J54" s="65">
        <f>H54-I54</f>
        <v>0.02430555556</v>
      </c>
    </row>
    <row r="55">
      <c r="A55" s="18" t="s">
        <v>88</v>
      </c>
      <c r="B55" s="79"/>
      <c r="C55" s="24"/>
      <c r="D55" s="25"/>
      <c r="E55" s="26"/>
      <c r="F55" s="24"/>
      <c r="G55" s="102"/>
      <c r="H55" s="65"/>
      <c r="I55" s="60"/>
      <c r="J55" s="65"/>
    </row>
    <row r="56">
      <c r="A56" s="18" t="s">
        <v>89</v>
      </c>
      <c r="B56" s="54">
        <v>0.39166666666666666</v>
      </c>
      <c r="C56" s="77"/>
      <c r="D56" s="77"/>
      <c r="E56" s="54">
        <v>0.7458333333333333</v>
      </c>
      <c r="F56" s="77"/>
      <c r="G56" s="77"/>
      <c r="H56" s="65">
        <f>E56-B56</f>
        <v>0.3541666667</v>
      </c>
      <c r="I56" s="64" t="s">
        <v>134</v>
      </c>
      <c r="J56" s="65"/>
    </row>
    <row r="57">
      <c r="A57" s="22" t="s">
        <v>90</v>
      </c>
      <c r="B57" s="54">
        <v>0.2222222222222222</v>
      </c>
      <c r="C57" s="54">
        <v>0.5701388888888889</v>
      </c>
      <c r="D57" s="77"/>
      <c r="E57" s="77"/>
      <c r="F57" s="77"/>
      <c r="G57" s="77"/>
      <c r="H57" s="65">
        <f>C57-B57</f>
        <v>0.3479166667</v>
      </c>
      <c r="I57" s="64" t="s">
        <v>134</v>
      </c>
      <c r="J57" s="65"/>
    </row>
    <row r="58">
      <c r="A58" s="22" t="s">
        <v>91</v>
      </c>
      <c r="B58" s="77"/>
      <c r="C58" s="77"/>
      <c r="D58" s="77"/>
      <c r="E58" s="77"/>
      <c r="F58" s="77"/>
      <c r="G58" s="77"/>
      <c r="H58" s="65"/>
      <c r="I58" s="60"/>
      <c r="J58" s="65"/>
    </row>
    <row r="59">
      <c r="A59" s="18" t="s">
        <v>92</v>
      </c>
      <c r="B59" s="54">
        <v>0.21805555555555556</v>
      </c>
      <c r="C59" s="77"/>
      <c r="D59" s="54">
        <v>0.6368055555555555</v>
      </c>
      <c r="E59" s="77"/>
      <c r="F59" s="77"/>
      <c r="G59" s="77"/>
      <c r="H59" s="65">
        <f>D59-B59</f>
        <v>0.41875</v>
      </c>
      <c r="I59" s="64" t="s">
        <v>134</v>
      </c>
      <c r="J59" s="65">
        <f>H59-I59</f>
        <v>0.06458333333</v>
      </c>
    </row>
    <row r="60">
      <c r="A60" s="18" t="s">
        <v>93</v>
      </c>
      <c r="B60" s="54">
        <v>0.36736111111111114</v>
      </c>
      <c r="C60" s="77"/>
      <c r="D60" s="77"/>
      <c r="E60" s="54">
        <v>0.6916666666666667</v>
      </c>
      <c r="F60" s="77"/>
      <c r="G60" s="77"/>
      <c r="H60" s="65">
        <f>E60-B60</f>
        <v>0.3243055556</v>
      </c>
      <c r="I60" s="64" t="s">
        <v>134</v>
      </c>
      <c r="J60" s="65"/>
    </row>
    <row r="61">
      <c r="A61" s="18" t="s">
        <v>94</v>
      </c>
      <c r="B61" s="54">
        <v>0.2152777777777778</v>
      </c>
      <c r="C61" s="77"/>
      <c r="D61" s="54">
        <v>0.6159722222222223</v>
      </c>
      <c r="E61" s="77"/>
      <c r="F61" s="77"/>
      <c r="G61" s="77"/>
      <c r="H61" s="65">
        <f>D61-B61</f>
        <v>0.4006944444</v>
      </c>
      <c r="I61" s="64" t="s">
        <v>134</v>
      </c>
      <c r="J61" s="65">
        <f>H61-I61</f>
        <v>0.04652777778</v>
      </c>
      <c r="K61" s="48">
        <v>42.42</v>
      </c>
    </row>
    <row r="62">
      <c r="A62" s="18" t="s">
        <v>95</v>
      </c>
      <c r="B62" s="79"/>
      <c r="C62" s="24"/>
      <c r="D62" s="25"/>
      <c r="E62" s="26"/>
      <c r="F62" s="24"/>
      <c r="G62" s="102"/>
      <c r="H62" s="65"/>
      <c r="I62" s="60"/>
      <c r="J62" s="65"/>
    </row>
    <row r="63">
      <c r="A63" s="18" t="s">
        <v>96</v>
      </c>
      <c r="B63" s="54">
        <v>0.3909722222222222</v>
      </c>
      <c r="C63" s="77"/>
      <c r="D63" s="77"/>
      <c r="E63" s="54">
        <v>0.7388888888888889</v>
      </c>
      <c r="F63" s="77"/>
      <c r="G63" s="77"/>
      <c r="H63" s="65">
        <f>E63-B63</f>
        <v>0.3479166667</v>
      </c>
      <c r="I63" s="64" t="s">
        <v>134</v>
      </c>
      <c r="J63" s="65"/>
    </row>
    <row r="64">
      <c r="A64" s="22" t="s">
        <v>97</v>
      </c>
      <c r="B64" s="54">
        <v>0.22013888888888888</v>
      </c>
      <c r="C64" s="77"/>
      <c r="D64" s="77"/>
      <c r="E64" s="77"/>
      <c r="F64" s="77"/>
      <c r="G64" s="77"/>
      <c r="H64" s="65"/>
      <c r="I64" s="60"/>
      <c r="J64" s="65"/>
    </row>
    <row r="65">
      <c r="H65" s="65"/>
      <c r="I65" s="60"/>
      <c r="J65" s="66">
        <f>J50+J54+J59+J61</f>
        <v>0.1729166667</v>
      </c>
    </row>
    <row r="66">
      <c r="H66" s="65"/>
      <c r="I66" s="60"/>
      <c r="J66" s="65"/>
    </row>
    <row r="67">
      <c r="A67" s="1" t="s">
        <v>0</v>
      </c>
      <c r="B67" s="2" t="s">
        <v>1</v>
      </c>
      <c r="C67" s="3"/>
      <c r="D67" s="4"/>
      <c r="E67" s="1" t="s">
        <v>2</v>
      </c>
      <c r="F67" s="10" t="s">
        <v>62</v>
      </c>
      <c r="G67" s="4"/>
      <c r="H67" s="65"/>
      <c r="I67" s="60"/>
      <c r="J67" s="65"/>
    </row>
    <row r="68">
      <c r="A68" s="1" t="s">
        <v>4</v>
      </c>
      <c r="B68" s="9" t="s">
        <v>206</v>
      </c>
      <c r="C68" s="3"/>
      <c r="D68" s="4"/>
      <c r="E68" s="1" t="s">
        <v>6</v>
      </c>
      <c r="F68" s="10"/>
      <c r="G68" s="4"/>
      <c r="H68" s="65"/>
      <c r="I68" s="60"/>
      <c r="J68" s="65"/>
    </row>
    <row r="69">
      <c r="A69" s="11" t="s">
        <v>7</v>
      </c>
      <c r="B69" s="3"/>
      <c r="C69" s="3"/>
      <c r="D69" s="3"/>
      <c r="E69" s="3"/>
      <c r="F69" s="3"/>
      <c r="G69" s="4"/>
      <c r="H69" s="65"/>
      <c r="I69" s="60"/>
      <c r="J69" s="65"/>
    </row>
    <row r="70">
      <c r="A70" s="15" t="s">
        <v>11</v>
      </c>
      <c r="B70" s="2" t="s">
        <v>12</v>
      </c>
      <c r="C70" s="4"/>
      <c r="D70" s="2" t="s">
        <v>13</v>
      </c>
      <c r="E70" s="3"/>
      <c r="F70" s="10" t="s">
        <v>14</v>
      </c>
      <c r="G70" s="4"/>
      <c r="H70" s="65"/>
      <c r="I70" s="60"/>
      <c r="J70" s="65"/>
    </row>
    <row r="71">
      <c r="A71" s="16"/>
      <c r="B71" s="76" t="s">
        <v>15</v>
      </c>
      <c r="C71" s="76" t="s">
        <v>16</v>
      </c>
      <c r="D71" s="76" t="s">
        <v>15</v>
      </c>
      <c r="E71" s="76" t="s">
        <v>16</v>
      </c>
      <c r="F71" s="76" t="s">
        <v>15</v>
      </c>
      <c r="G71" s="76" t="s">
        <v>16</v>
      </c>
      <c r="H71" s="95" t="s">
        <v>8</v>
      </c>
      <c r="I71" s="100" t="s">
        <v>124</v>
      </c>
      <c r="J71" s="95" t="s">
        <v>10</v>
      </c>
    </row>
    <row r="72">
      <c r="A72" s="22" t="s">
        <v>207</v>
      </c>
      <c r="B72" s="54">
        <v>0.3902777777777778</v>
      </c>
      <c r="C72" s="77"/>
      <c r="D72" s="77"/>
      <c r="E72" s="54">
        <v>0.7916666666666666</v>
      </c>
      <c r="F72" s="77"/>
      <c r="G72" s="77"/>
      <c r="H72" s="65">
        <f>E72-B72</f>
        <v>0.4013888889</v>
      </c>
      <c r="I72" s="64" t="s">
        <v>127</v>
      </c>
      <c r="J72" s="101">
        <v>0.4013888888888889</v>
      </c>
    </row>
    <row r="73">
      <c r="A73" s="22" t="s">
        <v>208</v>
      </c>
      <c r="B73" s="77"/>
      <c r="C73" s="77"/>
      <c r="D73" s="77"/>
      <c r="E73" s="77"/>
      <c r="F73" s="77"/>
      <c r="G73" s="77"/>
      <c r="H73" s="65"/>
      <c r="I73" s="60"/>
      <c r="J73" s="65"/>
    </row>
    <row r="74">
      <c r="A74" s="18" t="s">
        <v>84</v>
      </c>
      <c r="B74" s="54">
        <v>0.4166666666666667</v>
      </c>
      <c r="C74" s="77"/>
      <c r="D74" s="77"/>
      <c r="E74" s="77"/>
      <c r="F74" s="77"/>
      <c r="G74" s="54">
        <v>0.8631944444444445</v>
      </c>
      <c r="H74" s="65">
        <f>G74-B74</f>
        <v>0.4465277778</v>
      </c>
      <c r="I74" s="64" t="s">
        <v>127</v>
      </c>
      <c r="J74" s="65">
        <f t="shared" ref="J74:J78" si="5">H74-I74</f>
        <v>0.07152777778</v>
      </c>
    </row>
    <row r="75">
      <c r="A75" s="18" t="s">
        <v>85</v>
      </c>
      <c r="B75" s="54">
        <v>0.3333333333333333</v>
      </c>
      <c r="C75" s="77"/>
      <c r="D75" s="77"/>
      <c r="E75" s="54">
        <v>0.7916666666666666</v>
      </c>
      <c r="F75" s="77"/>
      <c r="G75" s="77"/>
      <c r="H75" s="65">
        <f>E75-B75</f>
        <v>0.4583333333</v>
      </c>
      <c r="I75" s="64" t="s">
        <v>127</v>
      </c>
      <c r="J75" s="65">
        <f t="shared" si="5"/>
        <v>0.08333333333</v>
      </c>
    </row>
    <row r="76">
      <c r="A76" s="18" t="s">
        <v>86</v>
      </c>
      <c r="B76" s="54">
        <v>0.40902777777777777</v>
      </c>
      <c r="C76" s="77"/>
      <c r="D76" s="77"/>
      <c r="E76" s="77"/>
      <c r="F76" s="77"/>
      <c r="G76" s="54">
        <v>0.8506944444444444</v>
      </c>
      <c r="H76" s="65">
        <f>G76-B76</f>
        <v>0.4416666667</v>
      </c>
      <c r="I76" s="64" t="s">
        <v>127</v>
      </c>
      <c r="J76" s="65">
        <f t="shared" si="5"/>
        <v>0.06666666667</v>
      </c>
    </row>
    <row r="77">
      <c r="A77" s="18" t="s">
        <v>88</v>
      </c>
      <c r="B77" s="54">
        <v>0.3263888888888889</v>
      </c>
      <c r="C77" s="77"/>
      <c r="D77" s="77"/>
      <c r="E77" s="54">
        <v>0.7333333333333333</v>
      </c>
      <c r="F77" s="77"/>
      <c r="G77" s="77"/>
      <c r="H77" s="65">
        <f>E77-B77</f>
        <v>0.4069444444</v>
      </c>
      <c r="I77" s="64" t="s">
        <v>127</v>
      </c>
      <c r="J77" s="65">
        <f t="shared" si="5"/>
        <v>0.03194444444</v>
      </c>
    </row>
    <row r="78">
      <c r="A78" s="18" t="s">
        <v>89</v>
      </c>
      <c r="B78" s="54">
        <v>0.37569444444444444</v>
      </c>
      <c r="C78" s="77"/>
      <c r="D78" s="77"/>
      <c r="E78" s="77"/>
      <c r="F78" s="77"/>
      <c r="G78" s="54">
        <v>0.8993055555555556</v>
      </c>
      <c r="H78" s="65">
        <f>G78-B78</f>
        <v>0.5236111111</v>
      </c>
      <c r="I78" s="64" t="s">
        <v>127</v>
      </c>
      <c r="J78" s="65">
        <f t="shared" si="5"/>
        <v>0.1486111111</v>
      </c>
    </row>
    <row r="79">
      <c r="A79" s="22" t="s">
        <v>90</v>
      </c>
      <c r="B79" s="54">
        <v>0.34375</v>
      </c>
      <c r="C79" s="54">
        <v>0.7048611111111112</v>
      </c>
      <c r="D79" s="77"/>
      <c r="E79" s="77"/>
      <c r="F79" s="77"/>
      <c r="G79" s="77"/>
      <c r="H79" s="65">
        <f>C79-B79</f>
        <v>0.3611111111</v>
      </c>
      <c r="I79" s="64" t="s">
        <v>127</v>
      </c>
      <c r="J79" s="65">
        <f>H79</f>
        <v>0.3611111111</v>
      </c>
    </row>
    <row r="80">
      <c r="A80" s="22" t="s">
        <v>91</v>
      </c>
      <c r="B80" s="77"/>
      <c r="C80" s="77"/>
      <c r="D80" s="77"/>
      <c r="E80" s="77"/>
      <c r="F80" s="77"/>
      <c r="G80" s="77"/>
      <c r="H80" s="65"/>
      <c r="I80" s="60"/>
      <c r="J80" s="65"/>
    </row>
    <row r="81">
      <c r="A81" s="18" t="s">
        <v>92</v>
      </c>
      <c r="B81" s="54">
        <v>0.4166666666666667</v>
      </c>
      <c r="C81" s="77"/>
      <c r="D81" s="77"/>
      <c r="E81" s="77"/>
      <c r="F81" s="77"/>
      <c r="G81" s="54">
        <v>0.8680555555555556</v>
      </c>
      <c r="H81" s="65">
        <f>G81-B81</f>
        <v>0.4513888889</v>
      </c>
      <c r="I81" s="64" t="s">
        <v>127</v>
      </c>
      <c r="J81" s="65">
        <f t="shared" ref="J81:J85" si="6">H81-I81</f>
        <v>0.07638888889</v>
      </c>
    </row>
    <row r="82">
      <c r="A82" s="18" t="s">
        <v>93</v>
      </c>
      <c r="B82" s="54">
        <v>0.35</v>
      </c>
      <c r="C82" s="77"/>
      <c r="D82" s="77"/>
      <c r="E82" s="54">
        <v>0.6916666666666667</v>
      </c>
      <c r="F82" s="77"/>
      <c r="G82" s="77"/>
      <c r="H82" s="65">
        <f>E82-B82</f>
        <v>0.3416666667</v>
      </c>
      <c r="I82" s="64" t="s">
        <v>127</v>
      </c>
      <c r="J82" s="65">
        <f t="shared" si="6"/>
        <v>-0.03333333333</v>
      </c>
    </row>
    <row r="83">
      <c r="A83" s="18" t="s">
        <v>94</v>
      </c>
      <c r="B83" s="54">
        <v>0.3541666666666667</v>
      </c>
      <c r="C83" s="77"/>
      <c r="D83" s="77"/>
      <c r="E83" s="77"/>
      <c r="F83" s="77"/>
      <c r="G83" s="54">
        <v>0.9</v>
      </c>
      <c r="H83" s="65">
        <f t="shared" ref="H83:H85" si="7">G83-B83</f>
        <v>0.5458333333</v>
      </c>
      <c r="I83" s="64" t="s">
        <v>127</v>
      </c>
      <c r="J83" s="65">
        <f t="shared" si="6"/>
        <v>0.1708333333</v>
      </c>
      <c r="K83" s="48">
        <v>70.0</v>
      </c>
    </row>
    <row r="84">
      <c r="A84" s="18" t="s">
        <v>95</v>
      </c>
      <c r="B84" s="54">
        <v>0.27152777777777776</v>
      </c>
      <c r="C84" s="77"/>
      <c r="D84" s="77"/>
      <c r="E84" s="77"/>
      <c r="F84" s="54">
        <v>0.83125</v>
      </c>
      <c r="G84" s="54">
        <v>0.8347222222222223</v>
      </c>
      <c r="H84" s="65">
        <f t="shared" si="7"/>
        <v>0.5631944444</v>
      </c>
      <c r="I84" s="64" t="s">
        <v>127</v>
      </c>
      <c r="J84" s="65">
        <f t="shared" si="6"/>
        <v>0.1881944444</v>
      </c>
    </row>
    <row r="85">
      <c r="A85" s="18" t="s">
        <v>96</v>
      </c>
      <c r="B85" s="54">
        <v>0.40694444444444444</v>
      </c>
      <c r="C85" s="77"/>
      <c r="D85" s="77"/>
      <c r="E85" s="77"/>
      <c r="F85" s="77"/>
      <c r="G85" s="54">
        <v>0.8729166666666667</v>
      </c>
      <c r="H85" s="65">
        <f t="shared" si="7"/>
        <v>0.4659722222</v>
      </c>
      <c r="I85" s="64" t="s">
        <v>127</v>
      </c>
      <c r="J85" s="65">
        <f t="shared" si="6"/>
        <v>0.09097222222</v>
      </c>
    </row>
    <row r="86">
      <c r="A86" s="22" t="s">
        <v>97</v>
      </c>
      <c r="B86" s="54">
        <v>0.2951388888888889</v>
      </c>
      <c r="C86" s="77"/>
      <c r="D86" s="77"/>
      <c r="E86" s="77"/>
      <c r="F86" s="77"/>
      <c r="G86" s="77"/>
      <c r="H86" s="65"/>
      <c r="I86" s="60"/>
      <c r="J86" s="65"/>
    </row>
    <row r="87">
      <c r="H87" s="65"/>
      <c r="I87" s="60"/>
      <c r="J87" s="66">
        <f>J72+J74+J75+J76+J77+J78+J79+J81+J83+J84+J85</f>
        <v>1.690972222</v>
      </c>
    </row>
    <row r="88">
      <c r="H88" s="65"/>
      <c r="I88" s="60"/>
      <c r="J88" s="65"/>
    </row>
    <row r="89">
      <c r="A89" s="1" t="s">
        <v>0</v>
      </c>
      <c r="B89" s="2" t="s">
        <v>1</v>
      </c>
      <c r="C89" s="3"/>
      <c r="D89" s="4"/>
      <c r="E89" s="1" t="s">
        <v>2</v>
      </c>
      <c r="F89" s="10" t="s">
        <v>117</v>
      </c>
      <c r="G89" s="4"/>
      <c r="H89" s="65"/>
      <c r="I89" s="60"/>
      <c r="J89" s="65"/>
    </row>
    <row r="90">
      <c r="A90" s="1" t="s">
        <v>4</v>
      </c>
      <c r="B90" s="9" t="s">
        <v>206</v>
      </c>
      <c r="C90" s="3"/>
      <c r="D90" s="4"/>
      <c r="E90" s="1" t="s">
        <v>6</v>
      </c>
      <c r="F90" s="10"/>
      <c r="G90" s="4"/>
      <c r="H90" s="65"/>
      <c r="I90" s="60"/>
      <c r="J90" s="65"/>
    </row>
    <row r="91">
      <c r="A91" s="11" t="s">
        <v>7</v>
      </c>
      <c r="B91" s="3"/>
      <c r="C91" s="3"/>
      <c r="D91" s="3"/>
      <c r="E91" s="3"/>
      <c r="F91" s="3"/>
      <c r="G91" s="4"/>
      <c r="H91" s="65"/>
      <c r="I91" s="60"/>
      <c r="J91" s="65"/>
    </row>
    <row r="92">
      <c r="A92" s="15" t="s">
        <v>11</v>
      </c>
      <c r="B92" s="2" t="s">
        <v>12</v>
      </c>
      <c r="C92" s="4"/>
      <c r="D92" s="2" t="s">
        <v>13</v>
      </c>
      <c r="E92" s="3"/>
      <c r="F92" s="10" t="s">
        <v>14</v>
      </c>
      <c r="G92" s="4"/>
      <c r="H92" s="65"/>
      <c r="I92" s="60"/>
      <c r="J92" s="65"/>
    </row>
    <row r="93">
      <c r="A93" s="16"/>
      <c r="B93" s="76" t="s">
        <v>15</v>
      </c>
      <c r="C93" s="76" t="s">
        <v>16</v>
      </c>
      <c r="D93" s="76" t="s">
        <v>15</v>
      </c>
      <c r="E93" s="76" t="s">
        <v>16</v>
      </c>
      <c r="F93" s="76" t="s">
        <v>15</v>
      </c>
      <c r="G93" s="76" t="s">
        <v>16</v>
      </c>
      <c r="H93" s="95" t="s">
        <v>8</v>
      </c>
      <c r="I93" s="100" t="s">
        <v>124</v>
      </c>
      <c r="J93" s="95" t="s">
        <v>10</v>
      </c>
    </row>
    <row r="94">
      <c r="A94" s="22" t="s">
        <v>207</v>
      </c>
      <c r="B94" s="54">
        <v>0.38055555555555554</v>
      </c>
      <c r="C94" s="54">
        <v>0.6916666666666667</v>
      </c>
      <c r="D94" s="77"/>
      <c r="E94" s="77"/>
      <c r="F94" s="77"/>
      <c r="G94" s="77"/>
      <c r="H94" s="65">
        <f>C94-B94</f>
        <v>0.3111111111</v>
      </c>
      <c r="I94" s="64" t="s">
        <v>134</v>
      </c>
      <c r="J94" s="65"/>
    </row>
    <row r="95">
      <c r="A95" s="22" t="s">
        <v>208</v>
      </c>
      <c r="B95" s="77"/>
      <c r="C95" s="77"/>
      <c r="D95" s="77"/>
      <c r="E95" s="77"/>
      <c r="F95" s="77"/>
      <c r="G95" s="77"/>
      <c r="H95" s="65"/>
      <c r="I95" s="60"/>
      <c r="J95" s="65"/>
    </row>
    <row r="96">
      <c r="A96" s="18" t="s">
        <v>84</v>
      </c>
      <c r="B96" s="54">
        <v>0.34791666666666665</v>
      </c>
      <c r="C96" s="77"/>
      <c r="D96" s="77"/>
      <c r="E96" s="54">
        <v>0.7298611111111111</v>
      </c>
      <c r="F96" s="77"/>
      <c r="G96" s="77"/>
      <c r="H96" s="65">
        <f>E96-B96</f>
        <v>0.3819444444</v>
      </c>
      <c r="I96" s="64" t="s">
        <v>134</v>
      </c>
      <c r="J96" s="65">
        <f t="shared" ref="J96:J100" si="8">H96-I96</f>
        <v>0.02777777778</v>
      </c>
    </row>
    <row r="97">
      <c r="A97" s="18" t="s">
        <v>85</v>
      </c>
      <c r="B97" s="54">
        <v>0.1875</v>
      </c>
      <c r="C97" s="77"/>
      <c r="D97" s="54">
        <v>0.5694444444444444</v>
      </c>
      <c r="E97" s="77"/>
      <c r="F97" s="77"/>
      <c r="G97" s="77"/>
      <c r="H97" s="65">
        <f t="shared" ref="H97:H100" si="9">D97-B97</f>
        <v>0.3819444444</v>
      </c>
      <c r="I97" s="64" t="s">
        <v>134</v>
      </c>
      <c r="J97" s="65">
        <f t="shared" si="8"/>
        <v>0.02777777778</v>
      </c>
    </row>
    <row r="98">
      <c r="A98" s="18" t="s">
        <v>86</v>
      </c>
      <c r="B98" s="54">
        <v>0.18819444444444444</v>
      </c>
      <c r="C98" s="77"/>
      <c r="D98" s="54">
        <v>0.5625</v>
      </c>
      <c r="E98" s="77"/>
      <c r="F98" s="77"/>
      <c r="G98" s="77"/>
      <c r="H98" s="65">
        <f t="shared" si="9"/>
        <v>0.3743055556</v>
      </c>
      <c r="I98" s="64" t="s">
        <v>134</v>
      </c>
      <c r="J98" s="65">
        <f t="shared" si="8"/>
        <v>0.02013888889</v>
      </c>
    </row>
    <row r="99">
      <c r="A99" s="18" t="s">
        <v>88</v>
      </c>
      <c r="B99" s="54">
        <v>0.18888888888888888</v>
      </c>
      <c r="C99" s="77"/>
      <c r="D99" s="54">
        <v>0.5597222222222222</v>
      </c>
      <c r="E99" s="77"/>
      <c r="F99" s="77"/>
      <c r="G99" s="77"/>
      <c r="H99" s="65">
        <f t="shared" si="9"/>
        <v>0.3708333333</v>
      </c>
      <c r="I99" s="64" t="s">
        <v>134</v>
      </c>
      <c r="J99" s="65">
        <f t="shared" si="8"/>
        <v>0.01666666667</v>
      </c>
    </row>
    <row r="100">
      <c r="A100" s="18" t="s">
        <v>89</v>
      </c>
      <c r="B100" s="54">
        <v>0.1875</v>
      </c>
      <c r="C100" s="77"/>
      <c r="D100" s="54">
        <v>0.5666666666666667</v>
      </c>
      <c r="E100" s="77"/>
      <c r="F100" s="77"/>
      <c r="G100" s="77"/>
      <c r="H100" s="65">
        <f t="shared" si="9"/>
        <v>0.3791666667</v>
      </c>
      <c r="I100" s="64" t="s">
        <v>134</v>
      </c>
      <c r="J100" s="65">
        <f t="shared" si="8"/>
        <v>0.025</v>
      </c>
    </row>
    <row r="101">
      <c r="A101" s="22" t="s">
        <v>90</v>
      </c>
      <c r="B101" s="77"/>
      <c r="C101" s="77"/>
      <c r="D101" s="77"/>
      <c r="E101" s="77"/>
      <c r="F101" s="77"/>
      <c r="G101" s="77"/>
      <c r="H101" s="65"/>
      <c r="I101" s="60"/>
      <c r="J101" s="65"/>
    </row>
    <row r="102">
      <c r="A102" s="22" t="s">
        <v>91</v>
      </c>
      <c r="B102" s="77"/>
      <c r="C102" s="77"/>
      <c r="D102" s="77"/>
      <c r="E102" s="77"/>
      <c r="F102" s="77"/>
      <c r="G102" s="77"/>
      <c r="H102" s="65"/>
      <c r="I102" s="60"/>
      <c r="J102" s="65"/>
    </row>
    <row r="103">
      <c r="A103" s="18" t="s">
        <v>92</v>
      </c>
      <c r="B103" s="54">
        <v>0.36319444444444443</v>
      </c>
      <c r="C103" s="77"/>
      <c r="D103" s="77"/>
      <c r="E103" s="54">
        <v>0.7583333333333333</v>
      </c>
      <c r="F103" s="77"/>
      <c r="G103" s="77"/>
      <c r="H103" s="65">
        <f>E103-B103</f>
        <v>0.3951388889</v>
      </c>
      <c r="I103" s="64" t="s">
        <v>134</v>
      </c>
      <c r="J103" s="65">
        <f>H103-I103</f>
        <v>0.04097222222</v>
      </c>
    </row>
    <row r="104">
      <c r="A104" s="18" t="s">
        <v>93</v>
      </c>
      <c r="B104" s="79"/>
      <c r="C104" s="24"/>
      <c r="D104" s="25"/>
      <c r="E104" s="26"/>
      <c r="F104" s="24"/>
      <c r="G104" s="102"/>
      <c r="H104" s="65"/>
      <c r="I104" s="60"/>
      <c r="J104" s="65"/>
    </row>
    <row r="105">
      <c r="A105" s="18" t="s">
        <v>94</v>
      </c>
      <c r="B105" s="54">
        <v>0.18611111111111112</v>
      </c>
      <c r="C105" s="77"/>
      <c r="D105" s="54">
        <v>0.6159722222222223</v>
      </c>
      <c r="E105" s="77"/>
      <c r="F105" s="77"/>
      <c r="G105" s="77"/>
      <c r="H105" s="65">
        <f t="shared" ref="H105:H107" si="10">D105-B105</f>
        <v>0.4298611111</v>
      </c>
      <c r="I105" s="64" t="s">
        <v>134</v>
      </c>
      <c r="J105" s="65">
        <f t="shared" ref="J105:J107" si="11">H105-I105</f>
        <v>0.07569444444</v>
      </c>
      <c r="K105" s="48">
        <v>41.0</v>
      </c>
    </row>
    <row r="106">
      <c r="A106" s="18" t="s">
        <v>95</v>
      </c>
      <c r="B106" s="54">
        <v>0.1840277777777778</v>
      </c>
      <c r="C106" s="77"/>
      <c r="D106" s="54">
        <v>0.56875</v>
      </c>
      <c r="E106" s="77"/>
      <c r="F106" s="77"/>
      <c r="G106" s="77"/>
      <c r="H106" s="65">
        <f t="shared" si="10"/>
        <v>0.3847222222</v>
      </c>
      <c r="I106" s="64" t="s">
        <v>134</v>
      </c>
      <c r="J106" s="65">
        <f t="shared" si="11"/>
        <v>0.03055555556</v>
      </c>
    </row>
    <row r="107">
      <c r="A107" s="18" t="s">
        <v>96</v>
      </c>
      <c r="B107" s="54">
        <v>0.18125</v>
      </c>
      <c r="C107" s="77"/>
      <c r="D107" s="54">
        <v>0.7291666666666666</v>
      </c>
      <c r="E107" s="77"/>
      <c r="F107" s="77"/>
      <c r="G107" s="77"/>
      <c r="H107" s="65">
        <f t="shared" si="10"/>
        <v>0.5479166667</v>
      </c>
      <c r="I107" s="64" t="s">
        <v>134</v>
      </c>
      <c r="J107" s="65">
        <f t="shared" si="11"/>
        <v>0.19375</v>
      </c>
    </row>
    <row r="108">
      <c r="A108" s="22" t="s">
        <v>97</v>
      </c>
      <c r="B108" s="54">
        <v>0.36527777777777776</v>
      </c>
      <c r="C108" s="77"/>
      <c r="D108" s="77"/>
      <c r="E108" s="77"/>
      <c r="F108" s="77"/>
      <c r="G108" s="77"/>
      <c r="H108" s="65"/>
      <c r="I108" s="60"/>
      <c r="J108" s="65"/>
    </row>
    <row r="109">
      <c r="H109" s="65"/>
      <c r="I109" s="60"/>
      <c r="J109" s="66">
        <f>J96+J97+J98+J99+J100+J103+J105+J106+J107</f>
        <v>0.4583333333</v>
      </c>
    </row>
    <row r="110">
      <c r="H110" s="65"/>
      <c r="I110" s="60"/>
      <c r="J110" s="65"/>
    </row>
    <row r="111">
      <c r="A111" s="1" t="s">
        <v>0</v>
      </c>
      <c r="B111" s="2" t="s">
        <v>1</v>
      </c>
      <c r="C111" s="3"/>
      <c r="D111" s="4"/>
      <c r="E111" s="1" t="s">
        <v>2</v>
      </c>
      <c r="F111" s="103" t="s">
        <v>63</v>
      </c>
      <c r="G111" s="4"/>
      <c r="H111" s="65"/>
      <c r="I111" s="60"/>
      <c r="J111" s="65"/>
    </row>
    <row r="112">
      <c r="A112" s="1" t="s">
        <v>4</v>
      </c>
      <c r="B112" s="9" t="s">
        <v>206</v>
      </c>
      <c r="C112" s="3"/>
      <c r="D112" s="4"/>
      <c r="E112" s="1" t="s">
        <v>6</v>
      </c>
      <c r="F112" s="10"/>
      <c r="G112" s="4"/>
      <c r="H112" s="65"/>
      <c r="I112" s="60"/>
      <c r="J112" s="65"/>
    </row>
    <row r="113">
      <c r="A113" s="11" t="s">
        <v>7</v>
      </c>
      <c r="B113" s="3"/>
      <c r="C113" s="3"/>
      <c r="D113" s="3"/>
      <c r="E113" s="3"/>
      <c r="F113" s="3"/>
      <c r="G113" s="4"/>
      <c r="H113" s="65"/>
      <c r="I113" s="60"/>
      <c r="J113" s="65"/>
    </row>
    <row r="114">
      <c r="A114" s="15" t="s">
        <v>11</v>
      </c>
      <c r="B114" s="2" t="s">
        <v>12</v>
      </c>
      <c r="C114" s="4"/>
      <c r="D114" s="2" t="s">
        <v>13</v>
      </c>
      <c r="E114" s="3"/>
      <c r="F114" s="10" t="s">
        <v>14</v>
      </c>
      <c r="G114" s="4"/>
      <c r="H114" s="65"/>
      <c r="I114" s="60"/>
      <c r="J114" s="65"/>
    </row>
    <row r="115">
      <c r="A115" s="16"/>
      <c r="B115" s="76" t="s">
        <v>15</v>
      </c>
      <c r="C115" s="76" t="s">
        <v>16</v>
      </c>
      <c r="D115" s="76" t="s">
        <v>15</v>
      </c>
      <c r="E115" s="76" t="s">
        <v>16</v>
      </c>
      <c r="F115" s="76" t="s">
        <v>15</v>
      </c>
      <c r="G115" s="76" t="s">
        <v>16</v>
      </c>
      <c r="H115" s="95" t="s">
        <v>8</v>
      </c>
      <c r="I115" s="100" t="s">
        <v>124</v>
      </c>
      <c r="J115" s="95" t="s">
        <v>10</v>
      </c>
    </row>
    <row r="116">
      <c r="A116" s="22" t="s">
        <v>207</v>
      </c>
      <c r="B116" s="77"/>
      <c r="C116" s="77"/>
      <c r="D116" s="77"/>
      <c r="E116" s="77"/>
      <c r="F116" s="77"/>
      <c r="G116" s="77"/>
      <c r="H116" s="65"/>
      <c r="I116" s="60"/>
      <c r="J116" s="65"/>
    </row>
    <row r="117">
      <c r="A117" s="22" t="s">
        <v>208</v>
      </c>
      <c r="B117" s="77"/>
      <c r="C117" s="77"/>
      <c r="D117" s="77"/>
      <c r="E117" s="77"/>
      <c r="F117" s="77"/>
      <c r="G117" s="77"/>
      <c r="H117" s="65"/>
      <c r="I117" s="60"/>
      <c r="J117" s="65"/>
    </row>
    <row r="118">
      <c r="A118" s="18" t="s">
        <v>84</v>
      </c>
      <c r="B118" s="54">
        <v>0.37083333333333335</v>
      </c>
      <c r="C118" s="77"/>
      <c r="D118" s="77"/>
      <c r="E118" s="54">
        <v>0.7298611111111111</v>
      </c>
      <c r="F118" s="77"/>
      <c r="G118" s="77"/>
      <c r="H118" s="65">
        <f>E118-B118</f>
        <v>0.3590277778</v>
      </c>
      <c r="I118" s="64" t="s">
        <v>134</v>
      </c>
      <c r="J118" s="65">
        <f>H118-I118</f>
        <v>0.004861111111</v>
      </c>
    </row>
    <row r="119">
      <c r="A119" s="18" t="s">
        <v>85</v>
      </c>
      <c r="B119" s="79"/>
      <c r="C119" s="24"/>
      <c r="D119" s="25"/>
      <c r="E119" s="26"/>
      <c r="F119" s="24"/>
      <c r="G119" s="102"/>
      <c r="H119" s="65"/>
      <c r="I119" s="60"/>
      <c r="J119" s="65"/>
    </row>
    <row r="120">
      <c r="A120" s="18" t="s">
        <v>86</v>
      </c>
      <c r="B120" s="54">
        <v>0.36319444444444443</v>
      </c>
      <c r="C120" s="77"/>
      <c r="D120" s="77"/>
      <c r="E120" s="54">
        <v>0.7305555555555555</v>
      </c>
      <c r="F120" s="77"/>
      <c r="G120" s="77"/>
      <c r="H120" s="65">
        <f t="shared" ref="H120:H122" si="12">E120-B120</f>
        <v>0.3673611111</v>
      </c>
      <c r="I120" s="64" t="s">
        <v>134</v>
      </c>
      <c r="J120" s="65">
        <f t="shared" ref="J120:J122" si="13">H120-I120</f>
        <v>0.01319444444</v>
      </c>
    </row>
    <row r="121">
      <c r="A121" s="18" t="s">
        <v>88</v>
      </c>
      <c r="B121" s="54">
        <v>0.36180555555555555</v>
      </c>
      <c r="C121" s="77"/>
      <c r="D121" s="77"/>
      <c r="E121" s="54">
        <v>0.71875</v>
      </c>
      <c r="F121" s="77"/>
      <c r="G121" s="77"/>
      <c r="H121" s="65">
        <f t="shared" si="12"/>
        <v>0.3569444444</v>
      </c>
      <c r="I121" s="64" t="s">
        <v>134</v>
      </c>
      <c r="J121" s="65">
        <f t="shared" si="13"/>
        <v>0.002777777778</v>
      </c>
    </row>
    <row r="122">
      <c r="A122" s="18" t="s">
        <v>89</v>
      </c>
      <c r="B122" s="54">
        <v>0.3638888888888889</v>
      </c>
      <c r="C122" s="77"/>
      <c r="D122" s="77"/>
      <c r="E122" s="54">
        <v>0.7333333333333333</v>
      </c>
      <c r="F122" s="77"/>
      <c r="G122" s="77"/>
      <c r="H122" s="65">
        <f t="shared" si="12"/>
        <v>0.3694444444</v>
      </c>
      <c r="I122" s="64" t="s">
        <v>134</v>
      </c>
      <c r="J122" s="65">
        <f t="shared" si="13"/>
        <v>0.01527777778</v>
      </c>
    </row>
    <row r="123">
      <c r="A123" s="22" t="s">
        <v>90</v>
      </c>
      <c r="B123" s="54">
        <v>0.3541666666666667</v>
      </c>
      <c r="C123" s="54">
        <v>0.6666666666666666</v>
      </c>
      <c r="D123" s="77"/>
      <c r="E123" s="77"/>
      <c r="F123" s="77"/>
      <c r="G123" s="77"/>
      <c r="H123" s="65">
        <f>C123-B123</f>
        <v>0.3125</v>
      </c>
      <c r="I123" s="64" t="s">
        <v>134</v>
      </c>
      <c r="J123" s="65"/>
    </row>
    <row r="124">
      <c r="A124" s="22" t="s">
        <v>91</v>
      </c>
      <c r="B124" s="77"/>
      <c r="C124" s="77"/>
      <c r="D124" s="77"/>
      <c r="E124" s="77"/>
      <c r="F124" s="77"/>
      <c r="G124" s="77"/>
      <c r="H124" s="65"/>
      <c r="I124" s="60"/>
      <c r="J124" s="65"/>
    </row>
    <row r="125">
      <c r="A125" s="18" t="s">
        <v>92</v>
      </c>
      <c r="B125" s="54">
        <v>0.3763888888888889</v>
      </c>
      <c r="C125" s="77"/>
      <c r="D125" s="77"/>
      <c r="E125" s="54">
        <v>0.7583333333333333</v>
      </c>
      <c r="F125" s="77"/>
      <c r="G125" s="77"/>
      <c r="H125" s="65">
        <f>E125-B125</f>
        <v>0.3819444444</v>
      </c>
      <c r="I125" s="64" t="s">
        <v>134</v>
      </c>
      <c r="J125" s="65">
        <f t="shared" ref="J125:J129" si="14">H125-I125</f>
        <v>0.02777777778</v>
      </c>
    </row>
    <row r="126">
      <c r="A126" s="18" t="s">
        <v>93</v>
      </c>
      <c r="B126" s="54">
        <v>0.19791666666666666</v>
      </c>
      <c r="C126" s="77"/>
      <c r="D126" s="54">
        <v>0.5875</v>
      </c>
      <c r="E126" s="77"/>
      <c r="F126" s="77"/>
      <c r="G126" s="77"/>
      <c r="H126" s="65">
        <f>D126-B126</f>
        <v>0.3895833333</v>
      </c>
      <c r="I126" s="64" t="s">
        <v>134</v>
      </c>
      <c r="J126" s="65">
        <f t="shared" si="14"/>
        <v>0.03541666667</v>
      </c>
    </row>
    <row r="127">
      <c r="A127" s="18" t="s">
        <v>94</v>
      </c>
      <c r="B127" s="54">
        <v>0.3819444444444444</v>
      </c>
      <c r="C127" s="77"/>
      <c r="D127" s="77"/>
      <c r="E127" s="77"/>
      <c r="F127" s="54">
        <v>0.7798611111111111</v>
      </c>
      <c r="G127" s="77"/>
      <c r="H127" s="65">
        <f>F127-B127</f>
        <v>0.3979166667</v>
      </c>
      <c r="I127" s="64" t="s">
        <v>134</v>
      </c>
      <c r="J127" s="65">
        <f t="shared" si="14"/>
        <v>0.04375</v>
      </c>
      <c r="K127" s="48">
        <v>28.41</v>
      </c>
    </row>
    <row r="128">
      <c r="A128" s="18" t="s">
        <v>95</v>
      </c>
      <c r="B128" s="54">
        <v>0.3840277777777778</v>
      </c>
      <c r="C128" s="77"/>
      <c r="D128" s="77"/>
      <c r="E128" s="54">
        <v>0.7395833333333334</v>
      </c>
      <c r="F128" s="77"/>
      <c r="G128" s="77"/>
      <c r="H128" s="65">
        <f t="shared" ref="H128:H129" si="15">E128-B128</f>
        <v>0.3555555556</v>
      </c>
      <c r="I128" s="64" t="s">
        <v>134</v>
      </c>
      <c r="J128" s="65">
        <f t="shared" si="14"/>
        <v>0.001388888889</v>
      </c>
    </row>
    <row r="129">
      <c r="A129" s="18" t="s">
        <v>96</v>
      </c>
      <c r="B129" s="54">
        <v>0.3770833333333333</v>
      </c>
      <c r="C129" s="77"/>
      <c r="D129" s="77"/>
      <c r="E129" s="54">
        <v>0.7305555555555555</v>
      </c>
      <c r="F129" s="77"/>
      <c r="G129" s="77"/>
      <c r="H129" s="65">
        <f t="shared" si="15"/>
        <v>0.3534722222</v>
      </c>
      <c r="I129" s="64" t="s">
        <v>134</v>
      </c>
      <c r="J129" s="65">
        <f t="shared" si="14"/>
        <v>-0.0006944444444</v>
      </c>
    </row>
    <row r="130">
      <c r="A130" s="22" t="s">
        <v>97</v>
      </c>
      <c r="B130" s="77"/>
      <c r="C130" s="77"/>
      <c r="D130" s="77"/>
      <c r="E130" s="77"/>
      <c r="F130" s="77"/>
      <c r="G130" s="77"/>
      <c r="H130" s="65"/>
      <c r="I130" s="60"/>
      <c r="J130" s="65"/>
    </row>
    <row r="131">
      <c r="H131" s="65"/>
      <c r="I131" s="60"/>
      <c r="J131" s="66">
        <f>J120+J122+J125+J126+J127</f>
        <v>0.1354166667</v>
      </c>
    </row>
    <row r="132">
      <c r="H132" s="65"/>
      <c r="I132" s="60"/>
      <c r="J132" s="65"/>
    </row>
    <row r="133">
      <c r="A133" s="1" t="s">
        <v>0</v>
      </c>
      <c r="B133" s="2" t="s">
        <v>1</v>
      </c>
      <c r="C133" s="3"/>
      <c r="D133" s="4"/>
      <c r="E133" s="1" t="s">
        <v>2</v>
      </c>
      <c r="F133" s="10" t="s">
        <v>211</v>
      </c>
      <c r="G133" s="4"/>
      <c r="H133" s="65"/>
      <c r="I133" s="60"/>
      <c r="J133" s="65"/>
    </row>
    <row r="134">
      <c r="A134" s="1" t="s">
        <v>4</v>
      </c>
      <c r="B134" s="9" t="s">
        <v>206</v>
      </c>
      <c r="C134" s="3"/>
      <c r="D134" s="4"/>
      <c r="E134" s="1" t="s">
        <v>6</v>
      </c>
      <c r="F134" s="10"/>
      <c r="G134" s="4"/>
      <c r="H134" s="65"/>
      <c r="I134" s="60"/>
      <c r="J134" s="65"/>
    </row>
    <row r="135">
      <c r="A135" s="11" t="s">
        <v>7</v>
      </c>
      <c r="B135" s="3"/>
      <c r="C135" s="3"/>
      <c r="D135" s="3"/>
      <c r="E135" s="3"/>
      <c r="F135" s="3"/>
      <c r="G135" s="4"/>
      <c r="H135" s="65"/>
      <c r="I135" s="60"/>
      <c r="J135" s="65"/>
    </row>
    <row r="136">
      <c r="A136" s="15" t="s">
        <v>11</v>
      </c>
      <c r="B136" s="2" t="s">
        <v>12</v>
      </c>
      <c r="C136" s="4"/>
      <c r="D136" s="2" t="s">
        <v>13</v>
      </c>
      <c r="E136" s="3"/>
      <c r="F136" s="10" t="s">
        <v>14</v>
      </c>
      <c r="G136" s="4"/>
      <c r="H136" s="65"/>
      <c r="I136" s="60"/>
      <c r="J136" s="65"/>
    </row>
    <row r="137">
      <c r="A137" s="16"/>
      <c r="B137" s="76" t="s">
        <v>15</v>
      </c>
      <c r="C137" s="76" t="s">
        <v>16</v>
      </c>
      <c r="D137" s="76" t="s">
        <v>15</v>
      </c>
      <c r="E137" s="76" t="s">
        <v>16</v>
      </c>
      <c r="F137" s="76" t="s">
        <v>15</v>
      </c>
      <c r="G137" s="76" t="s">
        <v>16</v>
      </c>
      <c r="H137" s="95" t="s">
        <v>8</v>
      </c>
      <c r="I137" s="100" t="s">
        <v>124</v>
      </c>
      <c r="J137" s="95" t="s">
        <v>10</v>
      </c>
    </row>
    <row r="138">
      <c r="A138" s="22" t="s">
        <v>207</v>
      </c>
      <c r="B138" s="54">
        <v>0.38472222222222224</v>
      </c>
      <c r="C138" s="54">
        <v>0.6916666666666667</v>
      </c>
      <c r="D138" s="77"/>
      <c r="E138" s="77"/>
      <c r="F138" s="77"/>
      <c r="G138" s="77"/>
      <c r="H138" s="65">
        <f>C138-B138</f>
        <v>0.3069444444</v>
      </c>
      <c r="I138" s="64" t="s">
        <v>134</v>
      </c>
      <c r="J138" s="65"/>
    </row>
    <row r="139">
      <c r="A139" s="22" t="s">
        <v>208</v>
      </c>
      <c r="B139" s="77"/>
      <c r="C139" s="77"/>
      <c r="D139" s="77"/>
      <c r="E139" s="77"/>
      <c r="F139" s="77"/>
      <c r="G139" s="77"/>
      <c r="H139" s="65"/>
      <c r="I139" s="60"/>
      <c r="J139" s="65"/>
    </row>
    <row r="140">
      <c r="A140" s="18" t="s">
        <v>84</v>
      </c>
      <c r="B140" s="77"/>
      <c r="C140" s="77"/>
      <c r="D140" s="54">
        <v>0.5451388888888888</v>
      </c>
      <c r="E140" s="77"/>
      <c r="F140" s="77"/>
      <c r="G140" s="54">
        <v>0.8541666666666666</v>
      </c>
      <c r="H140" s="65">
        <f>G140-D140</f>
        <v>0.3090277778</v>
      </c>
      <c r="I140" s="64" t="s">
        <v>134</v>
      </c>
      <c r="J140" s="65"/>
    </row>
    <row r="141">
      <c r="A141" s="18" t="s">
        <v>85</v>
      </c>
      <c r="B141" s="54">
        <v>0.3923611111111111</v>
      </c>
      <c r="C141" s="77"/>
      <c r="D141" s="77"/>
      <c r="E141" s="54">
        <v>0.7333333333333333</v>
      </c>
      <c r="F141" s="77"/>
      <c r="G141" s="77"/>
      <c r="H141" s="65">
        <f>E141-B141</f>
        <v>0.3409722222</v>
      </c>
      <c r="I141" s="64" t="s">
        <v>134</v>
      </c>
      <c r="J141" s="65"/>
    </row>
    <row r="142">
      <c r="A142" s="18" t="s">
        <v>86</v>
      </c>
      <c r="B142" s="79"/>
      <c r="C142" s="24"/>
      <c r="D142" s="25"/>
      <c r="E142" s="26"/>
      <c r="F142" s="24"/>
      <c r="G142" s="102"/>
      <c r="H142" s="65"/>
      <c r="I142" s="60"/>
      <c r="J142" s="65"/>
    </row>
    <row r="143">
      <c r="A143" s="18" t="s">
        <v>88</v>
      </c>
      <c r="B143" s="54">
        <v>0.3902777777777778</v>
      </c>
      <c r="C143" s="77"/>
      <c r="D143" s="77"/>
      <c r="E143" s="54">
        <v>0.7326388888888888</v>
      </c>
      <c r="F143" s="77"/>
      <c r="G143" s="77"/>
      <c r="H143" s="65">
        <f>E143-B143</f>
        <v>0.3423611111</v>
      </c>
      <c r="I143" s="64" t="s">
        <v>134</v>
      </c>
      <c r="J143" s="65"/>
    </row>
    <row r="144">
      <c r="A144" s="18" t="s">
        <v>89</v>
      </c>
      <c r="B144" s="77"/>
      <c r="C144" s="77"/>
      <c r="D144" s="54">
        <v>0.5534722222222223</v>
      </c>
      <c r="E144" s="77"/>
      <c r="F144" s="77"/>
      <c r="G144" s="54">
        <v>0.8986111111111111</v>
      </c>
      <c r="H144" s="65">
        <f>G144-D144</f>
        <v>0.3451388889</v>
      </c>
      <c r="I144" s="64" t="s">
        <v>134</v>
      </c>
      <c r="J144" s="65"/>
    </row>
    <row r="145">
      <c r="A145" s="22" t="s">
        <v>90</v>
      </c>
      <c r="B145" s="54">
        <v>0.39444444444444443</v>
      </c>
      <c r="C145" s="54">
        <v>0.6833333333333333</v>
      </c>
      <c r="D145" s="77"/>
      <c r="E145" s="77"/>
      <c r="F145" s="77"/>
      <c r="G145" s="77"/>
      <c r="H145" s="65">
        <f>C145-B145</f>
        <v>0.2888888889</v>
      </c>
      <c r="I145" s="64" t="s">
        <v>134</v>
      </c>
      <c r="J145" s="65"/>
    </row>
    <row r="146">
      <c r="A146" s="22" t="s">
        <v>91</v>
      </c>
      <c r="B146" s="77"/>
      <c r="C146" s="77"/>
      <c r="D146" s="77"/>
      <c r="E146" s="77"/>
      <c r="F146" s="77"/>
      <c r="G146" s="77"/>
      <c r="H146" s="65"/>
      <c r="I146" s="60"/>
      <c r="J146" s="65"/>
    </row>
    <row r="147">
      <c r="A147" s="18" t="s">
        <v>92</v>
      </c>
      <c r="B147" s="77"/>
      <c r="C147" s="77"/>
      <c r="D147" s="54">
        <v>0.5631944444444444</v>
      </c>
      <c r="E147" s="77"/>
      <c r="F147" s="77"/>
      <c r="G147" s="54">
        <v>0.8527777777777777</v>
      </c>
      <c r="H147" s="65">
        <f>G147-D147</f>
        <v>0.2895833333</v>
      </c>
      <c r="I147" s="64" t="s">
        <v>134</v>
      </c>
      <c r="J147" s="65"/>
    </row>
    <row r="148">
      <c r="A148" s="18" t="s">
        <v>93</v>
      </c>
      <c r="B148" s="54">
        <v>0.3819444444444444</v>
      </c>
      <c r="C148" s="77"/>
      <c r="D148" s="77"/>
      <c r="E148" s="54">
        <v>0.6909722222222222</v>
      </c>
      <c r="F148" s="77"/>
      <c r="G148" s="77"/>
      <c r="H148" s="65">
        <f>E148-B148</f>
        <v>0.3090277778</v>
      </c>
      <c r="I148" s="64" t="s">
        <v>134</v>
      </c>
      <c r="J148" s="65"/>
    </row>
    <row r="149">
      <c r="A149" s="18" t="s">
        <v>94</v>
      </c>
      <c r="B149" s="79"/>
      <c r="C149" s="24"/>
      <c r="D149" s="25"/>
      <c r="E149" s="26"/>
      <c r="F149" s="24"/>
      <c r="G149" s="102"/>
      <c r="H149" s="65"/>
      <c r="I149" s="60"/>
      <c r="J149" s="65"/>
    </row>
    <row r="150">
      <c r="A150" s="18" t="s">
        <v>95</v>
      </c>
      <c r="B150" s="54">
        <v>0.38680555555555557</v>
      </c>
      <c r="C150" s="77"/>
      <c r="D150" s="77"/>
      <c r="E150" s="77"/>
      <c r="F150" s="54">
        <v>0.7986111111111112</v>
      </c>
      <c r="G150" s="77"/>
      <c r="H150" s="65">
        <f>F150-B150</f>
        <v>0.4118055556</v>
      </c>
      <c r="I150" s="64" t="s">
        <v>134</v>
      </c>
      <c r="J150" s="65">
        <f>H150-I150</f>
        <v>0.05763888889</v>
      </c>
    </row>
    <row r="151">
      <c r="A151" s="18" t="s">
        <v>96</v>
      </c>
      <c r="B151" s="77"/>
      <c r="C151" s="77"/>
      <c r="D151" s="54">
        <v>0.5527777777777778</v>
      </c>
      <c r="E151" s="77"/>
      <c r="F151" s="77"/>
      <c r="G151" s="54">
        <v>0.8722222222222222</v>
      </c>
      <c r="H151" s="65">
        <f>G151-D151</f>
        <v>0.3194444444</v>
      </c>
      <c r="I151" s="64" t="s">
        <v>134</v>
      </c>
      <c r="J151" s="65"/>
    </row>
    <row r="152">
      <c r="A152" s="22" t="s">
        <v>97</v>
      </c>
      <c r="B152" s="54">
        <v>0.39305555555555555</v>
      </c>
      <c r="C152" s="77"/>
      <c r="D152" s="77"/>
      <c r="E152" s="77"/>
      <c r="F152" s="77"/>
      <c r="G152" s="77"/>
      <c r="H152" s="65"/>
      <c r="I152" s="60"/>
      <c r="J152" s="65"/>
    </row>
    <row r="153">
      <c r="H153" s="65"/>
      <c r="I153" s="60"/>
      <c r="J153" s="65"/>
    </row>
    <row r="154">
      <c r="H154" s="65"/>
      <c r="I154" s="60"/>
      <c r="J154" s="65"/>
    </row>
    <row r="155">
      <c r="A155" s="1" t="s">
        <v>0</v>
      </c>
      <c r="B155" s="2" t="s">
        <v>1</v>
      </c>
      <c r="C155" s="3"/>
      <c r="D155" s="4"/>
      <c r="E155" s="1" t="s">
        <v>2</v>
      </c>
      <c r="F155" s="10" t="s">
        <v>212</v>
      </c>
      <c r="G155" s="4"/>
      <c r="H155" s="65"/>
      <c r="I155" s="60"/>
      <c r="J155" s="65"/>
    </row>
    <row r="156">
      <c r="A156" s="1" t="s">
        <v>4</v>
      </c>
      <c r="B156" s="9" t="s">
        <v>206</v>
      </c>
      <c r="C156" s="3"/>
      <c r="D156" s="4"/>
      <c r="E156" s="1" t="s">
        <v>6</v>
      </c>
      <c r="F156" s="10"/>
      <c r="G156" s="4"/>
      <c r="H156" s="65"/>
      <c r="I156" s="60"/>
      <c r="J156" s="65"/>
    </row>
    <row r="157">
      <c r="A157" s="11" t="s">
        <v>7</v>
      </c>
      <c r="B157" s="3"/>
      <c r="C157" s="3"/>
      <c r="D157" s="3"/>
      <c r="E157" s="3"/>
      <c r="F157" s="3"/>
      <c r="G157" s="4"/>
      <c r="H157" s="65"/>
      <c r="I157" s="60"/>
      <c r="J157" s="65"/>
    </row>
    <row r="158">
      <c r="A158" s="15" t="s">
        <v>11</v>
      </c>
      <c r="B158" s="2" t="s">
        <v>12</v>
      </c>
      <c r="C158" s="4"/>
      <c r="D158" s="2" t="s">
        <v>13</v>
      </c>
      <c r="E158" s="3"/>
      <c r="F158" s="10" t="s">
        <v>14</v>
      </c>
      <c r="G158" s="4"/>
      <c r="H158" s="65"/>
      <c r="I158" s="60"/>
      <c r="J158" s="65"/>
    </row>
    <row r="159">
      <c r="A159" s="16"/>
      <c r="B159" s="76" t="s">
        <v>15</v>
      </c>
      <c r="C159" s="76" t="s">
        <v>16</v>
      </c>
      <c r="D159" s="76" t="s">
        <v>15</v>
      </c>
      <c r="E159" s="76" t="s">
        <v>16</v>
      </c>
      <c r="F159" s="76" t="s">
        <v>15</v>
      </c>
      <c r="G159" s="76" t="s">
        <v>16</v>
      </c>
      <c r="H159" s="95" t="s">
        <v>8</v>
      </c>
      <c r="I159" s="100" t="s">
        <v>124</v>
      </c>
      <c r="J159" s="95" t="s">
        <v>10</v>
      </c>
    </row>
    <row r="160">
      <c r="A160" s="22" t="s">
        <v>207</v>
      </c>
      <c r="B160" s="54">
        <v>0.20833333333333334</v>
      </c>
      <c r="C160" s="54">
        <v>0.5638888888888889</v>
      </c>
      <c r="D160" s="77"/>
      <c r="E160" s="77"/>
      <c r="F160" s="77"/>
      <c r="G160" s="77"/>
      <c r="H160" s="65">
        <f>C160-B160</f>
        <v>0.3555555556</v>
      </c>
      <c r="I160" s="60"/>
      <c r="J160" s="65"/>
    </row>
    <row r="161">
      <c r="A161" s="22" t="s">
        <v>208</v>
      </c>
      <c r="B161" s="77"/>
      <c r="C161" s="77"/>
      <c r="D161" s="77"/>
      <c r="E161" s="77"/>
      <c r="F161" s="77"/>
      <c r="G161" s="77"/>
      <c r="H161" s="65"/>
      <c r="I161" s="60"/>
      <c r="J161" s="65"/>
    </row>
    <row r="162">
      <c r="A162" s="18" t="s">
        <v>84</v>
      </c>
      <c r="B162" s="54">
        <v>0.19652777777777777</v>
      </c>
      <c r="C162" s="77"/>
      <c r="D162" s="54">
        <v>0.5625</v>
      </c>
      <c r="E162" s="77"/>
      <c r="F162" s="77"/>
      <c r="G162" s="77"/>
      <c r="H162" s="65">
        <f>D162-B162</f>
        <v>0.3659722222</v>
      </c>
      <c r="I162" s="60"/>
      <c r="J162" s="65"/>
    </row>
    <row r="163">
      <c r="A163" s="18" t="s">
        <v>85</v>
      </c>
      <c r="B163" s="54">
        <v>0.1951388888888889</v>
      </c>
      <c r="C163" s="77"/>
      <c r="D163" s="77"/>
      <c r="E163" s="77"/>
      <c r="F163" s="77"/>
      <c r="G163" s="77"/>
      <c r="H163" s="65"/>
      <c r="I163" s="60"/>
      <c r="J163" s="65"/>
    </row>
    <row r="164">
      <c r="A164" s="18" t="s">
        <v>86</v>
      </c>
      <c r="B164" s="54">
        <v>0.19722222222222222</v>
      </c>
      <c r="C164" s="77"/>
      <c r="D164" s="54">
        <v>0.5625</v>
      </c>
      <c r="E164" s="77"/>
      <c r="F164" s="77"/>
      <c r="G164" s="77"/>
      <c r="H164" s="65"/>
      <c r="I164" s="60"/>
      <c r="J164" s="65"/>
    </row>
    <row r="165">
      <c r="A165" s="18" t="s">
        <v>88</v>
      </c>
      <c r="B165" s="54">
        <v>0.19930555555555557</v>
      </c>
      <c r="C165" s="77"/>
      <c r="D165" s="54">
        <v>0.5652777777777778</v>
      </c>
      <c r="E165" s="77"/>
      <c r="F165" s="77"/>
      <c r="G165" s="77"/>
      <c r="H165" s="65"/>
      <c r="I165" s="60"/>
      <c r="J165" s="65"/>
    </row>
    <row r="166">
      <c r="A166" s="18" t="s">
        <v>89</v>
      </c>
      <c r="B166" s="54">
        <v>0.20277777777777778</v>
      </c>
      <c r="C166" s="77"/>
      <c r="D166" s="54">
        <v>0.5652777777777778</v>
      </c>
      <c r="E166" s="77"/>
      <c r="F166" s="77"/>
      <c r="G166" s="77"/>
      <c r="H166" s="65"/>
      <c r="I166" s="60"/>
      <c r="J166" s="65"/>
    </row>
    <row r="167">
      <c r="A167" s="22" t="s">
        <v>90</v>
      </c>
      <c r="B167" s="54">
        <v>0.19652777777777777</v>
      </c>
      <c r="C167" s="54">
        <v>0.5694444444444444</v>
      </c>
      <c r="D167" s="77"/>
      <c r="E167" s="77"/>
      <c r="F167" s="77"/>
      <c r="G167" s="77"/>
      <c r="H167" s="65"/>
      <c r="I167" s="60"/>
      <c r="J167" s="65"/>
    </row>
    <row r="168">
      <c r="A168" s="22" t="s">
        <v>91</v>
      </c>
      <c r="B168" s="77"/>
      <c r="C168" s="77"/>
      <c r="D168" s="77"/>
      <c r="E168" s="77"/>
      <c r="F168" s="77"/>
      <c r="G168" s="77"/>
      <c r="H168" s="65"/>
      <c r="I168" s="60"/>
      <c r="J168" s="65"/>
    </row>
    <row r="169">
      <c r="A169" s="18" t="s">
        <v>92</v>
      </c>
      <c r="B169" s="54">
        <v>0.1909722222222222</v>
      </c>
      <c r="C169" s="77"/>
      <c r="D169" s="54">
        <v>0.5673611111111111</v>
      </c>
      <c r="E169" s="77"/>
      <c r="F169" s="77"/>
      <c r="G169" s="77"/>
      <c r="H169" s="65"/>
      <c r="I169" s="60"/>
      <c r="J169" s="65"/>
    </row>
    <row r="170">
      <c r="A170" s="18" t="s">
        <v>93</v>
      </c>
      <c r="B170" s="54">
        <v>0.2</v>
      </c>
      <c r="C170" s="77"/>
      <c r="D170" s="54">
        <v>0.58125</v>
      </c>
      <c r="E170" s="77"/>
      <c r="F170" s="77"/>
      <c r="G170" s="77"/>
      <c r="H170" s="65"/>
      <c r="I170" s="60"/>
      <c r="J170" s="65"/>
    </row>
    <row r="171">
      <c r="A171" s="18" t="s">
        <v>94</v>
      </c>
      <c r="B171" s="79"/>
      <c r="C171" s="24"/>
      <c r="D171" s="25"/>
      <c r="E171" s="26"/>
      <c r="F171" s="24"/>
      <c r="G171" s="102"/>
      <c r="H171" s="65"/>
      <c r="I171" s="60"/>
      <c r="J171" s="65"/>
    </row>
    <row r="172">
      <c r="A172" s="18" t="s">
        <v>95</v>
      </c>
      <c r="B172" s="54">
        <v>0.2048611111111111</v>
      </c>
      <c r="C172" s="77"/>
      <c r="D172" s="54">
        <v>0.5673611111111111</v>
      </c>
      <c r="E172" s="77"/>
      <c r="F172" s="77"/>
      <c r="G172" s="77"/>
      <c r="H172" s="65"/>
      <c r="I172" s="60"/>
      <c r="J172" s="65"/>
    </row>
    <row r="173">
      <c r="A173" s="18" t="s">
        <v>96</v>
      </c>
      <c r="B173" s="54">
        <v>0.19930555555555557</v>
      </c>
      <c r="C173" s="77"/>
      <c r="D173" s="54">
        <v>0.6083333333333333</v>
      </c>
      <c r="E173" s="77"/>
      <c r="F173" s="77"/>
      <c r="G173" s="77"/>
      <c r="H173" s="65">
        <f>D173-B173</f>
        <v>0.4090277778</v>
      </c>
      <c r="I173" s="64" t="s">
        <v>134</v>
      </c>
      <c r="J173" s="65">
        <f>H173-I173</f>
        <v>0.05486111111</v>
      </c>
    </row>
    <row r="174">
      <c r="A174" s="22" t="s">
        <v>97</v>
      </c>
      <c r="B174" s="54">
        <v>0.19583333333333333</v>
      </c>
      <c r="C174" s="77"/>
      <c r="D174" s="77"/>
      <c r="E174" s="77"/>
      <c r="F174" s="77"/>
      <c r="G174" s="77"/>
      <c r="H174" s="65"/>
      <c r="I174" s="60"/>
      <c r="J174" s="65"/>
    </row>
    <row r="175">
      <c r="H175" s="65"/>
      <c r="I175" s="60"/>
      <c r="J175" s="65"/>
    </row>
    <row r="176">
      <c r="H176" s="65"/>
      <c r="I176" s="60"/>
      <c r="J176" s="65"/>
    </row>
    <row r="177">
      <c r="H177" s="65"/>
      <c r="I177" s="60"/>
      <c r="J177" s="65"/>
    </row>
    <row r="178">
      <c r="A178" s="1" t="s">
        <v>0</v>
      </c>
      <c r="B178" s="2" t="s">
        <v>1</v>
      </c>
      <c r="C178" s="3"/>
      <c r="D178" s="4"/>
      <c r="E178" s="1" t="s">
        <v>2</v>
      </c>
      <c r="F178" s="89" t="s">
        <v>81</v>
      </c>
      <c r="G178" s="4"/>
      <c r="H178" s="65"/>
      <c r="I178" s="60"/>
      <c r="J178" s="65"/>
    </row>
    <row r="179">
      <c r="A179" s="1" t="s">
        <v>4</v>
      </c>
      <c r="B179" s="9" t="s">
        <v>206</v>
      </c>
      <c r="C179" s="3"/>
      <c r="D179" s="4"/>
      <c r="E179" s="1" t="s">
        <v>6</v>
      </c>
      <c r="F179" s="10"/>
      <c r="G179" s="4"/>
      <c r="H179" s="65"/>
      <c r="I179" s="60"/>
      <c r="J179" s="65"/>
    </row>
    <row r="180">
      <c r="A180" s="11" t="s">
        <v>7</v>
      </c>
      <c r="B180" s="3"/>
      <c r="C180" s="3"/>
      <c r="D180" s="3"/>
      <c r="E180" s="3"/>
      <c r="F180" s="3"/>
      <c r="G180" s="4"/>
      <c r="H180" s="65"/>
      <c r="I180" s="60"/>
      <c r="J180" s="65"/>
    </row>
    <row r="181">
      <c r="A181" s="15" t="s">
        <v>11</v>
      </c>
      <c r="B181" s="2" t="s">
        <v>12</v>
      </c>
      <c r="C181" s="4"/>
      <c r="D181" s="2" t="s">
        <v>13</v>
      </c>
      <c r="E181" s="3"/>
      <c r="F181" s="10" t="s">
        <v>14</v>
      </c>
      <c r="G181" s="4"/>
      <c r="H181" s="65"/>
      <c r="I181" s="60"/>
      <c r="J181" s="65"/>
    </row>
    <row r="182">
      <c r="A182" s="16"/>
      <c r="B182" s="76" t="s">
        <v>15</v>
      </c>
      <c r="C182" s="76" t="s">
        <v>16</v>
      </c>
      <c r="D182" s="76" t="s">
        <v>15</v>
      </c>
      <c r="E182" s="76" t="s">
        <v>16</v>
      </c>
      <c r="F182" s="76" t="s">
        <v>15</v>
      </c>
      <c r="G182" s="76" t="s">
        <v>16</v>
      </c>
      <c r="H182" s="95" t="s">
        <v>8</v>
      </c>
      <c r="I182" s="100" t="s">
        <v>124</v>
      </c>
      <c r="J182" s="95" t="s">
        <v>10</v>
      </c>
    </row>
    <row r="183">
      <c r="A183" s="22" t="s">
        <v>207</v>
      </c>
      <c r="B183" s="54">
        <v>0.1798611111111111</v>
      </c>
      <c r="C183" s="54">
        <v>0.6694444444444444</v>
      </c>
      <c r="D183" s="77"/>
      <c r="E183" s="77"/>
      <c r="F183" s="77"/>
      <c r="G183" s="77"/>
      <c r="H183" s="65">
        <f>C183-B183</f>
        <v>0.4895833333</v>
      </c>
      <c r="I183" s="64" t="s">
        <v>134</v>
      </c>
      <c r="J183" s="65">
        <f>H183</f>
        <v>0.4895833333</v>
      </c>
    </row>
    <row r="184">
      <c r="A184" s="22" t="s">
        <v>208</v>
      </c>
      <c r="B184" s="77"/>
      <c r="C184" s="77"/>
      <c r="D184" s="77"/>
      <c r="E184" s="77"/>
      <c r="F184" s="77"/>
      <c r="G184" s="77"/>
      <c r="H184" s="65"/>
      <c r="I184" s="60"/>
      <c r="J184" s="65"/>
    </row>
    <row r="185">
      <c r="A185" s="18" t="s">
        <v>84</v>
      </c>
      <c r="B185" s="54">
        <v>0.17916666666666667</v>
      </c>
      <c r="C185" s="77"/>
      <c r="D185" s="77"/>
      <c r="E185" s="77"/>
      <c r="F185" s="77"/>
      <c r="G185" s="54">
        <v>0.8541666666666666</v>
      </c>
      <c r="H185" s="65">
        <f>G185-B185</f>
        <v>0.675</v>
      </c>
      <c r="I185" s="64" t="s">
        <v>134</v>
      </c>
      <c r="J185" s="65">
        <f t="shared" ref="J185:J189" si="16">H185-I185</f>
        <v>0.3208333333</v>
      </c>
    </row>
    <row r="186">
      <c r="A186" s="18" t="s">
        <v>85</v>
      </c>
      <c r="B186" s="54">
        <v>0.18888888888888888</v>
      </c>
      <c r="C186" s="77"/>
      <c r="D186" s="77"/>
      <c r="E186" s="54">
        <v>0.6965277777777777</v>
      </c>
      <c r="F186" s="77"/>
      <c r="G186" s="77"/>
      <c r="H186" s="65">
        <f>E186-B186</f>
        <v>0.5076388889</v>
      </c>
      <c r="I186" s="64" t="s">
        <v>134</v>
      </c>
      <c r="J186" s="65">
        <f t="shared" si="16"/>
        <v>0.1534722222</v>
      </c>
    </row>
    <row r="187">
      <c r="A187" s="18" t="s">
        <v>86</v>
      </c>
      <c r="B187" s="54">
        <v>0.1840277777777778</v>
      </c>
      <c r="C187" s="77"/>
      <c r="D187" s="77"/>
      <c r="E187" s="77"/>
      <c r="F187" s="77"/>
      <c r="G187" s="54">
        <v>0.85</v>
      </c>
      <c r="H187" s="65">
        <f>G187-B187</f>
        <v>0.6659722222</v>
      </c>
      <c r="I187" s="64" t="s">
        <v>134</v>
      </c>
      <c r="J187" s="65">
        <f t="shared" si="16"/>
        <v>0.3118055556</v>
      </c>
    </row>
    <row r="188">
      <c r="A188" s="18" t="s">
        <v>88</v>
      </c>
      <c r="B188" s="54">
        <v>0.18888888888888888</v>
      </c>
      <c r="C188" s="77"/>
      <c r="D188" s="54">
        <v>0.6652777777777777</v>
      </c>
      <c r="E188" s="77"/>
      <c r="F188" s="77"/>
      <c r="G188" s="77"/>
      <c r="H188" s="65">
        <f>D188-B188</f>
        <v>0.4763888889</v>
      </c>
      <c r="I188" s="64" t="s">
        <v>134</v>
      </c>
      <c r="J188" s="65">
        <f t="shared" si="16"/>
        <v>0.1222222222</v>
      </c>
    </row>
    <row r="189">
      <c r="A189" s="18" t="s">
        <v>89</v>
      </c>
      <c r="B189" s="77"/>
      <c r="C189" s="54">
        <v>0.48819444444444443</v>
      </c>
      <c r="D189" s="77"/>
      <c r="E189" s="77"/>
      <c r="F189" s="77"/>
      <c r="G189" s="54">
        <v>0.8923611111111112</v>
      </c>
      <c r="H189" s="65">
        <f>G189-C189</f>
        <v>0.4041666667</v>
      </c>
      <c r="I189" s="64" t="s">
        <v>134</v>
      </c>
      <c r="J189" s="65">
        <f t="shared" si="16"/>
        <v>0.05</v>
      </c>
    </row>
    <row r="190">
      <c r="A190" s="22" t="s">
        <v>90</v>
      </c>
      <c r="B190" s="54">
        <v>0.18958333333333333</v>
      </c>
      <c r="C190" s="54">
        <v>0.6708333333333333</v>
      </c>
      <c r="D190" s="77"/>
      <c r="E190" s="77"/>
      <c r="F190" s="77"/>
      <c r="G190" s="77"/>
      <c r="H190" s="65">
        <f>C190-B190</f>
        <v>0.48125</v>
      </c>
      <c r="I190" s="64" t="s">
        <v>134</v>
      </c>
      <c r="J190" s="65">
        <f>H190</f>
        <v>0.48125</v>
      </c>
    </row>
    <row r="191">
      <c r="A191" s="22" t="s">
        <v>91</v>
      </c>
      <c r="B191" s="77"/>
      <c r="C191" s="77"/>
      <c r="D191" s="77"/>
      <c r="E191" s="77"/>
      <c r="F191" s="77"/>
      <c r="G191" s="77"/>
      <c r="H191" s="65"/>
      <c r="I191" s="60"/>
      <c r="J191" s="65"/>
    </row>
    <row r="192">
      <c r="A192" s="18" t="s">
        <v>92</v>
      </c>
      <c r="B192" s="54">
        <v>0.1798611111111111</v>
      </c>
      <c r="C192" s="77"/>
      <c r="D192" s="77"/>
      <c r="E192" s="77"/>
      <c r="F192" s="77"/>
      <c r="G192" s="54">
        <v>0.8604166666666667</v>
      </c>
      <c r="H192" s="65">
        <f>G192-B192</f>
        <v>0.6805555556</v>
      </c>
      <c r="I192" s="64" t="s">
        <v>134</v>
      </c>
      <c r="J192" s="65">
        <f t="shared" ref="J192:J196" si="17">H192-I192</f>
        <v>0.3263888889</v>
      </c>
    </row>
    <row r="193">
      <c r="A193" s="18" t="s">
        <v>93</v>
      </c>
      <c r="B193" s="54">
        <v>0.19375</v>
      </c>
      <c r="C193" s="77"/>
      <c r="D193" s="54">
        <v>0.6569444444444444</v>
      </c>
      <c r="E193" s="77"/>
      <c r="F193" s="77"/>
      <c r="G193" s="77"/>
      <c r="H193" s="65">
        <f>D193-B193</f>
        <v>0.4631944444</v>
      </c>
      <c r="I193" s="64" t="s">
        <v>134</v>
      </c>
      <c r="J193" s="65">
        <f t="shared" si="17"/>
        <v>0.1090277778</v>
      </c>
    </row>
    <row r="194">
      <c r="A194" s="18" t="s">
        <v>94</v>
      </c>
      <c r="B194" s="54">
        <v>0.19027777777777777</v>
      </c>
      <c r="C194" s="77"/>
      <c r="D194" s="77"/>
      <c r="E194" s="77"/>
      <c r="F194" s="77"/>
      <c r="G194" s="54">
        <v>0.875</v>
      </c>
      <c r="H194" s="65">
        <f>G194-B194</f>
        <v>0.6847222222</v>
      </c>
      <c r="I194" s="64" t="s">
        <v>134</v>
      </c>
      <c r="J194" s="65">
        <f t="shared" si="17"/>
        <v>0.3305555556</v>
      </c>
      <c r="K194" s="48">
        <v>208.54</v>
      </c>
    </row>
    <row r="195">
      <c r="A195" s="18" t="s">
        <v>95</v>
      </c>
      <c r="B195" s="54">
        <v>0.19236111111111112</v>
      </c>
      <c r="C195" s="77"/>
      <c r="D195" s="77"/>
      <c r="E195" s="77"/>
      <c r="F195" s="54">
        <v>0.8006944444444445</v>
      </c>
      <c r="G195" s="77"/>
      <c r="H195" s="65">
        <f>F195-B195</f>
        <v>0.6083333333</v>
      </c>
      <c r="I195" s="64" t="s">
        <v>134</v>
      </c>
      <c r="J195" s="65">
        <f t="shared" si="17"/>
        <v>0.2541666667</v>
      </c>
    </row>
    <row r="196">
      <c r="A196" s="18" t="s">
        <v>96</v>
      </c>
      <c r="B196" s="54">
        <v>0.19027777777777777</v>
      </c>
      <c r="C196" s="77"/>
      <c r="D196" s="77"/>
      <c r="E196" s="77"/>
      <c r="F196" s="77"/>
      <c r="G196" s="54">
        <v>0.8722222222222222</v>
      </c>
      <c r="H196" s="65">
        <f>G196-B196</f>
        <v>0.6819444444</v>
      </c>
      <c r="I196" s="64" t="s">
        <v>134</v>
      </c>
      <c r="J196" s="65">
        <f t="shared" si="17"/>
        <v>0.3277777778</v>
      </c>
    </row>
    <row r="197">
      <c r="A197" s="22" t="s">
        <v>97</v>
      </c>
      <c r="B197" s="54">
        <v>0.18888888888888888</v>
      </c>
      <c r="C197" s="77"/>
      <c r="D197" s="54">
        <v>0.65</v>
      </c>
      <c r="E197" s="77"/>
      <c r="F197" s="77"/>
      <c r="G197" s="77"/>
      <c r="H197" s="65">
        <f>D197-B197</f>
        <v>0.4611111111</v>
      </c>
      <c r="I197" s="64" t="s">
        <v>134</v>
      </c>
      <c r="J197" s="65">
        <f>H197</f>
        <v>0.4611111111</v>
      </c>
    </row>
    <row r="198">
      <c r="H198" s="65"/>
      <c r="I198" s="60"/>
      <c r="J198" s="66">
        <f>J183+J185+J186+J187+J188+J189+J190+J192+J193+J194+J195+J196+J197</f>
        <v>3.738194444</v>
      </c>
    </row>
    <row r="199">
      <c r="H199" s="65"/>
      <c r="I199" s="60"/>
      <c r="J199" s="65"/>
    </row>
    <row r="200">
      <c r="H200" s="65"/>
      <c r="I200" s="60"/>
      <c r="J200" s="65"/>
    </row>
    <row r="201">
      <c r="H201" s="65"/>
      <c r="I201" s="60"/>
      <c r="J201" s="65"/>
    </row>
    <row r="202">
      <c r="H202" s="65"/>
      <c r="I202" s="60"/>
      <c r="J202" s="65"/>
    </row>
    <row r="203">
      <c r="H203" s="65"/>
      <c r="I203" s="60"/>
      <c r="J203" s="65"/>
    </row>
    <row r="204">
      <c r="H204" s="65"/>
      <c r="I204" s="60"/>
      <c r="J204" s="65"/>
    </row>
    <row r="205">
      <c r="H205" s="65"/>
      <c r="I205" s="60"/>
      <c r="J205" s="65"/>
    </row>
    <row r="206">
      <c r="H206" s="65"/>
      <c r="I206" s="60"/>
      <c r="J206" s="65"/>
    </row>
    <row r="207">
      <c r="H207" s="65"/>
      <c r="I207" s="60"/>
      <c r="J207" s="65"/>
    </row>
    <row r="208">
      <c r="H208" s="65"/>
      <c r="I208" s="60"/>
      <c r="J208" s="65"/>
    </row>
    <row r="209">
      <c r="H209" s="65"/>
      <c r="I209" s="60"/>
      <c r="J209" s="65"/>
    </row>
    <row r="210">
      <c r="H210" s="65"/>
      <c r="I210" s="60"/>
      <c r="J210" s="65"/>
    </row>
    <row r="211">
      <c r="H211" s="65"/>
      <c r="I211" s="60"/>
      <c r="J211" s="65"/>
    </row>
    <row r="212">
      <c r="H212" s="65"/>
      <c r="I212" s="60"/>
      <c r="J212" s="65"/>
    </row>
    <row r="213">
      <c r="H213" s="65"/>
      <c r="I213" s="60"/>
      <c r="J213" s="65"/>
    </row>
    <row r="214">
      <c r="H214" s="65"/>
      <c r="I214" s="60"/>
      <c r="J214" s="65"/>
    </row>
    <row r="215">
      <c r="H215" s="65"/>
      <c r="I215" s="60"/>
      <c r="J215" s="65"/>
    </row>
    <row r="216">
      <c r="H216" s="65"/>
      <c r="I216" s="60"/>
      <c r="J216" s="65"/>
    </row>
    <row r="217">
      <c r="H217" s="65"/>
      <c r="I217" s="60"/>
      <c r="J217" s="65"/>
    </row>
    <row r="218">
      <c r="H218" s="65"/>
      <c r="I218" s="60"/>
      <c r="J218" s="65"/>
    </row>
    <row r="219">
      <c r="H219" s="65"/>
      <c r="I219" s="60"/>
      <c r="J219" s="65"/>
    </row>
    <row r="220">
      <c r="H220" s="65"/>
      <c r="I220" s="60"/>
      <c r="J220" s="65"/>
    </row>
    <row r="221">
      <c r="H221" s="65"/>
      <c r="I221" s="60"/>
      <c r="J221" s="65"/>
    </row>
    <row r="222">
      <c r="H222" s="65"/>
      <c r="I222" s="60"/>
      <c r="J222" s="65"/>
    </row>
    <row r="223">
      <c r="H223" s="65"/>
      <c r="I223" s="60"/>
      <c r="J223" s="65"/>
    </row>
    <row r="224">
      <c r="H224" s="65"/>
      <c r="I224" s="60"/>
      <c r="J224" s="65"/>
    </row>
    <row r="225">
      <c r="H225" s="65"/>
      <c r="I225" s="60"/>
      <c r="J225" s="65"/>
    </row>
    <row r="226">
      <c r="H226" s="65"/>
      <c r="I226" s="60"/>
      <c r="J226" s="65"/>
    </row>
    <row r="227">
      <c r="H227" s="65"/>
      <c r="I227" s="60"/>
      <c r="J227" s="65"/>
    </row>
    <row r="228">
      <c r="H228" s="65"/>
      <c r="I228" s="60"/>
      <c r="J228" s="65"/>
    </row>
    <row r="229">
      <c r="H229" s="65"/>
      <c r="I229" s="60"/>
      <c r="J229" s="65"/>
    </row>
    <row r="230">
      <c r="H230" s="65"/>
      <c r="I230" s="60"/>
      <c r="J230" s="65"/>
    </row>
    <row r="231">
      <c r="H231" s="65"/>
      <c r="I231" s="60"/>
      <c r="J231" s="65"/>
    </row>
    <row r="232">
      <c r="H232" s="65"/>
      <c r="I232" s="60"/>
      <c r="J232" s="65"/>
    </row>
    <row r="233">
      <c r="H233" s="65"/>
      <c r="I233" s="60"/>
      <c r="J233" s="65"/>
    </row>
    <row r="234">
      <c r="H234" s="65"/>
      <c r="I234" s="60"/>
      <c r="J234" s="65"/>
    </row>
    <row r="235">
      <c r="H235" s="65"/>
      <c r="I235" s="60"/>
      <c r="J235" s="65"/>
    </row>
    <row r="236">
      <c r="H236" s="65"/>
      <c r="I236" s="60"/>
      <c r="J236" s="65"/>
    </row>
    <row r="237">
      <c r="H237" s="65"/>
      <c r="I237" s="60"/>
      <c r="J237" s="65"/>
    </row>
    <row r="238">
      <c r="H238" s="65"/>
      <c r="I238" s="60"/>
      <c r="J238" s="65"/>
    </row>
    <row r="239">
      <c r="H239" s="65"/>
      <c r="I239" s="60"/>
      <c r="J239" s="65"/>
    </row>
    <row r="240">
      <c r="H240" s="65"/>
      <c r="I240" s="60"/>
      <c r="J240" s="65"/>
    </row>
    <row r="241">
      <c r="H241" s="65"/>
      <c r="I241" s="60"/>
      <c r="J241" s="65"/>
    </row>
    <row r="242">
      <c r="H242" s="65"/>
      <c r="I242" s="60"/>
      <c r="J242" s="65"/>
    </row>
    <row r="243">
      <c r="H243" s="65"/>
      <c r="I243" s="60"/>
      <c r="J243" s="65"/>
    </row>
    <row r="244">
      <c r="H244" s="65"/>
      <c r="I244" s="60"/>
      <c r="J244" s="65"/>
    </row>
    <row r="245">
      <c r="H245" s="65"/>
      <c r="I245" s="60"/>
      <c r="J245" s="65"/>
    </row>
    <row r="246">
      <c r="H246" s="65"/>
      <c r="I246" s="60"/>
      <c r="J246" s="65"/>
    </row>
    <row r="247">
      <c r="H247" s="65"/>
      <c r="I247" s="60"/>
      <c r="J247" s="65"/>
    </row>
    <row r="248">
      <c r="H248" s="65"/>
      <c r="I248" s="60"/>
      <c r="J248" s="65"/>
    </row>
    <row r="249">
      <c r="H249" s="65"/>
      <c r="I249" s="60"/>
      <c r="J249" s="65"/>
    </row>
    <row r="250">
      <c r="H250" s="65"/>
      <c r="I250" s="60"/>
      <c r="J250" s="65"/>
    </row>
    <row r="251">
      <c r="H251" s="65"/>
      <c r="I251" s="60"/>
      <c r="J251" s="65"/>
    </row>
    <row r="252">
      <c r="H252" s="65"/>
      <c r="I252" s="60"/>
      <c r="J252" s="65"/>
    </row>
    <row r="253">
      <c r="H253" s="65"/>
      <c r="I253" s="60"/>
      <c r="J253" s="65"/>
    </row>
    <row r="254">
      <c r="H254" s="65"/>
      <c r="I254" s="60"/>
      <c r="J254" s="65"/>
    </row>
    <row r="255">
      <c r="H255" s="65"/>
      <c r="I255" s="60"/>
      <c r="J255" s="65"/>
    </row>
    <row r="256">
      <c r="H256" s="65"/>
      <c r="I256" s="60"/>
      <c r="J256" s="65"/>
    </row>
    <row r="257">
      <c r="H257" s="65"/>
      <c r="I257" s="60"/>
      <c r="J257" s="65"/>
    </row>
    <row r="258">
      <c r="H258" s="65"/>
      <c r="I258" s="60"/>
      <c r="J258" s="65"/>
    </row>
    <row r="259">
      <c r="H259" s="65"/>
      <c r="I259" s="60"/>
      <c r="J259" s="65"/>
    </row>
    <row r="260">
      <c r="H260" s="65"/>
      <c r="I260" s="60"/>
      <c r="J260" s="65"/>
    </row>
    <row r="261">
      <c r="H261" s="65"/>
      <c r="I261" s="60"/>
      <c r="J261" s="65"/>
    </row>
    <row r="262">
      <c r="H262" s="65"/>
      <c r="I262" s="60"/>
      <c r="J262" s="65"/>
    </row>
    <row r="263">
      <c r="H263" s="65"/>
      <c r="I263" s="60"/>
      <c r="J263" s="65"/>
    </row>
    <row r="264">
      <c r="H264" s="65"/>
      <c r="I264" s="60"/>
      <c r="J264" s="65"/>
    </row>
    <row r="265">
      <c r="H265" s="65"/>
      <c r="I265" s="60"/>
      <c r="J265" s="65"/>
    </row>
    <row r="266">
      <c r="H266" s="65"/>
      <c r="I266" s="60"/>
      <c r="J266" s="65"/>
    </row>
    <row r="267">
      <c r="H267" s="65"/>
      <c r="I267" s="60"/>
      <c r="J267" s="65"/>
    </row>
    <row r="268">
      <c r="H268" s="65"/>
      <c r="I268" s="60"/>
      <c r="J268" s="65"/>
    </row>
    <row r="269">
      <c r="H269" s="65"/>
      <c r="I269" s="60"/>
      <c r="J269" s="65"/>
    </row>
    <row r="270">
      <c r="H270" s="65"/>
      <c r="I270" s="60"/>
      <c r="J270" s="65"/>
    </row>
    <row r="271">
      <c r="H271" s="65"/>
      <c r="I271" s="60"/>
      <c r="J271" s="65"/>
    </row>
    <row r="272">
      <c r="H272" s="65"/>
      <c r="I272" s="60"/>
      <c r="J272" s="65"/>
    </row>
    <row r="273">
      <c r="H273" s="65"/>
      <c r="I273" s="60"/>
      <c r="J273" s="65"/>
    </row>
    <row r="274">
      <c r="H274" s="65"/>
      <c r="I274" s="60"/>
      <c r="J274" s="65"/>
    </row>
    <row r="275">
      <c r="H275" s="65"/>
      <c r="I275" s="60"/>
      <c r="J275" s="65"/>
    </row>
    <row r="276">
      <c r="H276" s="65"/>
      <c r="I276" s="60"/>
      <c r="J276" s="65"/>
    </row>
    <row r="277">
      <c r="H277" s="65"/>
      <c r="I277" s="60"/>
      <c r="J277" s="65"/>
    </row>
    <row r="278">
      <c r="H278" s="65"/>
      <c r="I278" s="60"/>
      <c r="J278" s="65"/>
    </row>
    <row r="279">
      <c r="H279" s="65"/>
      <c r="I279" s="60"/>
      <c r="J279" s="65"/>
    </row>
    <row r="280">
      <c r="H280" s="65"/>
      <c r="I280" s="60"/>
      <c r="J280" s="65"/>
    </row>
    <row r="281">
      <c r="H281" s="65"/>
      <c r="I281" s="60"/>
      <c r="J281" s="65"/>
    </row>
    <row r="282">
      <c r="H282" s="65"/>
      <c r="I282" s="60"/>
      <c r="J282" s="65"/>
    </row>
    <row r="283">
      <c r="H283" s="65"/>
      <c r="I283" s="60"/>
      <c r="J283" s="65"/>
    </row>
    <row r="284">
      <c r="H284" s="65"/>
      <c r="I284" s="60"/>
      <c r="J284" s="65"/>
    </row>
    <row r="285">
      <c r="H285" s="65"/>
      <c r="I285" s="60"/>
      <c r="J285" s="65"/>
    </row>
    <row r="286">
      <c r="H286" s="65"/>
      <c r="I286" s="60"/>
      <c r="J286" s="65"/>
    </row>
    <row r="287">
      <c r="H287" s="65"/>
      <c r="I287" s="60"/>
      <c r="J287" s="65"/>
    </row>
    <row r="288">
      <c r="H288" s="65"/>
      <c r="I288" s="60"/>
      <c r="J288" s="65"/>
    </row>
    <row r="289">
      <c r="H289" s="65"/>
      <c r="I289" s="60"/>
      <c r="J289" s="65"/>
    </row>
    <row r="290">
      <c r="H290" s="65"/>
      <c r="I290" s="60"/>
      <c r="J290" s="65"/>
    </row>
    <row r="291">
      <c r="H291" s="65"/>
      <c r="I291" s="60"/>
      <c r="J291" s="65"/>
    </row>
    <row r="292">
      <c r="H292" s="65"/>
      <c r="I292" s="60"/>
      <c r="J292" s="65"/>
    </row>
    <row r="293">
      <c r="H293" s="65"/>
      <c r="I293" s="60"/>
      <c r="J293" s="65"/>
    </row>
    <row r="294">
      <c r="H294" s="65"/>
      <c r="I294" s="60"/>
      <c r="J294" s="65"/>
    </row>
    <row r="295">
      <c r="H295" s="65"/>
      <c r="I295" s="60"/>
      <c r="J295" s="65"/>
    </row>
    <row r="296">
      <c r="H296" s="65"/>
      <c r="I296" s="60"/>
      <c r="J296" s="65"/>
    </row>
    <row r="297">
      <c r="H297" s="65"/>
      <c r="I297" s="60"/>
      <c r="J297" s="65"/>
    </row>
    <row r="298">
      <c r="H298" s="65"/>
      <c r="I298" s="60"/>
      <c r="J298" s="65"/>
    </row>
    <row r="299">
      <c r="H299" s="65"/>
      <c r="I299" s="60"/>
      <c r="J299" s="65"/>
    </row>
    <row r="300">
      <c r="H300" s="65"/>
      <c r="I300" s="60"/>
      <c r="J300" s="65"/>
    </row>
    <row r="301">
      <c r="H301" s="65"/>
      <c r="I301" s="60"/>
      <c r="J301" s="65"/>
    </row>
    <row r="302">
      <c r="H302" s="65"/>
      <c r="I302" s="60"/>
      <c r="J302" s="65"/>
    </row>
    <row r="303">
      <c r="H303" s="65"/>
      <c r="I303" s="60"/>
      <c r="J303" s="65"/>
    </row>
    <row r="304">
      <c r="H304" s="65"/>
      <c r="I304" s="60"/>
      <c r="J304" s="65"/>
    </row>
    <row r="305">
      <c r="H305" s="65"/>
      <c r="I305" s="60"/>
      <c r="J305" s="65"/>
    </row>
    <row r="306">
      <c r="H306" s="65"/>
      <c r="I306" s="60"/>
      <c r="J306" s="65"/>
    </row>
    <row r="307">
      <c r="H307" s="65"/>
      <c r="I307" s="60"/>
      <c r="J307" s="65"/>
    </row>
    <row r="308">
      <c r="H308" s="65"/>
      <c r="I308" s="60"/>
      <c r="J308" s="65"/>
    </row>
    <row r="309">
      <c r="H309" s="65"/>
      <c r="I309" s="60"/>
      <c r="J309" s="65"/>
    </row>
    <row r="310">
      <c r="H310" s="65"/>
      <c r="I310" s="60"/>
      <c r="J310" s="65"/>
    </row>
    <row r="311">
      <c r="H311" s="65"/>
      <c r="I311" s="60"/>
      <c r="J311" s="65"/>
    </row>
    <row r="312">
      <c r="H312" s="65"/>
      <c r="I312" s="60"/>
      <c r="J312" s="65"/>
    </row>
    <row r="313">
      <c r="H313" s="65"/>
      <c r="I313" s="60"/>
      <c r="J313" s="65"/>
    </row>
    <row r="314">
      <c r="H314" s="65"/>
      <c r="I314" s="60"/>
      <c r="J314" s="65"/>
    </row>
    <row r="315">
      <c r="H315" s="65"/>
      <c r="I315" s="60"/>
      <c r="J315" s="65"/>
    </row>
    <row r="316">
      <c r="H316" s="65"/>
      <c r="I316" s="60"/>
      <c r="J316" s="65"/>
    </row>
    <row r="317">
      <c r="H317" s="65"/>
      <c r="I317" s="60"/>
      <c r="J317" s="65"/>
    </row>
    <row r="318">
      <c r="H318" s="65"/>
      <c r="I318" s="60"/>
      <c r="J318" s="65"/>
    </row>
    <row r="319">
      <c r="H319" s="65"/>
      <c r="I319" s="60"/>
      <c r="J319" s="65"/>
    </row>
    <row r="320">
      <c r="H320" s="65"/>
      <c r="I320" s="60"/>
      <c r="J320" s="65"/>
    </row>
    <row r="321">
      <c r="H321" s="65"/>
      <c r="I321" s="60"/>
      <c r="J321" s="65"/>
    </row>
    <row r="322">
      <c r="H322" s="65"/>
      <c r="I322" s="60"/>
      <c r="J322" s="65"/>
    </row>
    <row r="323">
      <c r="H323" s="65"/>
      <c r="I323" s="60"/>
      <c r="J323" s="65"/>
    </row>
    <row r="324">
      <c r="H324" s="65"/>
      <c r="I324" s="60"/>
      <c r="J324" s="65"/>
    </row>
    <row r="325">
      <c r="H325" s="65"/>
      <c r="I325" s="60"/>
      <c r="J325" s="65"/>
    </row>
    <row r="326">
      <c r="H326" s="65"/>
      <c r="I326" s="60"/>
      <c r="J326" s="65"/>
    </row>
    <row r="327">
      <c r="H327" s="65"/>
      <c r="I327" s="60"/>
      <c r="J327" s="65"/>
    </row>
    <row r="328">
      <c r="H328" s="65"/>
      <c r="I328" s="60"/>
      <c r="J328" s="65"/>
    </row>
    <row r="329">
      <c r="H329" s="65"/>
      <c r="I329" s="60"/>
      <c r="J329" s="65"/>
    </row>
    <row r="330">
      <c r="H330" s="65"/>
      <c r="I330" s="60"/>
      <c r="J330" s="65"/>
    </row>
    <row r="331">
      <c r="H331" s="65"/>
      <c r="I331" s="60"/>
      <c r="J331" s="65"/>
    </row>
    <row r="332">
      <c r="H332" s="65"/>
      <c r="I332" s="60"/>
      <c r="J332" s="65"/>
    </row>
    <row r="333">
      <c r="H333" s="65"/>
      <c r="I333" s="60"/>
      <c r="J333" s="65"/>
    </row>
    <row r="334">
      <c r="H334" s="65"/>
      <c r="I334" s="60"/>
      <c r="J334" s="65"/>
    </row>
    <row r="335">
      <c r="H335" s="65"/>
      <c r="I335" s="60"/>
      <c r="J335" s="65"/>
    </row>
    <row r="336">
      <c r="H336" s="65"/>
      <c r="I336" s="60"/>
      <c r="J336" s="65"/>
    </row>
    <row r="337">
      <c r="H337" s="65"/>
      <c r="I337" s="60"/>
      <c r="J337" s="65"/>
    </row>
    <row r="338">
      <c r="H338" s="65"/>
      <c r="I338" s="60"/>
      <c r="J338" s="65"/>
    </row>
    <row r="339">
      <c r="H339" s="65"/>
      <c r="I339" s="60"/>
      <c r="J339" s="65"/>
    </row>
    <row r="340">
      <c r="H340" s="65"/>
      <c r="I340" s="60"/>
      <c r="J340" s="65"/>
    </row>
    <row r="341">
      <c r="H341" s="65"/>
      <c r="I341" s="60"/>
      <c r="J341" s="65"/>
    </row>
    <row r="342">
      <c r="H342" s="65"/>
      <c r="I342" s="60"/>
      <c r="J342" s="65"/>
    </row>
    <row r="343">
      <c r="H343" s="65"/>
      <c r="I343" s="60"/>
      <c r="J343" s="65"/>
    </row>
    <row r="344">
      <c r="H344" s="65"/>
      <c r="I344" s="60"/>
      <c r="J344" s="65"/>
    </row>
    <row r="345">
      <c r="H345" s="65"/>
      <c r="I345" s="60"/>
      <c r="J345" s="65"/>
    </row>
    <row r="346">
      <c r="H346" s="65"/>
      <c r="I346" s="60"/>
      <c r="J346" s="65"/>
    </row>
    <row r="347">
      <c r="H347" s="65"/>
      <c r="I347" s="60"/>
      <c r="J347" s="65"/>
    </row>
    <row r="348">
      <c r="H348" s="65"/>
      <c r="I348" s="60"/>
      <c r="J348" s="65"/>
    </row>
    <row r="349">
      <c r="H349" s="65"/>
      <c r="I349" s="60"/>
      <c r="J349" s="65"/>
    </row>
    <row r="350">
      <c r="H350" s="65"/>
      <c r="I350" s="60"/>
      <c r="J350" s="65"/>
    </row>
    <row r="351">
      <c r="H351" s="65"/>
      <c r="I351" s="60"/>
      <c r="J351" s="65"/>
    </row>
    <row r="352">
      <c r="H352" s="65"/>
      <c r="I352" s="60"/>
      <c r="J352" s="65"/>
    </row>
    <row r="353">
      <c r="H353" s="65"/>
      <c r="I353" s="60"/>
      <c r="J353" s="65"/>
    </row>
    <row r="354">
      <c r="H354" s="65"/>
      <c r="I354" s="60"/>
      <c r="J354" s="65"/>
    </row>
    <row r="355">
      <c r="H355" s="65"/>
      <c r="I355" s="60"/>
      <c r="J355" s="65"/>
    </row>
    <row r="356">
      <c r="H356" s="65"/>
      <c r="I356" s="60"/>
      <c r="J356" s="65"/>
    </row>
    <row r="357">
      <c r="H357" s="65"/>
      <c r="I357" s="60"/>
      <c r="J357" s="65"/>
    </row>
    <row r="358">
      <c r="H358" s="65"/>
      <c r="I358" s="60"/>
      <c r="J358" s="65"/>
    </row>
    <row r="359">
      <c r="H359" s="65"/>
      <c r="I359" s="60"/>
      <c r="J359" s="65"/>
    </row>
    <row r="360">
      <c r="H360" s="65"/>
      <c r="I360" s="60"/>
      <c r="J360" s="65"/>
    </row>
    <row r="361">
      <c r="H361" s="65"/>
      <c r="I361" s="60"/>
      <c r="J361" s="65"/>
    </row>
    <row r="362">
      <c r="H362" s="65"/>
      <c r="I362" s="60"/>
      <c r="J362" s="65"/>
    </row>
    <row r="363">
      <c r="H363" s="65"/>
      <c r="I363" s="60"/>
      <c r="J363" s="65"/>
    </row>
    <row r="364">
      <c r="H364" s="65"/>
      <c r="I364" s="60"/>
      <c r="J364" s="65"/>
    </row>
    <row r="365">
      <c r="H365" s="65"/>
      <c r="I365" s="60"/>
      <c r="J365" s="65"/>
    </row>
    <row r="366">
      <c r="H366" s="65"/>
      <c r="I366" s="60"/>
      <c r="J366" s="65"/>
    </row>
    <row r="367">
      <c r="H367" s="65"/>
      <c r="I367" s="60"/>
      <c r="J367" s="65"/>
    </row>
    <row r="368">
      <c r="H368" s="65"/>
      <c r="I368" s="60"/>
      <c r="J368" s="65"/>
    </row>
    <row r="369">
      <c r="H369" s="65"/>
      <c r="I369" s="60"/>
      <c r="J369" s="65"/>
    </row>
    <row r="370">
      <c r="H370" s="65"/>
      <c r="I370" s="60"/>
      <c r="J370" s="65"/>
    </row>
    <row r="371">
      <c r="H371" s="65"/>
      <c r="I371" s="60"/>
      <c r="J371" s="65"/>
    </row>
    <row r="372">
      <c r="H372" s="65"/>
      <c r="I372" s="60"/>
      <c r="J372" s="65"/>
    </row>
    <row r="373">
      <c r="H373" s="65"/>
      <c r="I373" s="60"/>
      <c r="J373" s="65"/>
    </row>
    <row r="374">
      <c r="H374" s="65"/>
      <c r="I374" s="60"/>
      <c r="J374" s="65"/>
    </row>
    <row r="375">
      <c r="H375" s="65"/>
      <c r="I375" s="60"/>
      <c r="J375" s="65"/>
    </row>
    <row r="376">
      <c r="H376" s="65"/>
      <c r="I376" s="60"/>
      <c r="J376" s="65"/>
    </row>
    <row r="377">
      <c r="H377" s="65"/>
      <c r="I377" s="60"/>
      <c r="J377" s="65"/>
    </row>
    <row r="378">
      <c r="H378" s="65"/>
      <c r="I378" s="60"/>
      <c r="J378" s="65"/>
    </row>
    <row r="379">
      <c r="H379" s="65"/>
      <c r="I379" s="60"/>
      <c r="J379" s="65"/>
    </row>
    <row r="380">
      <c r="H380" s="65"/>
      <c r="I380" s="60"/>
      <c r="J380" s="65"/>
    </row>
    <row r="381">
      <c r="H381" s="65"/>
      <c r="I381" s="60"/>
      <c r="J381" s="65"/>
    </row>
    <row r="382">
      <c r="H382" s="65"/>
      <c r="I382" s="60"/>
      <c r="J382" s="65"/>
    </row>
    <row r="383">
      <c r="H383" s="65"/>
      <c r="I383" s="60"/>
      <c r="J383" s="65"/>
    </row>
    <row r="384">
      <c r="H384" s="65"/>
      <c r="I384" s="60"/>
      <c r="J384" s="65"/>
    </row>
    <row r="385">
      <c r="H385" s="65"/>
      <c r="I385" s="60"/>
      <c r="J385" s="65"/>
    </row>
    <row r="386">
      <c r="H386" s="65"/>
      <c r="I386" s="60"/>
      <c r="J386" s="65"/>
    </row>
    <row r="387">
      <c r="H387" s="65"/>
      <c r="I387" s="60"/>
      <c r="J387" s="65"/>
    </row>
    <row r="388">
      <c r="H388" s="65"/>
      <c r="I388" s="60"/>
      <c r="J388" s="65"/>
    </row>
    <row r="389">
      <c r="H389" s="65"/>
      <c r="I389" s="60"/>
      <c r="J389" s="65"/>
    </row>
    <row r="390">
      <c r="H390" s="65"/>
      <c r="I390" s="60"/>
      <c r="J390" s="65"/>
    </row>
    <row r="391">
      <c r="H391" s="65"/>
      <c r="I391" s="60"/>
      <c r="J391" s="65"/>
    </row>
    <row r="392">
      <c r="H392" s="65"/>
      <c r="I392" s="60"/>
      <c r="J392" s="65"/>
    </row>
    <row r="393">
      <c r="H393" s="65"/>
      <c r="I393" s="60"/>
      <c r="J393" s="65"/>
    </row>
    <row r="394">
      <c r="H394" s="65"/>
      <c r="I394" s="60"/>
      <c r="J394" s="65"/>
    </row>
    <row r="395">
      <c r="H395" s="65"/>
      <c r="I395" s="60"/>
      <c r="J395" s="65"/>
    </row>
    <row r="396">
      <c r="H396" s="65"/>
      <c r="I396" s="60"/>
      <c r="J396" s="65"/>
    </row>
    <row r="397">
      <c r="H397" s="65"/>
      <c r="I397" s="60"/>
      <c r="J397" s="65"/>
    </row>
    <row r="398">
      <c r="H398" s="65"/>
      <c r="I398" s="60"/>
      <c r="J398" s="65"/>
    </row>
    <row r="399">
      <c r="H399" s="65"/>
      <c r="I399" s="60"/>
      <c r="J399" s="65"/>
    </row>
    <row r="400">
      <c r="H400" s="65"/>
      <c r="I400" s="60"/>
      <c r="J400" s="65"/>
    </row>
    <row r="401">
      <c r="H401" s="65"/>
      <c r="I401" s="60"/>
      <c r="J401" s="65"/>
    </row>
    <row r="402">
      <c r="H402" s="65"/>
      <c r="I402" s="60"/>
      <c r="J402" s="65"/>
    </row>
    <row r="403">
      <c r="H403" s="65"/>
      <c r="I403" s="60"/>
      <c r="J403" s="65"/>
    </row>
    <row r="404">
      <c r="H404" s="65"/>
      <c r="I404" s="60"/>
      <c r="J404" s="65"/>
    </row>
    <row r="405">
      <c r="H405" s="65"/>
      <c r="I405" s="60"/>
      <c r="J405" s="65"/>
    </row>
    <row r="406">
      <c r="H406" s="65"/>
      <c r="I406" s="60"/>
      <c r="J406" s="65"/>
    </row>
    <row r="407">
      <c r="H407" s="65"/>
      <c r="I407" s="60"/>
      <c r="J407" s="65"/>
    </row>
    <row r="408">
      <c r="H408" s="65"/>
      <c r="I408" s="60"/>
      <c r="J408" s="65"/>
    </row>
    <row r="409">
      <c r="H409" s="65"/>
      <c r="I409" s="60"/>
      <c r="J409" s="65"/>
    </row>
    <row r="410">
      <c r="H410" s="65"/>
      <c r="I410" s="60"/>
      <c r="J410" s="65"/>
    </row>
    <row r="411">
      <c r="H411" s="65"/>
      <c r="I411" s="60"/>
      <c r="J411" s="65"/>
    </row>
    <row r="412">
      <c r="H412" s="65"/>
      <c r="I412" s="60"/>
      <c r="J412" s="65"/>
    </row>
    <row r="413">
      <c r="H413" s="65"/>
      <c r="I413" s="60"/>
      <c r="J413" s="65"/>
    </row>
    <row r="414">
      <c r="H414" s="65"/>
      <c r="I414" s="60"/>
      <c r="J414" s="65"/>
    </row>
    <row r="415">
      <c r="H415" s="65"/>
      <c r="I415" s="60"/>
      <c r="J415" s="65"/>
    </row>
    <row r="416">
      <c r="H416" s="65"/>
      <c r="I416" s="60"/>
      <c r="J416" s="65"/>
    </row>
    <row r="417">
      <c r="H417" s="65"/>
      <c r="I417" s="60"/>
      <c r="J417" s="65"/>
    </row>
    <row r="418">
      <c r="H418" s="65"/>
      <c r="I418" s="60"/>
      <c r="J418" s="65"/>
    </row>
    <row r="419">
      <c r="H419" s="65"/>
      <c r="I419" s="60"/>
      <c r="J419" s="65"/>
    </row>
    <row r="420">
      <c r="H420" s="65"/>
      <c r="I420" s="60"/>
      <c r="J420" s="65"/>
    </row>
    <row r="421">
      <c r="H421" s="65"/>
      <c r="I421" s="60"/>
      <c r="J421" s="65"/>
    </row>
    <row r="422">
      <c r="H422" s="65"/>
      <c r="I422" s="60"/>
      <c r="J422" s="65"/>
    </row>
    <row r="423">
      <c r="H423" s="65"/>
      <c r="I423" s="60"/>
      <c r="J423" s="65"/>
    </row>
    <row r="424">
      <c r="H424" s="65"/>
      <c r="I424" s="60"/>
      <c r="J424" s="65"/>
    </row>
    <row r="425">
      <c r="H425" s="65"/>
      <c r="I425" s="60"/>
      <c r="J425" s="65"/>
    </row>
    <row r="426">
      <c r="H426" s="65"/>
      <c r="I426" s="60"/>
      <c r="J426" s="65"/>
    </row>
    <row r="427">
      <c r="H427" s="65"/>
      <c r="I427" s="60"/>
      <c r="J427" s="65"/>
    </row>
    <row r="428">
      <c r="H428" s="65"/>
      <c r="I428" s="60"/>
      <c r="J428" s="65"/>
    </row>
    <row r="429">
      <c r="H429" s="65"/>
      <c r="I429" s="60"/>
      <c r="J429" s="65"/>
    </row>
    <row r="430">
      <c r="H430" s="65"/>
      <c r="I430" s="60"/>
      <c r="J430" s="65"/>
    </row>
    <row r="431">
      <c r="H431" s="65"/>
      <c r="I431" s="60"/>
      <c r="J431" s="65"/>
    </row>
    <row r="432">
      <c r="H432" s="65"/>
      <c r="I432" s="60"/>
      <c r="J432" s="65"/>
    </row>
    <row r="433">
      <c r="H433" s="65"/>
      <c r="I433" s="60"/>
      <c r="J433" s="65"/>
    </row>
    <row r="434">
      <c r="H434" s="65"/>
      <c r="I434" s="60"/>
      <c r="J434" s="65"/>
    </row>
    <row r="435">
      <c r="H435" s="65"/>
      <c r="I435" s="60"/>
      <c r="J435" s="65"/>
    </row>
    <row r="436">
      <c r="H436" s="65"/>
      <c r="I436" s="60"/>
      <c r="J436" s="65"/>
    </row>
    <row r="437">
      <c r="H437" s="65"/>
      <c r="I437" s="60"/>
      <c r="J437" s="65"/>
    </row>
    <row r="438">
      <c r="H438" s="65"/>
      <c r="I438" s="60"/>
      <c r="J438" s="65"/>
    </row>
    <row r="439">
      <c r="H439" s="65"/>
      <c r="I439" s="60"/>
      <c r="J439" s="65"/>
    </row>
    <row r="440">
      <c r="H440" s="65"/>
      <c r="I440" s="60"/>
      <c r="J440" s="65"/>
    </row>
    <row r="441">
      <c r="H441" s="65"/>
      <c r="I441" s="60"/>
      <c r="J441" s="65"/>
    </row>
    <row r="442">
      <c r="H442" s="65"/>
      <c r="I442" s="60"/>
      <c r="J442" s="65"/>
    </row>
    <row r="443">
      <c r="H443" s="65"/>
      <c r="I443" s="60"/>
      <c r="J443" s="65"/>
    </row>
    <row r="444">
      <c r="H444" s="65"/>
      <c r="I444" s="60"/>
      <c r="J444" s="65"/>
    </row>
    <row r="445">
      <c r="H445" s="65"/>
      <c r="I445" s="60"/>
      <c r="J445" s="65"/>
    </row>
    <row r="446">
      <c r="H446" s="65"/>
      <c r="I446" s="60"/>
      <c r="J446" s="65"/>
    </row>
    <row r="447">
      <c r="H447" s="65"/>
      <c r="I447" s="60"/>
      <c r="J447" s="65"/>
    </row>
    <row r="448">
      <c r="H448" s="65"/>
      <c r="I448" s="60"/>
      <c r="J448" s="65"/>
    </row>
    <row r="449">
      <c r="H449" s="65"/>
      <c r="I449" s="60"/>
      <c r="J449" s="65"/>
    </row>
    <row r="450">
      <c r="H450" s="65"/>
      <c r="I450" s="60"/>
      <c r="J450" s="65"/>
    </row>
    <row r="451">
      <c r="H451" s="65"/>
      <c r="I451" s="60"/>
      <c r="J451" s="65"/>
    </row>
    <row r="452">
      <c r="H452" s="65"/>
      <c r="I452" s="60"/>
      <c r="J452" s="65"/>
    </row>
    <row r="453">
      <c r="H453" s="65"/>
      <c r="I453" s="60"/>
      <c r="J453" s="65"/>
    </row>
    <row r="454">
      <c r="H454" s="65"/>
      <c r="I454" s="60"/>
      <c r="J454" s="65"/>
    </row>
    <row r="455">
      <c r="H455" s="65"/>
      <c r="I455" s="60"/>
      <c r="J455" s="65"/>
    </row>
    <row r="456">
      <c r="H456" s="65"/>
      <c r="I456" s="60"/>
      <c r="J456" s="65"/>
    </row>
    <row r="457">
      <c r="H457" s="65"/>
      <c r="I457" s="60"/>
      <c r="J457" s="65"/>
    </row>
    <row r="458">
      <c r="H458" s="65"/>
      <c r="I458" s="60"/>
      <c r="J458" s="65"/>
    </row>
    <row r="459">
      <c r="H459" s="65"/>
      <c r="I459" s="60"/>
      <c r="J459" s="65"/>
    </row>
    <row r="460">
      <c r="H460" s="65"/>
      <c r="I460" s="60"/>
      <c r="J460" s="65"/>
    </row>
    <row r="461">
      <c r="H461" s="65"/>
      <c r="I461" s="60"/>
      <c r="J461" s="65"/>
    </row>
    <row r="462">
      <c r="H462" s="65"/>
      <c r="I462" s="60"/>
      <c r="J462" s="65"/>
    </row>
    <row r="463">
      <c r="H463" s="65"/>
      <c r="I463" s="60"/>
      <c r="J463" s="65"/>
    </row>
    <row r="464">
      <c r="H464" s="65"/>
      <c r="I464" s="60"/>
      <c r="J464" s="65"/>
    </row>
    <row r="465">
      <c r="H465" s="65"/>
      <c r="I465" s="60"/>
      <c r="J465" s="65"/>
    </row>
    <row r="466">
      <c r="H466" s="65"/>
      <c r="I466" s="60"/>
      <c r="J466" s="65"/>
    </row>
    <row r="467">
      <c r="H467" s="65"/>
      <c r="I467" s="60"/>
      <c r="J467" s="65"/>
    </row>
    <row r="468">
      <c r="H468" s="65"/>
      <c r="I468" s="60"/>
      <c r="J468" s="65"/>
    </row>
    <row r="469">
      <c r="H469" s="65"/>
      <c r="I469" s="60"/>
      <c r="J469" s="65"/>
    </row>
    <row r="470">
      <c r="H470" s="65"/>
      <c r="I470" s="60"/>
      <c r="J470" s="65"/>
    </row>
    <row r="471">
      <c r="H471" s="65"/>
      <c r="I471" s="60"/>
      <c r="J471" s="65"/>
    </row>
    <row r="472">
      <c r="H472" s="65"/>
      <c r="I472" s="60"/>
      <c r="J472" s="65"/>
    </row>
    <row r="473">
      <c r="H473" s="65"/>
      <c r="I473" s="60"/>
      <c r="J473" s="65"/>
    </row>
    <row r="474">
      <c r="H474" s="65"/>
      <c r="I474" s="60"/>
      <c r="J474" s="65"/>
    </row>
    <row r="475">
      <c r="H475" s="65"/>
      <c r="I475" s="60"/>
      <c r="J475" s="65"/>
    </row>
    <row r="476">
      <c r="H476" s="65"/>
      <c r="I476" s="60"/>
      <c r="J476" s="65"/>
    </row>
    <row r="477">
      <c r="H477" s="65"/>
      <c r="I477" s="60"/>
      <c r="J477" s="65"/>
    </row>
    <row r="478">
      <c r="H478" s="65"/>
      <c r="I478" s="60"/>
      <c r="J478" s="65"/>
    </row>
    <row r="479">
      <c r="H479" s="65"/>
      <c r="I479" s="60"/>
      <c r="J479" s="65"/>
    </row>
    <row r="480">
      <c r="H480" s="65"/>
      <c r="I480" s="60"/>
      <c r="J480" s="65"/>
    </row>
    <row r="481">
      <c r="H481" s="65"/>
      <c r="I481" s="60"/>
      <c r="J481" s="65"/>
    </row>
    <row r="482">
      <c r="H482" s="65"/>
      <c r="I482" s="60"/>
      <c r="J482" s="65"/>
    </row>
    <row r="483">
      <c r="H483" s="65"/>
      <c r="I483" s="60"/>
      <c r="J483" s="65"/>
    </row>
    <row r="484">
      <c r="H484" s="65"/>
      <c r="I484" s="60"/>
      <c r="J484" s="65"/>
    </row>
    <row r="485">
      <c r="H485" s="65"/>
      <c r="I485" s="60"/>
      <c r="J485" s="65"/>
    </row>
    <row r="486">
      <c r="H486" s="65"/>
      <c r="I486" s="60"/>
      <c r="J486" s="65"/>
    </row>
    <row r="487">
      <c r="H487" s="65"/>
      <c r="I487" s="60"/>
      <c r="J487" s="65"/>
    </row>
    <row r="488">
      <c r="H488" s="65"/>
      <c r="I488" s="60"/>
      <c r="J488" s="65"/>
    </row>
    <row r="489">
      <c r="H489" s="65"/>
      <c r="I489" s="60"/>
      <c r="J489" s="65"/>
    </row>
    <row r="490">
      <c r="H490" s="65"/>
      <c r="I490" s="60"/>
      <c r="J490" s="65"/>
    </row>
    <row r="491">
      <c r="H491" s="65"/>
      <c r="I491" s="60"/>
      <c r="J491" s="65"/>
    </row>
    <row r="492">
      <c r="H492" s="65"/>
      <c r="I492" s="60"/>
      <c r="J492" s="65"/>
    </row>
    <row r="493">
      <c r="H493" s="65"/>
      <c r="I493" s="60"/>
      <c r="J493" s="65"/>
    </row>
    <row r="494">
      <c r="H494" s="65"/>
      <c r="I494" s="60"/>
      <c r="J494" s="65"/>
    </row>
    <row r="495">
      <c r="H495" s="65"/>
      <c r="I495" s="60"/>
      <c r="J495" s="65"/>
    </row>
    <row r="496">
      <c r="H496" s="65"/>
      <c r="I496" s="60"/>
      <c r="J496" s="65"/>
    </row>
    <row r="497">
      <c r="H497" s="65"/>
      <c r="I497" s="60"/>
      <c r="J497" s="65"/>
    </row>
    <row r="498">
      <c r="H498" s="65"/>
      <c r="I498" s="60"/>
      <c r="J498" s="65"/>
    </row>
    <row r="499">
      <c r="H499" s="65"/>
      <c r="I499" s="60"/>
      <c r="J499" s="65"/>
    </row>
    <row r="500">
      <c r="H500" s="65"/>
      <c r="I500" s="60"/>
      <c r="J500" s="65"/>
    </row>
    <row r="501">
      <c r="H501" s="65"/>
      <c r="I501" s="60"/>
      <c r="J501" s="65"/>
    </row>
    <row r="502">
      <c r="H502" s="65"/>
      <c r="I502" s="60"/>
      <c r="J502" s="65"/>
    </row>
    <row r="503">
      <c r="H503" s="65"/>
      <c r="I503" s="60"/>
      <c r="J503" s="65"/>
    </row>
    <row r="504">
      <c r="H504" s="65"/>
      <c r="I504" s="60"/>
      <c r="J504" s="65"/>
    </row>
    <row r="505">
      <c r="H505" s="65"/>
      <c r="I505" s="60"/>
      <c r="J505" s="65"/>
    </row>
    <row r="506">
      <c r="H506" s="65"/>
      <c r="I506" s="60"/>
      <c r="J506" s="65"/>
    </row>
    <row r="507">
      <c r="H507" s="65"/>
      <c r="I507" s="60"/>
      <c r="J507" s="65"/>
    </row>
    <row r="508">
      <c r="H508" s="65"/>
      <c r="I508" s="60"/>
      <c r="J508" s="65"/>
    </row>
    <row r="509">
      <c r="H509" s="65"/>
      <c r="I509" s="60"/>
      <c r="J509" s="65"/>
    </row>
    <row r="510">
      <c r="H510" s="65"/>
      <c r="I510" s="60"/>
      <c r="J510" s="65"/>
    </row>
    <row r="511">
      <c r="H511" s="65"/>
      <c r="I511" s="60"/>
      <c r="J511" s="65"/>
    </row>
    <row r="512">
      <c r="H512" s="65"/>
      <c r="I512" s="60"/>
      <c r="J512" s="65"/>
    </row>
    <row r="513">
      <c r="H513" s="65"/>
      <c r="I513" s="60"/>
      <c r="J513" s="65"/>
    </row>
    <row r="514">
      <c r="H514" s="65"/>
      <c r="I514" s="60"/>
      <c r="J514" s="65"/>
    </row>
    <row r="515">
      <c r="H515" s="65"/>
      <c r="I515" s="60"/>
      <c r="J515" s="65"/>
    </row>
    <row r="516">
      <c r="H516" s="65"/>
      <c r="I516" s="60"/>
      <c r="J516" s="65"/>
    </row>
    <row r="517">
      <c r="H517" s="65"/>
      <c r="I517" s="60"/>
      <c r="J517" s="65"/>
    </row>
    <row r="518">
      <c r="H518" s="65"/>
      <c r="I518" s="60"/>
      <c r="J518" s="65"/>
    </row>
    <row r="519">
      <c r="H519" s="65"/>
      <c r="I519" s="60"/>
      <c r="J519" s="65"/>
    </row>
    <row r="520">
      <c r="H520" s="65"/>
      <c r="I520" s="60"/>
      <c r="J520" s="65"/>
    </row>
    <row r="521">
      <c r="H521" s="65"/>
      <c r="I521" s="60"/>
      <c r="J521" s="65"/>
    </row>
    <row r="522">
      <c r="H522" s="65"/>
      <c r="I522" s="60"/>
      <c r="J522" s="65"/>
    </row>
    <row r="523">
      <c r="H523" s="65"/>
      <c r="I523" s="60"/>
      <c r="J523" s="65"/>
    </row>
    <row r="524">
      <c r="H524" s="65"/>
      <c r="I524" s="60"/>
      <c r="J524" s="65"/>
    </row>
    <row r="525">
      <c r="H525" s="65"/>
      <c r="I525" s="60"/>
      <c r="J525" s="65"/>
    </row>
    <row r="526">
      <c r="H526" s="65"/>
      <c r="I526" s="60"/>
      <c r="J526" s="65"/>
    </row>
    <row r="527">
      <c r="H527" s="65"/>
      <c r="I527" s="60"/>
      <c r="J527" s="65"/>
    </row>
    <row r="528">
      <c r="H528" s="65"/>
      <c r="I528" s="60"/>
      <c r="J528" s="65"/>
    </row>
    <row r="529">
      <c r="H529" s="65"/>
      <c r="I529" s="60"/>
      <c r="J529" s="65"/>
    </row>
    <row r="530">
      <c r="H530" s="65"/>
      <c r="I530" s="60"/>
      <c r="J530" s="65"/>
    </row>
    <row r="531">
      <c r="H531" s="65"/>
      <c r="I531" s="60"/>
      <c r="J531" s="65"/>
    </row>
    <row r="532">
      <c r="H532" s="65"/>
      <c r="I532" s="60"/>
      <c r="J532" s="65"/>
    </row>
    <row r="533">
      <c r="H533" s="65"/>
      <c r="I533" s="60"/>
      <c r="J533" s="65"/>
    </row>
    <row r="534">
      <c r="H534" s="65"/>
      <c r="I534" s="60"/>
      <c r="J534" s="65"/>
    </row>
    <row r="535">
      <c r="H535" s="65"/>
      <c r="I535" s="60"/>
      <c r="J535" s="65"/>
    </row>
    <row r="536">
      <c r="H536" s="65"/>
      <c r="I536" s="60"/>
      <c r="J536" s="65"/>
    </row>
    <row r="537">
      <c r="H537" s="65"/>
      <c r="I537" s="60"/>
      <c r="J537" s="65"/>
    </row>
    <row r="538">
      <c r="H538" s="65"/>
      <c r="I538" s="60"/>
      <c r="J538" s="65"/>
    </row>
    <row r="539">
      <c r="H539" s="65"/>
      <c r="I539" s="60"/>
      <c r="J539" s="65"/>
    </row>
    <row r="540">
      <c r="H540" s="65"/>
      <c r="I540" s="60"/>
      <c r="J540" s="65"/>
    </row>
    <row r="541">
      <c r="H541" s="65"/>
      <c r="I541" s="60"/>
      <c r="J541" s="65"/>
    </row>
    <row r="542">
      <c r="H542" s="65"/>
      <c r="I542" s="60"/>
      <c r="J542" s="65"/>
    </row>
    <row r="543">
      <c r="H543" s="65"/>
      <c r="I543" s="60"/>
      <c r="J543" s="65"/>
    </row>
    <row r="544">
      <c r="H544" s="65"/>
      <c r="I544" s="60"/>
      <c r="J544" s="65"/>
    </row>
    <row r="545">
      <c r="H545" s="65"/>
      <c r="I545" s="60"/>
      <c r="J545" s="65"/>
    </row>
    <row r="546">
      <c r="H546" s="65"/>
      <c r="I546" s="60"/>
      <c r="J546" s="65"/>
    </row>
    <row r="547">
      <c r="H547" s="65"/>
      <c r="I547" s="60"/>
      <c r="J547" s="65"/>
    </row>
    <row r="548">
      <c r="H548" s="65"/>
      <c r="I548" s="60"/>
      <c r="J548" s="65"/>
    </row>
    <row r="549">
      <c r="H549" s="65"/>
      <c r="I549" s="60"/>
      <c r="J549" s="65"/>
    </row>
    <row r="550">
      <c r="H550" s="65"/>
      <c r="I550" s="60"/>
      <c r="J550" s="65"/>
    </row>
    <row r="551">
      <c r="H551" s="65"/>
      <c r="I551" s="60"/>
      <c r="J551" s="65"/>
    </row>
    <row r="552">
      <c r="H552" s="65"/>
      <c r="I552" s="60"/>
      <c r="J552" s="65"/>
    </row>
    <row r="553">
      <c r="H553" s="65"/>
      <c r="I553" s="60"/>
      <c r="J553" s="65"/>
    </row>
    <row r="554">
      <c r="H554" s="65"/>
      <c r="I554" s="60"/>
      <c r="J554" s="65"/>
    </row>
    <row r="555">
      <c r="H555" s="65"/>
      <c r="I555" s="60"/>
      <c r="J555" s="65"/>
    </row>
    <row r="556">
      <c r="H556" s="65"/>
      <c r="I556" s="60"/>
      <c r="J556" s="65"/>
    </row>
    <row r="557">
      <c r="H557" s="65"/>
      <c r="I557" s="60"/>
      <c r="J557" s="65"/>
    </row>
    <row r="558">
      <c r="H558" s="65"/>
      <c r="I558" s="60"/>
      <c r="J558" s="65"/>
    </row>
    <row r="559">
      <c r="H559" s="65"/>
      <c r="I559" s="60"/>
      <c r="J559" s="65"/>
    </row>
    <row r="560">
      <c r="H560" s="65"/>
      <c r="I560" s="60"/>
      <c r="J560" s="65"/>
    </row>
    <row r="561">
      <c r="H561" s="65"/>
      <c r="I561" s="60"/>
      <c r="J561" s="65"/>
    </row>
    <row r="562">
      <c r="H562" s="65"/>
      <c r="I562" s="60"/>
      <c r="J562" s="65"/>
    </row>
    <row r="563">
      <c r="H563" s="65"/>
      <c r="I563" s="60"/>
      <c r="J563" s="65"/>
    </row>
    <row r="564">
      <c r="H564" s="65"/>
      <c r="I564" s="60"/>
      <c r="J564" s="65"/>
    </row>
    <row r="565">
      <c r="H565" s="65"/>
      <c r="I565" s="60"/>
      <c r="J565" s="65"/>
    </row>
    <row r="566">
      <c r="H566" s="65"/>
      <c r="I566" s="60"/>
      <c r="J566" s="65"/>
    </row>
    <row r="567">
      <c r="H567" s="65"/>
      <c r="I567" s="60"/>
      <c r="J567" s="65"/>
    </row>
    <row r="568">
      <c r="H568" s="65"/>
      <c r="I568" s="60"/>
      <c r="J568" s="65"/>
    </row>
    <row r="569">
      <c r="H569" s="65"/>
      <c r="I569" s="60"/>
      <c r="J569" s="65"/>
    </row>
    <row r="570">
      <c r="H570" s="65"/>
      <c r="I570" s="60"/>
      <c r="J570" s="65"/>
    </row>
    <row r="571">
      <c r="H571" s="65"/>
      <c r="I571" s="60"/>
      <c r="J571" s="65"/>
    </row>
    <row r="572">
      <c r="H572" s="65"/>
      <c r="I572" s="60"/>
      <c r="J572" s="65"/>
    </row>
    <row r="573">
      <c r="H573" s="65"/>
      <c r="I573" s="60"/>
      <c r="J573" s="65"/>
    </row>
    <row r="574">
      <c r="H574" s="65"/>
      <c r="I574" s="60"/>
      <c r="J574" s="65"/>
    </row>
    <row r="575">
      <c r="H575" s="65"/>
      <c r="I575" s="60"/>
      <c r="J575" s="65"/>
    </row>
    <row r="576">
      <c r="H576" s="65"/>
      <c r="I576" s="60"/>
      <c r="J576" s="65"/>
    </row>
    <row r="577">
      <c r="H577" s="65"/>
      <c r="I577" s="60"/>
      <c r="J577" s="65"/>
    </row>
    <row r="578">
      <c r="H578" s="65"/>
      <c r="I578" s="60"/>
      <c r="J578" s="65"/>
    </row>
    <row r="579">
      <c r="H579" s="65"/>
      <c r="I579" s="60"/>
      <c r="J579" s="65"/>
    </row>
    <row r="580">
      <c r="H580" s="65"/>
      <c r="I580" s="60"/>
      <c r="J580" s="65"/>
    </row>
    <row r="581">
      <c r="H581" s="65"/>
      <c r="I581" s="60"/>
      <c r="J581" s="65"/>
    </row>
    <row r="582">
      <c r="H582" s="65"/>
      <c r="I582" s="60"/>
      <c r="J582" s="65"/>
    </row>
    <row r="583">
      <c r="H583" s="65"/>
      <c r="I583" s="60"/>
      <c r="J583" s="65"/>
    </row>
    <row r="584">
      <c r="H584" s="65"/>
      <c r="I584" s="60"/>
      <c r="J584" s="65"/>
    </row>
    <row r="585">
      <c r="H585" s="65"/>
      <c r="I585" s="60"/>
      <c r="J585" s="65"/>
    </row>
    <row r="586">
      <c r="H586" s="65"/>
      <c r="I586" s="60"/>
      <c r="J586" s="65"/>
    </row>
    <row r="587">
      <c r="H587" s="65"/>
      <c r="I587" s="60"/>
      <c r="J587" s="65"/>
    </row>
    <row r="588">
      <c r="H588" s="65"/>
      <c r="I588" s="60"/>
      <c r="J588" s="65"/>
    </row>
    <row r="589">
      <c r="H589" s="65"/>
      <c r="I589" s="60"/>
      <c r="J589" s="65"/>
    </row>
    <row r="590">
      <c r="H590" s="65"/>
      <c r="I590" s="60"/>
      <c r="J590" s="65"/>
    </row>
    <row r="591">
      <c r="H591" s="65"/>
      <c r="I591" s="60"/>
      <c r="J591" s="65"/>
    </row>
    <row r="592">
      <c r="H592" s="65"/>
      <c r="I592" s="60"/>
      <c r="J592" s="65"/>
    </row>
    <row r="593">
      <c r="H593" s="65"/>
      <c r="I593" s="60"/>
      <c r="J593" s="65"/>
    </row>
    <row r="594">
      <c r="H594" s="65"/>
      <c r="I594" s="60"/>
      <c r="J594" s="65"/>
    </row>
    <row r="595">
      <c r="H595" s="65"/>
      <c r="I595" s="60"/>
      <c r="J595" s="65"/>
    </row>
    <row r="596">
      <c r="H596" s="65"/>
      <c r="I596" s="60"/>
      <c r="J596" s="65"/>
    </row>
    <row r="597">
      <c r="H597" s="65"/>
      <c r="I597" s="60"/>
      <c r="J597" s="65"/>
    </row>
    <row r="598">
      <c r="H598" s="65"/>
      <c r="I598" s="60"/>
      <c r="J598" s="65"/>
    </row>
    <row r="599">
      <c r="H599" s="65"/>
      <c r="I599" s="60"/>
      <c r="J599" s="65"/>
    </row>
    <row r="600">
      <c r="H600" s="65"/>
      <c r="I600" s="60"/>
      <c r="J600" s="65"/>
    </row>
    <row r="601">
      <c r="H601" s="65"/>
      <c r="I601" s="60"/>
      <c r="J601" s="65"/>
    </row>
    <row r="602">
      <c r="H602" s="65"/>
      <c r="I602" s="60"/>
      <c r="J602" s="65"/>
    </row>
    <row r="603">
      <c r="H603" s="65"/>
      <c r="I603" s="60"/>
      <c r="J603" s="65"/>
    </row>
    <row r="604">
      <c r="H604" s="65"/>
      <c r="I604" s="60"/>
      <c r="J604" s="65"/>
    </row>
    <row r="605">
      <c r="H605" s="65"/>
      <c r="I605" s="60"/>
      <c r="J605" s="65"/>
    </row>
    <row r="606">
      <c r="H606" s="65"/>
      <c r="I606" s="60"/>
      <c r="J606" s="65"/>
    </row>
    <row r="607">
      <c r="H607" s="65"/>
      <c r="I607" s="60"/>
      <c r="J607" s="65"/>
    </row>
    <row r="608">
      <c r="H608" s="65"/>
      <c r="I608" s="60"/>
      <c r="J608" s="65"/>
    </row>
    <row r="609">
      <c r="H609" s="65"/>
      <c r="I609" s="60"/>
      <c r="J609" s="65"/>
    </row>
    <row r="610">
      <c r="H610" s="65"/>
      <c r="I610" s="60"/>
      <c r="J610" s="65"/>
    </row>
    <row r="611">
      <c r="H611" s="65"/>
      <c r="I611" s="60"/>
      <c r="J611" s="65"/>
    </row>
    <row r="612">
      <c r="H612" s="65"/>
      <c r="I612" s="60"/>
      <c r="J612" s="65"/>
    </row>
    <row r="613">
      <c r="H613" s="65"/>
      <c r="I613" s="60"/>
      <c r="J613" s="65"/>
    </row>
    <row r="614">
      <c r="H614" s="65"/>
      <c r="I614" s="60"/>
      <c r="J614" s="65"/>
    </row>
    <row r="615">
      <c r="H615" s="65"/>
      <c r="I615" s="60"/>
      <c r="J615" s="65"/>
    </row>
    <row r="616">
      <c r="H616" s="65"/>
      <c r="I616" s="60"/>
      <c r="J616" s="65"/>
    </row>
    <row r="617">
      <c r="H617" s="65"/>
      <c r="I617" s="60"/>
      <c r="J617" s="65"/>
    </row>
    <row r="618">
      <c r="H618" s="65"/>
      <c r="I618" s="60"/>
      <c r="J618" s="65"/>
    </row>
    <row r="619">
      <c r="H619" s="65"/>
      <c r="I619" s="60"/>
      <c r="J619" s="65"/>
    </row>
    <row r="620">
      <c r="H620" s="65"/>
      <c r="I620" s="60"/>
      <c r="J620" s="65"/>
    </row>
    <row r="621">
      <c r="H621" s="65"/>
      <c r="I621" s="60"/>
      <c r="J621" s="65"/>
    </row>
    <row r="622">
      <c r="H622" s="65"/>
      <c r="I622" s="60"/>
      <c r="J622" s="65"/>
    </row>
    <row r="623">
      <c r="H623" s="65"/>
      <c r="I623" s="60"/>
      <c r="J623" s="65"/>
    </row>
    <row r="624">
      <c r="H624" s="65"/>
      <c r="I624" s="60"/>
      <c r="J624" s="65"/>
    </row>
    <row r="625">
      <c r="H625" s="65"/>
      <c r="I625" s="60"/>
      <c r="J625" s="65"/>
    </row>
    <row r="626">
      <c r="H626" s="65"/>
      <c r="I626" s="60"/>
      <c r="J626" s="65"/>
    </row>
    <row r="627">
      <c r="H627" s="65"/>
      <c r="I627" s="60"/>
      <c r="J627" s="65"/>
    </row>
    <row r="628">
      <c r="H628" s="65"/>
      <c r="I628" s="60"/>
      <c r="J628" s="65"/>
    </row>
    <row r="629">
      <c r="H629" s="65"/>
      <c r="I629" s="60"/>
      <c r="J629" s="65"/>
    </row>
    <row r="630">
      <c r="H630" s="65"/>
      <c r="I630" s="60"/>
      <c r="J630" s="65"/>
    </row>
    <row r="631">
      <c r="H631" s="65"/>
      <c r="I631" s="60"/>
      <c r="J631" s="65"/>
    </row>
    <row r="632">
      <c r="H632" s="65"/>
      <c r="I632" s="60"/>
      <c r="J632" s="65"/>
    </row>
    <row r="633">
      <c r="H633" s="65"/>
      <c r="I633" s="60"/>
      <c r="J633" s="65"/>
    </row>
    <row r="634">
      <c r="H634" s="65"/>
      <c r="I634" s="60"/>
      <c r="J634" s="65"/>
    </row>
    <row r="635">
      <c r="H635" s="65"/>
      <c r="I635" s="60"/>
      <c r="J635" s="65"/>
    </row>
    <row r="636">
      <c r="H636" s="65"/>
      <c r="I636" s="60"/>
      <c r="J636" s="65"/>
    </row>
    <row r="637">
      <c r="H637" s="65"/>
      <c r="I637" s="60"/>
      <c r="J637" s="65"/>
    </row>
    <row r="638">
      <c r="H638" s="65"/>
      <c r="I638" s="60"/>
      <c r="J638" s="65"/>
    </row>
    <row r="639">
      <c r="H639" s="65"/>
      <c r="I639" s="60"/>
      <c r="J639" s="65"/>
    </row>
    <row r="640">
      <c r="H640" s="65"/>
      <c r="I640" s="60"/>
      <c r="J640" s="65"/>
    </row>
    <row r="641">
      <c r="H641" s="65"/>
      <c r="I641" s="60"/>
      <c r="J641" s="65"/>
    </row>
    <row r="642">
      <c r="H642" s="65"/>
      <c r="I642" s="60"/>
      <c r="J642" s="65"/>
    </row>
    <row r="643">
      <c r="H643" s="65"/>
      <c r="I643" s="60"/>
      <c r="J643" s="65"/>
    </row>
    <row r="644">
      <c r="H644" s="65"/>
      <c r="I644" s="60"/>
      <c r="J644" s="65"/>
    </row>
    <row r="645">
      <c r="H645" s="65"/>
      <c r="I645" s="60"/>
      <c r="J645" s="65"/>
    </row>
    <row r="646">
      <c r="H646" s="65"/>
      <c r="I646" s="60"/>
      <c r="J646" s="65"/>
    </row>
    <row r="647">
      <c r="H647" s="65"/>
      <c r="I647" s="60"/>
      <c r="J647" s="65"/>
    </row>
    <row r="648">
      <c r="H648" s="65"/>
      <c r="I648" s="60"/>
      <c r="J648" s="65"/>
    </row>
    <row r="649">
      <c r="H649" s="65"/>
      <c r="I649" s="60"/>
      <c r="J649" s="65"/>
    </row>
    <row r="650">
      <c r="H650" s="65"/>
      <c r="I650" s="60"/>
      <c r="J650" s="65"/>
    </row>
    <row r="651">
      <c r="H651" s="65"/>
      <c r="I651" s="60"/>
      <c r="J651" s="65"/>
    </row>
    <row r="652">
      <c r="H652" s="65"/>
      <c r="I652" s="60"/>
      <c r="J652" s="65"/>
    </row>
    <row r="653">
      <c r="H653" s="65"/>
      <c r="I653" s="60"/>
      <c r="J653" s="65"/>
    </row>
    <row r="654">
      <c r="H654" s="65"/>
      <c r="I654" s="60"/>
      <c r="J654" s="65"/>
    </row>
    <row r="655">
      <c r="H655" s="65"/>
      <c r="I655" s="60"/>
      <c r="J655" s="65"/>
    </row>
    <row r="656">
      <c r="H656" s="65"/>
      <c r="I656" s="60"/>
      <c r="J656" s="65"/>
    </row>
    <row r="657">
      <c r="H657" s="65"/>
      <c r="I657" s="60"/>
      <c r="J657" s="65"/>
    </row>
    <row r="658">
      <c r="H658" s="65"/>
      <c r="I658" s="60"/>
      <c r="J658" s="65"/>
    </row>
    <row r="659">
      <c r="H659" s="65"/>
      <c r="I659" s="60"/>
      <c r="J659" s="65"/>
    </row>
    <row r="660">
      <c r="H660" s="65"/>
      <c r="I660" s="60"/>
      <c r="J660" s="65"/>
    </row>
    <row r="661">
      <c r="H661" s="65"/>
      <c r="I661" s="60"/>
      <c r="J661" s="65"/>
    </row>
    <row r="662">
      <c r="H662" s="65"/>
      <c r="I662" s="60"/>
      <c r="J662" s="65"/>
    </row>
    <row r="663">
      <c r="H663" s="65"/>
      <c r="I663" s="60"/>
      <c r="J663" s="65"/>
    </row>
    <row r="664">
      <c r="H664" s="65"/>
      <c r="I664" s="60"/>
      <c r="J664" s="65"/>
    </row>
    <row r="665">
      <c r="H665" s="65"/>
      <c r="I665" s="60"/>
      <c r="J665" s="65"/>
    </row>
    <row r="666">
      <c r="H666" s="65"/>
      <c r="I666" s="60"/>
      <c r="J666" s="65"/>
    </row>
    <row r="667">
      <c r="H667" s="65"/>
      <c r="I667" s="60"/>
      <c r="J667" s="65"/>
    </row>
    <row r="668">
      <c r="H668" s="65"/>
      <c r="I668" s="60"/>
      <c r="J668" s="65"/>
    </row>
    <row r="669">
      <c r="H669" s="65"/>
      <c r="I669" s="60"/>
      <c r="J669" s="65"/>
    </row>
    <row r="670">
      <c r="H670" s="65"/>
      <c r="I670" s="60"/>
      <c r="J670" s="65"/>
    </row>
    <row r="671">
      <c r="H671" s="65"/>
      <c r="I671" s="60"/>
      <c r="J671" s="65"/>
    </row>
    <row r="672">
      <c r="H672" s="65"/>
      <c r="I672" s="60"/>
      <c r="J672" s="65"/>
    </row>
    <row r="673">
      <c r="H673" s="65"/>
      <c r="I673" s="60"/>
      <c r="J673" s="65"/>
    </row>
    <row r="674">
      <c r="H674" s="65"/>
      <c r="I674" s="60"/>
      <c r="J674" s="65"/>
    </row>
    <row r="675">
      <c r="H675" s="65"/>
      <c r="I675" s="60"/>
      <c r="J675" s="65"/>
    </row>
    <row r="676">
      <c r="H676" s="65"/>
      <c r="I676" s="60"/>
      <c r="J676" s="65"/>
    </row>
    <row r="677">
      <c r="H677" s="65"/>
      <c r="I677" s="60"/>
      <c r="J677" s="65"/>
    </row>
    <row r="678">
      <c r="H678" s="65"/>
      <c r="I678" s="60"/>
      <c r="J678" s="65"/>
    </row>
    <row r="679">
      <c r="H679" s="65"/>
      <c r="I679" s="60"/>
      <c r="J679" s="65"/>
    </row>
    <row r="680">
      <c r="H680" s="65"/>
      <c r="I680" s="60"/>
      <c r="J680" s="65"/>
    </row>
    <row r="681">
      <c r="H681" s="65"/>
      <c r="I681" s="60"/>
      <c r="J681" s="65"/>
    </row>
    <row r="682">
      <c r="H682" s="65"/>
      <c r="I682" s="60"/>
      <c r="J682" s="65"/>
    </row>
    <row r="683">
      <c r="H683" s="65"/>
      <c r="I683" s="60"/>
      <c r="J683" s="65"/>
    </row>
    <row r="684">
      <c r="H684" s="65"/>
      <c r="I684" s="60"/>
      <c r="J684" s="65"/>
    </row>
    <row r="685">
      <c r="H685" s="65"/>
      <c r="I685" s="60"/>
      <c r="J685" s="65"/>
    </row>
    <row r="686">
      <c r="H686" s="65"/>
      <c r="I686" s="60"/>
      <c r="J686" s="65"/>
    </row>
    <row r="687">
      <c r="H687" s="65"/>
      <c r="I687" s="60"/>
      <c r="J687" s="65"/>
    </row>
    <row r="688">
      <c r="H688" s="65"/>
      <c r="I688" s="60"/>
      <c r="J688" s="65"/>
    </row>
    <row r="689">
      <c r="H689" s="65"/>
      <c r="I689" s="60"/>
      <c r="J689" s="65"/>
    </row>
    <row r="690">
      <c r="H690" s="65"/>
      <c r="I690" s="60"/>
      <c r="J690" s="65"/>
    </row>
    <row r="691">
      <c r="H691" s="65"/>
      <c r="I691" s="60"/>
      <c r="J691" s="65"/>
    </row>
    <row r="692">
      <c r="H692" s="65"/>
      <c r="I692" s="60"/>
      <c r="J692" s="65"/>
    </row>
    <row r="693">
      <c r="H693" s="65"/>
      <c r="I693" s="60"/>
      <c r="J693" s="65"/>
    </row>
    <row r="694">
      <c r="H694" s="65"/>
      <c r="I694" s="60"/>
      <c r="J694" s="65"/>
    </row>
    <row r="695">
      <c r="H695" s="65"/>
      <c r="I695" s="60"/>
      <c r="J695" s="65"/>
    </row>
    <row r="696">
      <c r="H696" s="65"/>
      <c r="I696" s="60"/>
      <c r="J696" s="65"/>
    </row>
    <row r="697">
      <c r="H697" s="65"/>
      <c r="I697" s="60"/>
      <c r="J697" s="65"/>
    </row>
    <row r="698">
      <c r="H698" s="65"/>
      <c r="I698" s="60"/>
      <c r="J698" s="65"/>
    </row>
    <row r="699">
      <c r="H699" s="65"/>
      <c r="I699" s="60"/>
      <c r="J699" s="65"/>
    </row>
    <row r="700">
      <c r="H700" s="65"/>
      <c r="I700" s="60"/>
      <c r="J700" s="65"/>
    </row>
    <row r="701">
      <c r="H701" s="65"/>
      <c r="I701" s="60"/>
      <c r="J701" s="65"/>
    </row>
    <row r="702">
      <c r="H702" s="65"/>
      <c r="I702" s="60"/>
      <c r="J702" s="65"/>
    </row>
    <row r="703">
      <c r="H703" s="65"/>
      <c r="I703" s="60"/>
      <c r="J703" s="65"/>
    </row>
    <row r="704">
      <c r="H704" s="65"/>
      <c r="I704" s="60"/>
      <c r="J704" s="65"/>
    </row>
    <row r="705">
      <c r="H705" s="65"/>
      <c r="I705" s="60"/>
      <c r="J705" s="65"/>
    </row>
    <row r="706">
      <c r="H706" s="65"/>
      <c r="I706" s="60"/>
      <c r="J706" s="65"/>
    </row>
    <row r="707">
      <c r="H707" s="65"/>
      <c r="I707" s="60"/>
      <c r="J707" s="65"/>
    </row>
    <row r="708">
      <c r="H708" s="65"/>
      <c r="I708" s="60"/>
      <c r="J708" s="65"/>
    </row>
    <row r="709">
      <c r="H709" s="65"/>
      <c r="I709" s="60"/>
      <c r="J709" s="65"/>
    </row>
    <row r="710">
      <c r="H710" s="65"/>
      <c r="I710" s="60"/>
      <c r="J710" s="65"/>
    </row>
    <row r="711">
      <c r="H711" s="65"/>
      <c r="I711" s="60"/>
      <c r="J711" s="65"/>
    </row>
    <row r="712">
      <c r="H712" s="65"/>
      <c r="I712" s="60"/>
      <c r="J712" s="65"/>
    </row>
    <row r="713">
      <c r="H713" s="65"/>
      <c r="I713" s="60"/>
      <c r="J713" s="65"/>
    </row>
    <row r="714">
      <c r="H714" s="65"/>
      <c r="I714" s="60"/>
      <c r="J714" s="65"/>
    </row>
    <row r="715">
      <c r="H715" s="65"/>
      <c r="I715" s="60"/>
      <c r="J715" s="65"/>
    </row>
    <row r="716">
      <c r="H716" s="65"/>
      <c r="I716" s="60"/>
      <c r="J716" s="65"/>
    </row>
    <row r="717">
      <c r="H717" s="65"/>
      <c r="I717" s="60"/>
      <c r="J717" s="65"/>
    </row>
    <row r="718">
      <c r="H718" s="65"/>
      <c r="I718" s="60"/>
      <c r="J718" s="65"/>
    </row>
    <row r="719">
      <c r="H719" s="65"/>
      <c r="I719" s="60"/>
      <c r="J719" s="65"/>
    </row>
    <row r="720">
      <c r="H720" s="65"/>
      <c r="I720" s="60"/>
      <c r="J720" s="65"/>
    </row>
    <row r="721">
      <c r="H721" s="65"/>
      <c r="I721" s="60"/>
      <c r="J721" s="65"/>
    </row>
    <row r="722">
      <c r="H722" s="65"/>
      <c r="I722" s="60"/>
      <c r="J722" s="65"/>
    </row>
    <row r="723">
      <c r="H723" s="65"/>
      <c r="I723" s="60"/>
      <c r="J723" s="65"/>
    </row>
    <row r="724">
      <c r="H724" s="65"/>
      <c r="I724" s="60"/>
      <c r="J724" s="65"/>
    </row>
    <row r="725">
      <c r="H725" s="65"/>
      <c r="I725" s="60"/>
      <c r="J725" s="65"/>
    </row>
    <row r="726">
      <c r="H726" s="65"/>
      <c r="I726" s="60"/>
      <c r="J726" s="65"/>
    </row>
    <row r="727">
      <c r="H727" s="65"/>
      <c r="I727" s="60"/>
      <c r="J727" s="65"/>
    </row>
    <row r="728">
      <c r="H728" s="65"/>
      <c r="I728" s="60"/>
      <c r="J728" s="65"/>
    </row>
    <row r="729">
      <c r="H729" s="65"/>
      <c r="I729" s="60"/>
      <c r="J729" s="65"/>
    </row>
    <row r="730">
      <c r="H730" s="65"/>
      <c r="I730" s="60"/>
      <c r="J730" s="65"/>
    </row>
    <row r="731">
      <c r="H731" s="65"/>
      <c r="I731" s="60"/>
      <c r="J731" s="65"/>
    </row>
    <row r="732">
      <c r="H732" s="65"/>
      <c r="I732" s="60"/>
      <c r="J732" s="65"/>
    </row>
    <row r="733">
      <c r="H733" s="65"/>
      <c r="I733" s="60"/>
      <c r="J733" s="65"/>
    </row>
    <row r="734">
      <c r="H734" s="65"/>
      <c r="I734" s="60"/>
      <c r="J734" s="65"/>
    </row>
    <row r="735">
      <c r="H735" s="65"/>
      <c r="I735" s="60"/>
      <c r="J735" s="65"/>
    </row>
    <row r="736">
      <c r="H736" s="65"/>
      <c r="I736" s="60"/>
      <c r="J736" s="65"/>
    </row>
    <row r="737">
      <c r="H737" s="65"/>
      <c r="I737" s="60"/>
      <c r="J737" s="65"/>
    </row>
    <row r="738">
      <c r="H738" s="65"/>
      <c r="I738" s="60"/>
      <c r="J738" s="65"/>
    </row>
    <row r="739">
      <c r="H739" s="65"/>
      <c r="I739" s="60"/>
      <c r="J739" s="65"/>
    </row>
    <row r="740">
      <c r="H740" s="65"/>
      <c r="I740" s="60"/>
      <c r="J740" s="65"/>
    </row>
    <row r="741">
      <c r="H741" s="65"/>
      <c r="I741" s="60"/>
      <c r="J741" s="65"/>
    </row>
    <row r="742">
      <c r="H742" s="65"/>
      <c r="I742" s="60"/>
      <c r="J742" s="65"/>
    </row>
    <row r="743">
      <c r="H743" s="65"/>
      <c r="I743" s="60"/>
      <c r="J743" s="65"/>
    </row>
    <row r="744">
      <c r="H744" s="65"/>
      <c r="I744" s="60"/>
      <c r="J744" s="65"/>
    </row>
    <row r="745">
      <c r="H745" s="65"/>
      <c r="I745" s="60"/>
      <c r="J745" s="65"/>
    </row>
    <row r="746">
      <c r="H746" s="65"/>
      <c r="I746" s="60"/>
      <c r="J746" s="65"/>
    </row>
    <row r="747">
      <c r="H747" s="65"/>
      <c r="I747" s="60"/>
      <c r="J747" s="65"/>
    </row>
    <row r="748">
      <c r="H748" s="65"/>
      <c r="I748" s="60"/>
      <c r="J748" s="65"/>
    </row>
    <row r="749">
      <c r="H749" s="65"/>
      <c r="I749" s="60"/>
      <c r="J749" s="65"/>
    </row>
    <row r="750">
      <c r="H750" s="65"/>
      <c r="I750" s="60"/>
      <c r="J750" s="65"/>
    </row>
    <row r="751">
      <c r="H751" s="65"/>
      <c r="I751" s="60"/>
      <c r="J751" s="65"/>
    </row>
    <row r="752">
      <c r="H752" s="65"/>
      <c r="I752" s="60"/>
      <c r="J752" s="65"/>
    </row>
    <row r="753">
      <c r="H753" s="65"/>
      <c r="I753" s="60"/>
      <c r="J753" s="65"/>
    </row>
    <row r="754">
      <c r="H754" s="65"/>
      <c r="I754" s="60"/>
      <c r="J754" s="65"/>
    </row>
    <row r="755">
      <c r="H755" s="65"/>
      <c r="I755" s="60"/>
      <c r="J755" s="65"/>
    </row>
    <row r="756">
      <c r="H756" s="65"/>
      <c r="I756" s="60"/>
      <c r="J756" s="65"/>
    </row>
    <row r="757">
      <c r="H757" s="65"/>
      <c r="I757" s="60"/>
      <c r="J757" s="65"/>
    </row>
    <row r="758">
      <c r="H758" s="65"/>
      <c r="I758" s="60"/>
      <c r="J758" s="65"/>
    </row>
    <row r="759">
      <c r="H759" s="65"/>
      <c r="I759" s="60"/>
      <c r="J759" s="65"/>
    </row>
    <row r="760">
      <c r="H760" s="65"/>
      <c r="I760" s="60"/>
      <c r="J760" s="65"/>
    </row>
    <row r="761">
      <c r="H761" s="65"/>
      <c r="I761" s="60"/>
      <c r="J761" s="65"/>
    </row>
    <row r="762">
      <c r="H762" s="65"/>
      <c r="I762" s="60"/>
      <c r="J762" s="65"/>
    </row>
    <row r="763">
      <c r="H763" s="65"/>
      <c r="I763" s="60"/>
      <c r="J763" s="65"/>
    </row>
    <row r="764">
      <c r="H764" s="65"/>
      <c r="I764" s="60"/>
      <c r="J764" s="65"/>
    </row>
    <row r="765">
      <c r="H765" s="65"/>
      <c r="I765" s="60"/>
      <c r="J765" s="65"/>
    </row>
    <row r="766">
      <c r="H766" s="65"/>
      <c r="I766" s="60"/>
      <c r="J766" s="65"/>
    </row>
    <row r="767">
      <c r="H767" s="65"/>
      <c r="I767" s="60"/>
      <c r="J767" s="65"/>
    </row>
    <row r="768">
      <c r="H768" s="65"/>
      <c r="I768" s="60"/>
      <c r="J768" s="65"/>
    </row>
    <row r="769">
      <c r="H769" s="65"/>
      <c r="I769" s="60"/>
      <c r="J769" s="65"/>
    </row>
    <row r="770">
      <c r="H770" s="65"/>
      <c r="I770" s="60"/>
      <c r="J770" s="65"/>
    </row>
    <row r="771">
      <c r="H771" s="65"/>
      <c r="I771" s="60"/>
      <c r="J771" s="65"/>
    </row>
    <row r="772">
      <c r="H772" s="65"/>
      <c r="I772" s="60"/>
      <c r="J772" s="65"/>
    </row>
    <row r="773">
      <c r="H773" s="65"/>
      <c r="I773" s="60"/>
      <c r="J773" s="65"/>
    </row>
    <row r="774">
      <c r="H774" s="65"/>
      <c r="I774" s="60"/>
      <c r="J774" s="65"/>
    </row>
    <row r="775">
      <c r="H775" s="65"/>
      <c r="I775" s="60"/>
      <c r="J775" s="65"/>
    </row>
    <row r="776">
      <c r="H776" s="65"/>
      <c r="I776" s="60"/>
      <c r="J776" s="65"/>
    </row>
    <row r="777">
      <c r="H777" s="65"/>
      <c r="I777" s="60"/>
      <c r="J777" s="65"/>
    </row>
    <row r="778">
      <c r="H778" s="65"/>
      <c r="I778" s="60"/>
      <c r="J778" s="65"/>
    </row>
    <row r="779">
      <c r="H779" s="65"/>
      <c r="I779" s="60"/>
      <c r="J779" s="65"/>
    </row>
    <row r="780">
      <c r="H780" s="65"/>
      <c r="I780" s="60"/>
      <c r="J780" s="65"/>
    </row>
    <row r="781">
      <c r="H781" s="65"/>
      <c r="I781" s="60"/>
      <c r="J781" s="65"/>
    </row>
    <row r="782">
      <c r="H782" s="65"/>
      <c r="I782" s="60"/>
      <c r="J782" s="65"/>
    </row>
    <row r="783">
      <c r="H783" s="65"/>
      <c r="I783" s="60"/>
      <c r="J783" s="65"/>
    </row>
    <row r="784">
      <c r="H784" s="65"/>
      <c r="I784" s="60"/>
      <c r="J784" s="65"/>
    </row>
    <row r="785">
      <c r="H785" s="65"/>
      <c r="I785" s="60"/>
      <c r="J785" s="65"/>
    </row>
    <row r="786">
      <c r="H786" s="65"/>
      <c r="I786" s="60"/>
      <c r="J786" s="65"/>
    </row>
    <row r="787">
      <c r="H787" s="65"/>
      <c r="I787" s="60"/>
      <c r="J787" s="65"/>
    </row>
    <row r="788">
      <c r="H788" s="65"/>
      <c r="I788" s="60"/>
      <c r="J788" s="65"/>
    </row>
    <row r="789">
      <c r="H789" s="65"/>
      <c r="I789" s="60"/>
      <c r="J789" s="65"/>
    </row>
    <row r="790">
      <c r="H790" s="65"/>
      <c r="I790" s="60"/>
      <c r="J790" s="65"/>
    </row>
    <row r="791">
      <c r="H791" s="65"/>
      <c r="I791" s="60"/>
      <c r="J791" s="65"/>
    </row>
    <row r="792">
      <c r="H792" s="65"/>
      <c r="I792" s="60"/>
      <c r="J792" s="65"/>
    </row>
    <row r="793">
      <c r="H793" s="65"/>
      <c r="I793" s="60"/>
      <c r="J793" s="65"/>
    </row>
    <row r="794">
      <c r="H794" s="65"/>
      <c r="I794" s="60"/>
      <c r="J794" s="65"/>
    </row>
    <row r="795">
      <c r="H795" s="65"/>
      <c r="I795" s="60"/>
      <c r="J795" s="65"/>
    </row>
    <row r="796">
      <c r="H796" s="65"/>
      <c r="I796" s="60"/>
      <c r="J796" s="65"/>
    </row>
    <row r="797">
      <c r="H797" s="65"/>
      <c r="I797" s="60"/>
      <c r="J797" s="65"/>
    </row>
    <row r="798">
      <c r="H798" s="65"/>
      <c r="I798" s="60"/>
      <c r="J798" s="65"/>
    </row>
    <row r="799">
      <c r="H799" s="65"/>
      <c r="I799" s="60"/>
      <c r="J799" s="65"/>
    </row>
    <row r="800">
      <c r="H800" s="65"/>
      <c r="I800" s="60"/>
      <c r="J800" s="65"/>
    </row>
    <row r="801">
      <c r="H801" s="65"/>
      <c r="I801" s="60"/>
      <c r="J801" s="65"/>
    </row>
    <row r="802">
      <c r="H802" s="65"/>
      <c r="I802" s="60"/>
      <c r="J802" s="65"/>
    </row>
    <row r="803">
      <c r="H803" s="65"/>
      <c r="I803" s="60"/>
      <c r="J803" s="65"/>
    </row>
    <row r="804">
      <c r="H804" s="65"/>
      <c r="I804" s="60"/>
      <c r="J804" s="65"/>
    </row>
    <row r="805">
      <c r="H805" s="65"/>
      <c r="I805" s="60"/>
      <c r="J805" s="65"/>
    </row>
    <row r="806">
      <c r="H806" s="65"/>
      <c r="I806" s="60"/>
      <c r="J806" s="65"/>
    </row>
    <row r="807">
      <c r="H807" s="65"/>
      <c r="I807" s="60"/>
      <c r="J807" s="65"/>
    </row>
    <row r="808">
      <c r="H808" s="65"/>
      <c r="I808" s="60"/>
      <c r="J808" s="65"/>
    </row>
    <row r="809">
      <c r="H809" s="65"/>
      <c r="I809" s="60"/>
      <c r="J809" s="65"/>
    </row>
    <row r="810">
      <c r="H810" s="65"/>
      <c r="I810" s="60"/>
      <c r="J810" s="65"/>
    </row>
    <row r="811">
      <c r="H811" s="65"/>
      <c r="I811" s="60"/>
      <c r="J811" s="65"/>
    </row>
    <row r="812">
      <c r="H812" s="65"/>
      <c r="I812" s="60"/>
      <c r="J812" s="65"/>
    </row>
    <row r="813">
      <c r="H813" s="65"/>
      <c r="I813" s="60"/>
      <c r="J813" s="65"/>
    </row>
    <row r="814">
      <c r="H814" s="65"/>
      <c r="I814" s="60"/>
      <c r="J814" s="65"/>
    </row>
    <row r="815">
      <c r="H815" s="65"/>
      <c r="I815" s="60"/>
      <c r="J815" s="65"/>
    </row>
    <row r="816">
      <c r="H816" s="65"/>
      <c r="I816" s="60"/>
      <c r="J816" s="65"/>
    </row>
    <row r="817">
      <c r="H817" s="65"/>
      <c r="I817" s="60"/>
      <c r="J817" s="65"/>
    </row>
    <row r="818">
      <c r="H818" s="65"/>
      <c r="I818" s="60"/>
      <c r="J818" s="65"/>
    </row>
    <row r="819">
      <c r="H819" s="65"/>
      <c r="I819" s="60"/>
      <c r="J819" s="65"/>
    </row>
    <row r="820">
      <c r="H820" s="65"/>
      <c r="I820" s="60"/>
      <c r="J820" s="65"/>
    </row>
    <row r="821">
      <c r="H821" s="65"/>
      <c r="I821" s="60"/>
      <c r="J821" s="65"/>
    </row>
    <row r="822">
      <c r="H822" s="65"/>
      <c r="I822" s="60"/>
      <c r="J822" s="65"/>
    </row>
    <row r="823">
      <c r="H823" s="65"/>
      <c r="I823" s="60"/>
      <c r="J823" s="65"/>
    </row>
    <row r="824">
      <c r="H824" s="65"/>
      <c r="I824" s="60"/>
      <c r="J824" s="65"/>
    </row>
    <row r="825">
      <c r="H825" s="65"/>
      <c r="I825" s="60"/>
      <c r="J825" s="65"/>
    </row>
    <row r="826">
      <c r="H826" s="65"/>
      <c r="I826" s="60"/>
      <c r="J826" s="65"/>
    </row>
    <row r="827">
      <c r="H827" s="65"/>
      <c r="I827" s="60"/>
      <c r="J827" s="65"/>
    </row>
    <row r="828">
      <c r="H828" s="65"/>
      <c r="I828" s="60"/>
      <c r="J828" s="65"/>
    </row>
    <row r="829">
      <c r="H829" s="65"/>
      <c r="I829" s="60"/>
      <c r="J829" s="65"/>
    </row>
    <row r="830">
      <c r="H830" s="65"/>
      <c r="I830" s="60"/>
      <c r="J830" s="65"/>
    </row>
    <row r="831">
      <c r="H831" s="65"/>
      <c r="I831" s="60"/>
      <c r="J831" s="65"/>
    </row>
    <row r="832">
      <c r="H832" s="65"/>
      <c r="I832" s="60"/>
      <c r="J832" s="65"/>
    </row>
    <row r="833">
      <c r="H833" s="65"/>
      <c r="I833" s="60"/>
      <c r="J833" s="65"/>
    </row>
    <row r="834">
      <c r="H834" s="65"/>
      <c r="I834" s="60"/>
      <c r="J834" s="65"/>
    </row>
    <row r="835">
      <c r="H835" s="65"/>
      <c r="I835" s="60"/>
      <c r="J835" s="65"/>
    </row>
    <row r="836">
      <c r="H836" s="65"/>
      <c r="I836" s="60"/>
      <c r="J836" s="65"/>
    </row>
    <row r="837">
      <c r="H837" s="65"/>
      <c r="I837" s="60"/>
      <c r="J837" s="65"/>
    </row>
    <row r="838">
      <c r="H838" s="65"/>
      <c r="I838" s="60"/>
      <c r="J838" s="65"/>
    </row>
    <row r="839">
      <c r="H839" s="65"/>
      <c r="I839" s="60"/>
      <c r="J839" s="65"/>
    </row>
    <row r="840">
      <c r="H840" s="65"/>
      <c r="I840" s="60"/>
      <c r="J840" s="65"/>
    </row>
    <row r="841">
      <c r="H841" s="65"/>
      <c r="I841" s="60"/>
      <c r="J841" s="65"/>
    </row>
    <row r="842">
      <c r="H842" s="65"/>
      <c r="I842" s="60"/>
      <c r="J842" s="65"/>
    </row>
    <row r="843">
      <c r="H843" s="65"/>
      <c r="I843" s="60"/>
      <c r="J843" s="65"/>
    </row>
    <row r="844">
      <c r="H844" s="65"/>
      <c r="I844" s="60"/>
      <c r="J844" s="65"/>
    </row>
    <row r="845">
      <c r="H845" s="65"/>
      <c r="I845" s="60"/>
      <c r="J845" s="65"/>
    </row>
    <row r="846">
      <c r="H846" s="65"/>
      <c r="I846" s="60"/>
      <c r="J846" s="65"/>
    </row>
    <row r="847">
      <c r="H847" s="65"/>
      <c r="I847" s="60"/>
      <c r="J847" s="65"/>
    </row>
    <row r="848">
      <c r="H848" s="65"/>
      <c r="I848" s="60"/>
      <c r="J848" s="65"/>
    </row>
    <row r="849">
      <c r="H849" s="65"/>
      <c r="I849" s="60"/>
      <c r="J849" s="65"/>
    </row>
    <row r="850">
      <c r="H850" s="65"/>
      <c r="I850" s="60"/>
      <c r="J850" s="65"/>
    </row>
    <row r="851">
      <c r="H851" s="65"/>
      <c r="I851" s="60"/>
      <c r="J851" s="65"/>
    </row>
    <row r="852">
      <c r="H852" s="65"/>
      <c r="I852" s="60"/>
      <c r="J852" s="65"/>
    </row>
    <row r="853">
      <c r="H853" s="65"/>
      <c r="I853" s="60"/>
      <c r="J853" s="65"/>
    </row>
    <row r="854">
      <c r="H854" s="65"/>
      <c r="I854" s="60"/>
      <c r="J854" s="65"/>
    </row>
    <row r="855">
      <c r="H855" s="65"/>
      <c r="I855" s="60"/>
      <c r="J855" s="65"/>
    </row>
    <row r="856">
      <c r="H856" s="65"/>
      <c r="I856" s="60"/>
      <c r="J856" s="65"/>
    </row>
    <row r="857">
      <c r="H857" s="65"/>
      <c r="I857" s="60"/>
      <c r="J857" s="65"/>
    </row>
    <row r="858">
      <c r="H858" s="65"/>
      <c r="I858" s="60"/>
      <c r="J858" s="65"/>
    </row>
    <row r="859">
      <c r="H859" s="65"/>
      <c r="I859" s="60"/>
      <c r="J859" s="65"/>
    </row>
    <row r="860">
      <c r="H860" s="65"/>
      <c r="I860" s="60"/>
      <c r="J860" s="65"/>
    </row>
    <row r="861">
      <c r="H861" s="65"/>
      <c r="I861" s="60"/>
      <c r="J861" s="65"/>
    </row>
    <row r="862">
      <c r="H862" s="65"/>
      <c r="I862" s="60"/>
      <c r="J862" s="65"/>
    </row>
    <row r="863">
      <c r="H863" s="65"/>
      <c r="I863" s="60"/>
      <c r="J863" s="65"/>
    </row>
    <row r="864">
      <c r="H864" s="65"/>
      <c r="I864" s="60"/>
      <c r="J864" s="65"/>
    </row>
    <row r="865">
      <c r="H865" s="65"/>
      <c r="I865" s="60"/>
      <c r="J865" s="65"/>
    </row>
    <row r="866">
      <c r="H866" s="65"/>
      <c r="I866" s="60"/>
      <c r="J866" s="65"/>
    </row>
    <row r="867">
      <c r="H867" s="65"/>
      <c r="I867" s="60"/>
      <c r="J867" s="65"/>
    </row>
    <row r="868">
      <c r="H868" s="65"/>
      <c r="I868" s="60"/>
      <c r="J868" s="65"/>
    </row>
    <row r="869">
      <c r="H869" s="65"/>
      <c r="I869" s="60"/>
      <c r="J869" s="65"/>
    </row>
    <row r="870">
      <c r="H870" s="65"/>
      <c r="I870" s="60"/>
      <c r="J870" s="65"/>
    </row>
    <row r="871">
      <c r="H871" s="65"/>
      <c r="I871" s="60"/>
      <c r="J871" s="65"/>
    </row>
    <row r="872">
      <c r="H872" s="65"/>
      <c r="I872" s="60"/>
      <c r="J872" s="65"/>
    </row>
    <row r="873">
      <c r="H873" s="65"/>
      <c r="I873" s="60"/>
      <c r="J873" s="65"/>
    </row>
    <row r="874">
      <c r="H874" s="65"/>
      <c r="I874" s="60"/>
      <c r="J874" s="65"/>
    </row>
    <row r="875">
      <c r="H875" s="65"/>
      <c r="I875" s="60"/>
      <c r="J875" s="65"/>
    </row>
    <row r="876">
      <c r="H876" s="65"/>
      <c r="I876" s="60"/>
      <c r="J876" s="65"/>
    </row>
    <row r="877">
      <c r="H877" s="65"/>
      <c r="I877" s="60"/>
      <c r="J877" s="65"/>
    </row>
    <row r="878">
      <c r="H878" s="65"/>
      <c r="I878" s="60"/>
      <c r="J878" s="65"/>
    </row>
    <row r="879">
      <c r="H879" s="65"/>
      <c r="I879" s="60"/>
      <c r="J879" s="65"/>
    </row>
    <row r="880">
      <c r="H880" s="65"/>
      <c r="I880" s="60"/>
      <c r="J880" s="65"/>
    </row>
    <row r="881">
      <c r="H881" s="65"/>
      <c r="I881" s="60"/>
      <c r="J881" s="65"/>
    </row>
    <row r="882">
      <c r="H882" s="65"/>
      <c r="I882" s="60"/>
      <c r="J882" s="65"/>
    </row>
    <row r="883">
      <c r="H883" s="65"/>
      <c r="I883" s="60"/>
      <c r="J883" s="65"/>
    </row>
    <row r="884">
      <c r="H884" s="65"/>
      <c r="I884" s="60"/>
      <c r="J884" s="65"/>
    </row>
    <row r="885">
      <c r="H885" s="65"/>
      <c r="I885" s="60"/>
      <c r="J885" s="65"/>
    </row>
    <row r="886">
      <c r="H886" s="65"/>
      <c r="I886" s="60"/>
      <c r="J886" s="65"/>
    </row>
    <row r="887">
      <c r="H887" s="65"/>
      <c r="I887" s="60"/>
      <c r="J887" s="65"/>
    </row>
    <row r="888">
      <c r="H888" s="65"/>
      <c r="I888" s="60"/>
      <c r="J888" s="65"/>
    </row>
    <row r="889">
      <c r="H889" s="65"/>
      <c r="I889" s="60"/>
      <c r="J889" s="65"/>
    </row>
    <row r="890">
      <c r="H890" s="65"/>
      <c r="I890" s="60"/>
      <c r="J890" s="65"/>
    </row>
    <row r="891">
      <c r="H891" s="65"/>
      <c r="I891" s="60"/>
      <c r="J891" s="65"/>
    </row>
    <row r="892">
      <c r="H892" s="65"/>
      <c r="I892" s="60"/>
      <c r="J892" s="65"/>
    </row>
    <row r="893">
      <c r="H893" s="65"/>
      <c r="I893" s="60"/>
      <c r="J893" s="65"/>
    </row>
    <row r="894">
      <c r="H894" s="65"/>
      <c r="I894" s="60"/>
      <c r="J894" s="65"/>
    </row>
    <row r="895">
      <c r="H895" s="65"/>
      <c r="I895" s="60"/>
      <c r="J895" s="65"/>
    </row>
    <row r="896">
      <c r="H896" s="65"/>
      <c r="I896" s="60"/>
      <c r="J896" s="65"/>
    </row>
    <row r="897">
      <c r="H897" s="65"/>
      <c r="I897" s="60"/>
      <c r="J897" s="65"/>
    </row>
    <row r="898">
      <c r="H898" s="65"/>
      <c r="I898" s="60"/>
      <c r="J898" s="65"/>
    </row>
    <row r="899">
      <c r="H899" s="65"/>
      <c r="I899" s="60"/>
      <c r="J899" s="65"/>
    </row>
    <row r="900">
      <c r="H900" s="65"/>
      <c r="I900" s="60"/>
      <c r="J900" s="65"/>
    </row>
    <row r="901">
      <c r="H901" s="65"/>
      <c r="I901" s="60"/>
      <c r="J901" s="65"/>
    </row>
    <row r="902">
      <c r="H902" s="65"/>
      <c r="I902" s="60"/>
      <c r="J902" s="65"/>
    </row>
    <row r="903">
      <c r="H903" s="65"/>
      <c r="I903" s="60"/>
      <c r="J903" s="65"/>
    </row>
    <row r="904">
      <c r="H904" s="65"/>
      <c r="I904" s="60"/>
      <c r="J904" s="65"/>
    </row>
    <row r="905">
      <c r="H905" s="65"/>
      <c r="I905" s="60"/>
      <c r="J905" s="65"/>
    </row>
    <row r="906">
      <c r="H906" s="65"/>
      <c r="I906" s="60"/>
      <c r="J906" s="65"/>
    </row>
    <row r="907">
      <c r="H907" s="65"/>
      <c r="I907" s="60"/>
      <c r="J907" s="65"/>
    </row>
    <row r="908">
      <c r="H908" s="65"/>
      <c r="I908" s="60"/>
      <c r="J908" s="65"/>
    </row>
    <row r="909">
      <c r="H909" s="65"/>
      <c r="I909" s="60"/>
      <c r="J909" s="65"/>
    </row>
    <row r="910">
      <c r="H910" s="65"/>
      <c r="I910" s="60"/>
      <c r="J910" s="65"/>
    </row>
    <row r="911">
      <c r="H911" s="65"/>
      <c r="I911" s="60"/>
      <c r="J911" s="65"/>
    </row>
    <row r="912">
      <c r="H912" s="65"/>
      <c r="I912" s="60"/>
      <c r="J912" s="65"/>
    </row>
    <row r="913">
      <c r="H913" s="65"/>
      <c r="I913" s="60"/>
      <c r="J913" s="65"/>
    </row>
    <row r="914">
      <c r="H914" s="65"/>
      <c r="I914" s="60"/>
      <c r="J914" s="65"/>
    </row>
    <row r="915">
      <c r="H915" s="65"/>
      <c r="I915" s="60"/>
      <c r="J915" s="65"/>
    </row>
    <row r="916">
      <c r="H916" s="65"/>
      <c r="I916" s="60"/>
      <c r="J916" s="65"/>
    </row>
    <row r="917">
      <c r="H917" s="65"/>
      <c r="I917" s="60"/>
      <c r="J917" s="65"/>
    </row>
    <row r="918">
      <c r="H918" s="65"/>
      <c r="I918" s="60"/>
      <c r="J918" s="65"/>
    </row>
    <row r="919">
      <c r="H919" s="65"/>
      <c r="I919" s="60"/>
      <c r="J919" s="65"/>
    </row>
    <row r="920">
      <c r="H920" s="65"/>
      <c r="I920" s="60"/>
      <c r="J920" s="65"/>
    </row>
    <row r="921">
      <c r="H921" s="65"/>
      <c r="I921" s="60"/>
      <c r="J921" s="65"/>
    </row>
    <row r="922">
      <c r="H922" s="65"/>
      <c r="I922" s="60"/>
      <c r="J922" s="65"/>
    </row>
    <row r="923">
      <c r="H923" s="65"/>
      <c r="I923" s="60"/>
      <c r="J923" s="65"/>
    </row>
    <row r="924">
      <c r="H924" s="65"/>
      <c r="I924" s="60"/>
      <c r="J924" s="65"/>
    </row>
    <row r="925">
      <c r="H925" s="65"/>
      <c r="I925" s="60"/>
      <c r="J925" s="65"/>
    </row>
    <row r="926">
      <c r="H926" s="65"/>
      <c r="I926" s="60"/>
      <c r="J926" s="65"/>
    </row>
    <row r="927">
      <c r="H927" s="65"/>
      <c r="I927" s="60"/>
      <c r="J927" s="65"/>
    </row>
    <row r="928">
      <c r="H928" s="65"/>
      <c r="I928" s="60"/>
      <c r="J928" s="65"/>
    </row>
    <row r="929">
      <c r="H929" s="65"/>
      <c r="I929" s="60"/>
      <c r="J929" s="65"/>
    </row>
    <row r="930">
      <c r="H930" s="65"/>
      <c r="I930" s="60"/>
      <c r="J930" s="65"/>
    </row>
    <row r="931">
      <c r="H931" s="65"/>
      <c r="I931" s="60"/>
      <c r="J931" s="65"/>
    </row>
    <row r="932">
      <c r="H932" s="65"/>
      <c r="I932" s="60"/>
      <c r="J932" s="65"/>
    </row>
    <row r="933">
      <c r="H933" s="65"/>
      <c r="I933" s="60"/>
      <c r="J933" s="65"/>
    </row>
    <row r="934">
      <c r="H934" s="65"/>
      <c r="I934" s="60"/>
      <c r="J934" s="65"/>
    </row>
    <row r="935">
      <c r="H935" s="65"/>
      <c r="I935" s="60"/>
      <c r="J935" s="65"/>
    </row>
    <row r="936">
      <c r="H936" s="65"/>
      <c r="I936" s="60"/>
      <c r="J936" s="65"/>
    </row>
    <row r="937">
      <c r="H937" s="65"/>
      <c r="I937" s="60"/>
      <c r="J937" s="65"/>
    </row>
    <row r="938">
      <c r="H938" s="65"/>
      <c r="I938" s="60"/>
      <c r="J938" s="65"/>
    </row>
    <row r="939">
      <c r="H939" s="65"/>
      <c r="I939" s="60"/>
      <c r="J939" s="65"/>
    </row>
    <row r="940">
      <c r="H940" s="65"/>
      <c r="I940" s="60"/>
      <c r="J940" s="65"/>
    </row>
    <row r="941">
      <c r="H941" s="65"/>
      <c r="I941" s="60"/>
      <c r="J941" s="65"/>
    </row>
    <row r="942">
      <c r="H942" s="65"/>
      <c r="I942" s="60"/>
      <c r="J942" s="65"/>
    </row>
    <row r="943">
      <c r="H943" s="65"/>
      <c r="I943" s="60"/>
      <c r="J943" s="65"/>
    </row>
    <row r="944">
      <c r="H944" s="65"/>
      <c r="I944" s="60"/>
      <c r="J944" s="65"/>
    </row>
    <row r="945">
      <c r="H945" s="65"/>
      <c r="I945" s="60"/>
      <c r="J945" s="65"/>
    </row>
    <row r="946">
      <c r="H946" s="65"/>
      <c r="I946" s="60"/>
      <c r="J946" s="65"/>
    </row>
    <row r="947">
      <c r="H947" s="65"/>
      <c r="I947" s="60"/>
      <c r="J947" s="65"/>
    </row>
    <row r="948">
      <c r="H948" s="65"/>
      <c r="I948" s="60"/>
      <c r="J948" s="65"/>
    </row>
    <row r="949">
      <c r="H949" s="65"/>
      <c r="I949" s="60"/>
      <c r="J949" s="65"/>
    </row>
    <row r="950">
      <c r="H950" s="65"/>
      <c r="I950" s="60"/>
      <c r="J950" s="65"/>
    </row>
    <row r="951">
      <c r="H951" s="65"/>
      <c r="I951" s="60"/>
      <c r="J951" s="65"/>
    </row>
    <row r="952">
      <c r="H952" s="65"/>
      <c r="I952" s="60"/>
      <c r="J952" s="65"/>
    </row>
    <row r="953">
      <c r="H953" s="65"/>
      <c r="I953" s="60"/>
      <c r="J953" s="65"/>
    </row>
    <row r="954">
      <c r="H954" s="65"/>
      <c r="I954" s="60"/>
      <c r="J954" s="65"/>
    </row>
    <row r="955">
      <c r="H955" s="65"/>
      <c r="I955" s="60"/>
      <c r="J955" s="65"/>
    </row>
    <row r="956">
      <c r="H956" s="65"/>
      <c r="I956" s="60"/>
      <c r="J956" s="65"/>
    </row>
    <row r="957">
      <c r="H957" s="65"/>
      <c r="I957" s="60"/>
      <c r="J957" s="65"/>
    </row>
    <row r="958">
      <c r="H958" s="65"/>
      <c r="I958" s="60"/>
      <c r="J958" s="65"/>
    </row>
    <row r="959">
      <c r="H959" s="65"/>
      <c r="I959" s="60"/>
      <c r="J959" s="65"/>
    </row>
    <row r="960">
      <c r="H960" s="65"/>
      <c r="I960" s="60"/>
      <c r="J960" s="65"/>
    </row>
    <row r="961">
      <c r="H961" s="65"/>
      <c r="I961" s="60"/>
      <c r="J961" s="65"/>
    </row>
    <row r="962">
      <c r="H962" s="65"/>
      <c r="I962" s="60"/>
      <c r="J962" s="65"/>
    </row>
    <row r="963">
      <c r="H963" s="65"/>
      <c r="I963" s="60"/>
      <c r="J963" s="65"/>
    </row>
    <row r="964">
      <c r="H964" s="65"/>
      <c r="I964" s="60"/>
      <c r="J964" s="65"/>
    </row>
  </sheetData>
  <mergeCells count="81">
    <mergeCell ref="A114:A115"/>
    <mergeCell ref="B114:C114"/>
    <mergeCell ref="D114:E114"/>
    <mergeCell ref="F114:G114"/>
    <mergeCell ref="B133:D133"/>
    <mergeCell ref="F133:G133"/>
    <mergeCell ref="F134:G134"/>
    <mergeCell ref="B134:D134"/>
    <mergeCell ref="A135:G135"/>
    <mergeCell ref="A136:A137"/>
    <mergeCell ref="B136:C136"/>
    <mergeCell ref="D136:E136"/>
    <mergeCell ref="F136:G136"/>
    <mergeCell ref="F155:G155"/>
    <mergeCell ref="B155:D155"/>
    <mergeCell ref="B156:D156"/>
    <mergeCell ref="F156:G156"/>
    <mergeCell ref="A157:G157"/>
    <mergeCell ref="A158:A159"/>
    <mergeCell ref="D158:E158"/>
    <mergeCell ref="F158:G158"/>
    <mergeCell ref="B181:C181"/>
    <mergeCell ref="D181:E181"/>
    <mergeCell ref="B158:C158"/>
    <mergeCell ref="B178:D178"/>
    <mergeCell ref="F178:G178"/>
    <mergeCell ref="B179:D179"/>
    <mergeCell ref="F179:G179"/>
    <mergeCell ref="A180:G180"/>
    <mergeCell ref="A181:A182"/>
    <mergeCell ref="F181:G181"/>
    <mergeCell ref="B1:D1"/>
    <mergeCell ref="F1:G1"/>
    <mergeCell ref="B2:D2"/>
    <mergeCell ref="F2:G2"/>
    <mergeCell ref="A3:G3"/>
    <mergeCell ref="A4:A5"/>
    <mergeCell ref="B4:C4"/>
    <mergeCell ref="D4:E4"/>
    <mergeCell ref="F4:G4"/>
    <mergeCell ref="B23:D23"/>
    <mergeCell ref="F23:G23"/>
    <mergeCell ref="B24:D24"/>
    <mergeCell ref="F24:G24"/>
    <mergeCell ref="A25:G25"/>
    <mergeCell ref="A26:A27"/>
    <mergeCell ref="B26:C26"/>
    <mergeCell ref="D26:E26"/>
    <mergeCell ref="F26:G26"/>
    <mergeCell ref="B45:D45"/>
    <mergeCell ref="F45:G45"/>
    <mergeCell ref="F46:G46"/>
    <mergeCell ref="B46:D46"/>
    <mergeCell ref="A47:G47"/>
    <mergeCell ref="A48:A49"/>
    <mergeCell ref="B48:C48"/>
    <mergeCell ref="D48:E48"/>
    <mergeCell ref="F48:G48"/>
    <mergeCell ref="F67:G67"/>
    <mergeCell ref="B67:D67"/>
    <mergeCell ref="B68:D68"/>
    <mergeCell ref="F68:G68"/>
    <mergeCell ref="A69:G69"/>
    <mergeCell ref="A70:A71"/>
    <mergeCell ref="D70:E70"/>
    <mergeCell ref="F70:G70"/>
    <mergeCell ref="B70:C70"/>
    <mergeCell ref="B89:D89"/>
    <mergeCell ref="F89:G89"/>
    <mergeCell ref="B90:D90"/>
    <mergeCell ref="F90:G90"/>
    <mergeCell ref="A91:G91"/>
    <mergeCell ref="A92:A93"/>
    <mergeCell ref="F92:G92"/>
    <mergeCell ref="B92:C92"/>
    <mergeCell ref="D92:E92"/>
    <mergeCell ref="B111:D111"/>
    <mergeCell ref="F111:G111"/>
    <mergeCell ref="B112:D112"/>
    <mergeCell ref="F112:G112"/>
    <mergeCell ref="A113:G11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5.5"/>
    <col customWidth="1" min="3" max="3" width="4.13"/>
    <col customWidth="1" min="4" max="4" width="4.25"/>
    <col customWidth="1" min="5" max="5" width="4.13"/>
    <col customWidth="1" min="6" max="6" width="3.25"/>
    <col customWidth="1" min="7" max="7" width="4.0"/>
    <col customWidth="1" min="8" max="8" width="3.0"/>
    <col customWidth="1" min="9" max="9" width="8.63"/>
    <col customWidth="1" min="10" max="10" width="0.38"/>
    <col customWidth="1" min="11" max="11" width="5.25"/>
    <col customWidth="1" min="12" max="12" width="2.5"/>
    <col customWidth="1" min="13" max="13" width="8.5"/>
    <col customWidth="1" min="14" max="14" width="0.38"/>
    <col customWidth="1" min="15" max="15" width="8.75"/>
    <col customWidth="1" min="16" max="16" width="10.25"/>
    <col customWidth="1" min="17" max="17" width="9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1" t="s">
        <v>2</v>
      </c>
      <c r="J1" s="10" t="s">
        <v>3</v>
      </c>
      <c r="K1" s="3"/>
      <c r="L1" s="3"/>
      <c r="M1" s="3"/>
      <c r="N1" s="4"/>
      <c r="O1" s="65"/>
      <c r="P1" s="57"/>
      <c r="Q1" s="65"/>
    </row>
    <row r="2">
      <c r="A2" s="1" t="s">
        <v>4</v>
      </c>
      <c r="B2" s="9" t="s">
        <v>213</v>
      </c>
      <c r="C2" s="3"/>
      <c r="D2" s="3"/>
      <c r="E2" s="3"/>
      <c r="F2" s="3"/>
      <c r="G2" s="3"/>
      <c r="H2" s="4"/>
      <c r="I2" s="1" t="s">
        <v>6</v>
      </c>
      <c r="J2" s="10">
        <v>2.0</v>
      </c>
      <c r="K2" s="3"/>
      <c r="L2" s="3"/>
      <c r="M2" s="3"/>
      <c r="N2" s="4"/>
      <c r="O2" s="65"/>
      <c r="P2" s="57"/>
      <c r="Q2" s="65"/>
    </row>
    <row r="3">
      <c r="A3" s="11" t="s">
        <v>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65"/>
      <c r="P3" s="57"/>
      <c r="Q3" s="65"/>
    </row>
    <row r="4">
      <c r="A4" s="15" t="s">
        <v>11</v>
      </c>
      <c r="B4" s="2" t="s">
        <v>12</v>
      </c>
      <c r="C4" s="3"/>
      <c r="D4" s="3"/>
      <c r="E4" s="3"/>
      <c r="F4" s="4"/>
      <c r="G4" s="2" t="s">
        <v>13</v>
      </c>
      <c r="H4" s="3"/>
      <c r="I4" s="3"/>
      <c r="J4" s="3"/>
      <c r="K4" s="10" t="s">
        <v>14</v>
      </c>
      <c r="L4" s="3"/>
      <c r="M4" s="3"/>
      <c r="N4" s="4"/>
      <c r="O4" s="65"/>
      <c r="P4" s="57"/>
      <c r="Q4" s="65"/>
    </row>
    <row r="5">
      <c r="A5" s="16"/>
      <c r="B5" s="17" t="s">
        <v>15</v>
      </c>
      <c r="C5" s="4"/>
      <c r="D5" s="17" t="s">
        <v>16</v>
      </c>
      <c r="E5" s="3"/>
      <c r="F5" s="4"/>
      <c r="G5" s="17" t="s">
        <v>15</v>
      </c>
      <c r="H5" s="4"/>
      <c r="I5" s="17" t="s">
        <v>16</v>
      </c>
      <c r="J5" s="4"/>
      <c r="K5" s="17" t="s">
        <v>15</v>
      </c>
      <c r="L5" s="4"/>
      <c r="M5" s="17" t="s">
        <v>16</v>
      </c>
      <c r="N5" s="4"/>
      <c r="O5" s="12" t="s">
        <v>8</v>
      </c>
      <c r="P5" s="13" t="s">
        <v>9</v>
      </c>
      <c r="Q5" s="14" t="s">
        <v>10</v>
      </c>
    </row>
    <row r="6">
      <c r="A6" s="18" t="s">
        <v>32</v>
      </c>
      <c r="B6" s="20">
        <v>0.3159722222222222</v>
      </c>
      <c r="C6" s="4"/>
      <c r="D6" s="54"/>
      <c r="E6" s="54"/>
      <c r="F6" s="54"/>
      <c r="G6" s="77"/>
      <c r="H6" s="77"/>
      <c r="I6" s="77"/>
      <c r="J6" s="77"/>
      <c r="K6" s="54">
        <v>0.7708333333333334</v>
      </c>
      <c r="L6" s="54"/>
      <c r="M6" s="77"/>
      <c r="N6" s="77"/>
      <c r="O6" s="65">
        <f>K6-B6</f>
        <v>0.4548611111</v>
      </c>
      <c r="P6" s="58">
        <v>0.375</v>
      </c>
      <c r="Q6" s="65">
        <f>P6-O6</f>
        <v>-0.07986111111</v>
      </c>
    </row>
    <row r="7">
      <c r="A7" s="18" t="s">
        <v>214</v>
      </c>
      <c r="B7" s="19"/>
      <c r="C7" s="4"/>
      <c r="D7" s="20">
        <v>0.47847222222222224</v>
      </c>
      <c r="E7" s="3"/>
      <c r="F7" s="4"/>
      <c r="G7" s="19"/>
      <c r="H7" s="4"/>
      <c r="I7" s="19"/>
      <c r="J7" s="4"/>
      <c r="K7" s="20">
        <v>0.7840277777777778</v>
      </c>
      <c r="L7" s="4"/>
      <c r="M7" s="19"/>
      <c r="N7" s="4"/>
      <c r="O7" s="65">
        <f>K7-D7</f>
        <v>0.3055555556</v>
      </c>
      <c r="P7" s="58">
        <v>0.375</v>
      </c>
      <c r="Q7" s="65"/>
    </row>
    <row r="8">
      <c r="A8" s="22" t="s">
        <v>215</v>
      </c>
      <c r="B8" s="20">
        <v>0.44375</v>
      </c>
      <c r="C8" s="4"/>
      <c r="D8" s="20">
        <v>0.8458333333333333</v>
      </c>
      <c r="E8" s="3"/>
      <c r="F8" s="4"/>
      <c r="G8" s="19"/>
      <c r="H8" s="4"/>
      <c r="I8" s="19"/>
      <c r="J8" s="4"/>
      <c r="K8" s="19"/>
      <c r="L8" s="4"/>
      <c r="M8" s="19"/>
      <c r="N8" s="4"/>
      <c r="O8" s="65">
        <f>D8-B8</f>
        <v>0.4020833333</v>
      </c>
      <c r="P8" s="58">
        <v>0.375</v>
      </c>
      <c r="Q8" s="65">
        <f>P8-O8</f>
        <v>-0.02708333333</v>
      </c>
    </row>
    <row r="9">
      <c r="A9" s="22" t="s">
        <v>216</v>
      </c>
      <c r="B9" s="19"/>
      <c r="C9" s="4"/>
      <c r="D9" s="19"/>
      <c r="E9" s="3"/>
      <c r="F9" s="4"/>
      <c r="G9" s="19"/>
      <c r="H9" s="4"/>
      <c r="I9" s="19"/>
      <c r="J9" s="4"/>
      <c r="K9" s="19"/>
      <c r="L9" s="4"/>
      <c r="M9" s="19"/>
      <c r="N9" s="4"/>
      <c r="O9" s="65"/>
      <c r="P9" s="57"/>
      <c r="Q9" s="65"/>
    </row>
    <row r="10">
      <c r="A10" s="18" t="s">
        <v>217</v>
      </c>
      <c r="B10" s="20">
        <v>0.3638888888888889</v>
      </c>
      <c r="C10" s="4"/>
      <c r="D10" s="19"/>
      <c r="E10" s="3"/>
      <c r="F10" s="4"/>
      <c r="G10" s="19"/>
      <c r="H10" s="4"/>
      <c r="I10" s="19"/>
      <c r="J10" s="4"/>
      <c r="K10" s="20">
        <v>0.7756944444444445</v>
      </c>
      <c r="L10" s="4"/>
      <c r="M10" s="19"/>
      <c r="N10" s="4"/>
      <c r="O10" s="65">
        <f>K10-B10</f>
        <v>0.4118055556</v>
      </c>
      <c r="P10" s="62">
        <v>0.0</v>
      </c>
      <c r="Q10" s="65">
        <f t="shared" ref="Q10:Q15" si="1">P10-O10</f>
        <v>-0.4118055556</v>
      </c>
    </row>
    <row r="11">
      <c r="A11" s="18" t="s">
        <v>218</v>
      </c>
      <c r="B11" s="20">
        <v>0.3076388888888889</v>
      </c>
      <c r="C11" s="4"/>
      <c r="D11" s="19"/>
      <c r="E11" s="3"/>
      <c r="F11" s="4"/>
      <c r="G11" s="19"/>
      <c r="H11" s="4"/>
      <c r="I11" s="20">
        <v>0.6666666666666666</v>
      </c>
      <c r="J11" s="4"/>
      <c r="K11" s="19"/>
      <c r="L11" s="4"/>
      <c r="M11" s="19"/>
      <c r="N11" s="4"/>
      <c r="O11" s="65">
        <f>I11-B11</f>
        <v>0.3590277778</v>
      </c>
      <c r="P11" s="58">
        <v>0.375</v>
      </c>
      <c r="Q11" s="65">
        <f t="shared" si="1"/>
        <v>0.01597222222</v>
      </c>
    </row>
    <row r="12">
      <c r="A12" s="18" t="s">
        <v>219</v>
      </c>
      <c r="B12" s="19"/>
      <c r="C12" s="4"/>
      <c r="D12" s="20">
        <v>0.42569444444444443</v>
      </c>
      <c r="E12" s="3"/>
      <c r="F12" s="4"/>
      <c r="G12" s="19"/>
      <c r="H12" s="4"/>
      <c r="I12" s="19"/>
      <c r="J12" s="4"/>
      <c r="K12" s="19"/>
      <c r="L12" s="4"/>
      <c r="M12" s="20">
        <v>0.8861111111111111</v>
      </c>
      <c r="N12" s="4"/>
      <c r="O12" s="65">
        <f>M12-D12</f>
        <v>0.4604166667</v>
      </c>
      <c r="P12" s="58">
        <v>0.375</v>
      </c>
      <c r="Q12" s="65">
        <f t="shared" si="1"/>
        <v>-0.08541666667</v>
      </c>
    </row>
    <row r="13">
      <c r="A13" s="18" t="s">
        <v>220</v>
      </c>
      <c r="B13" s="33">
        <v>0.3333333333333333</v>
      </c>
      <c r="C13" s="4"/>
      <c r="D13" s="24"/>
      <c r="E13" s="3"/>
      <c r="F13" s="3"/>
      <c r="G13" s="25"/>
      <c r="H13" s="3"/>
      <c r="I13" s="104">
        <v>0.7083333333333334</v>
      </c>
      <c r="J13" s="3"/>
      <c r="K13" s="24"/>
      <c r="L13" s="3"/>
      <c r="M13" s="24"/>
      <c r="N13" s="4"/>
      <c r="O13" s="65">
        <f>I13-B13</f>
        <v>0.375</v>
      </c>
      <c r="P13" s="105">
        <v>0.375</v>
      </c>
      <c r="Q13" s="65">
        <f t="shared" si="1"/>
        <v>0</v>
      </c>
    </row>
    <row r="14">
      <c r="A14" s="18" t="s">
        <v>221</v>
      </c>
      <c r="B14" s="19"/>
      <c r="C14" s="4"/>
      <c r="D14" s="20">
        <v>0.5027777777777778</v>
      </c>
      <c r="E14" s="3"/>
      <c r="F14" s="4"/>
      <c r="G14" s="19"/>
      <c r="H14" s="4"/>
      <c r="I14" s="19"/>
      <c r="J14" s="4"/>
      <c r="K14" s="19"/>
      <c r="L14" s="4"/>
      <c r="M14" s="20">
        <v>0.8715277777777778</v>
      </c>
      <c r="N14" s="4"/>
      <c r="O14" s="65">
        <f>M14-D14</f>
        <v>0.36875</v>
      </c>
      <c r="P14" s="58">
        <v>0.375</v>
      </c>
      <c r="Q14" s="65">
        <f t="shared" si="1"/>
        <v>0.00625</v>
      </c>
    </row>
    <row r="15">
      <c r="A15" s="22" t="s">
        <v>222</v>
      </c>
      <c r="B15" s="20">
        <v>0.4777777777777778</v>
      </c>
      <c r="C15" s="4"/>
      <c r="D15" s="20">
        <v>0.7777777777777778</v>
      </c>
      <c r="E15" s="3"/>
      <c r="F15" s="4"/>
      <c r="G15" s="19"/>
      <c r="H15" s="4"/>
      <c r="I15" s="19"/>
      <c r="J15" s="4"/>
      <c r="K15" s="19"/>
      <c r="L15" s="4"/>
      <c r="M15" s="19"/>
      <c r="N15" s="4"/>
      <c r="O15" s="65">
        <f>D15-B15</f>
        <v>0.3</v>
      </c>
      <c r="P15" s="58">
        <v>0.375</v>
      </c>
      <c r="Q15" s="65">
        <f t="shared" si="1"/>
        <v>0.075</v>
      </c>
    </row>
    <row r="16">
      <c r="A16" s="22" t="s">
        <v>223</v>
      </c>
      <c r="B16" s="19"/>
      <c r="C16" s="4"/>
      <c r="D16" s="19"/>
      <c r="E16" s="3"/>
      <c r="F16" s="4"/>
      <c r="G16" s="19"/>
      <c r="H16" s="4"/>
      <c r="I16" s="19"/>
      <c r="J16" s="4"/>
      <c r="K16" s="19"/>
      <c r="L16" s="4"/>
      <c r="M16" s="19"/>
      <c r="N16" s="4"/>
      <c r="O16" s="65"/>
      <c r="P16" s="57"/>
      <c r="Q16" s="65"/>
    </row>
    <row r="17">
      <c r="A17" s="18" t="s">
        <v>224</v>
      </c>
      <c r="B17" s="23"/>
      <c r="C17" s="4"/>
      <c r="D17" s="24"/>
      <c r="E17" s="3"/>
      <c r="F17" s="3"/>
      <c r="G17" s="25"/>
      <c r="H17" s="3"/>
      <c r="I17" s="26"/>
      <c r="J17" s="3"/>
      <c r="K17" s="24"/>
      <c r="L17" s="3"/>
      <c r="M17" s="24"/>
      <c r="N17" s="4"/>
      <c r="O17" s="65"/>
      <c r="P17" s="58"/>
      <c r="Q17" s="65"/>
    </row>
    <row r="18">
      <c r="A18" s="18" t="s">
        <v>225</v>
      </c>
      <c r="B18" s="20">
        <v>0.34444444444444444</v>
      </c>
      <c r="C18" s="4"/>
      <c r="D18" s="19"/>
      <c r="E18" s="3"/>
      <c r="F18" s="4"/>
      <c r="G18" s="19"/>
      <c r="H18" s="4"/>
      <c r="I18" s="19"/>
      <c r="J18" s="4"/>
      <c r="K18" s="20">
        <v>0.8020833333333334</v>
      </c>
      <c r="L18" s="4"/>
      <c r="M18" s="19"/>
      <c r="N18" s="4"/>
      <c r="O18" s="65">
        <f>K18-B18</f>
        <v>0.4576388889</v>
      </c>
      <c r="P18" s="58">
        <v>0.375</v>
      </c>
      <c r="Q18" s="65">
        <f t="shared" ref="Q18:Q20" si="2">P18-O18</f>
        <v>-0.08263888889</v>
      </c>
    </row>
    <row r="19">
      <c r="A19" s="18" t="s">
        <v>226</v>
      </c>
      <c r="B19" s="19"/>
      <c r="C19" s="4"/>
      <c r="D19" s="20">
        <v>0.5020833333333333</v>
      </c>
      <c r="E19" s="3"/>
      <c r="F19" s="4"/>
      <c r="G19" s="19"/>
      <c r="H19" s="4"/>
      <c r="I19" s="19"/>
      <c r="J19" s="4"/>
      <c r="K19" s="19"/>
      <c r="L19" s="4"/>
      <c r="M19" s="20">
        <v>0.8479166666666667</v>
      </c>
      <c r="N19" s="4"/>
      <c r="O19" s="65">
        <f>M19-D19</f>
        <v>0.3458333333</v>
      </c>
      <c r="P19" s="58">
        <v>0.375</v>
      </c>
      <c r="Q19" s="65">
        <f t="shared" si="2"/>
        <v>0.02916666667</v>
      </c>
    </row>
    <row r="20">
      <c r="A20" s="18" t="s">
        <v>227</v>
      </c>
      <c r="B20" s="20">
        <v>0.33402777777777776</v>
      </c>
      <c r="C20" s="4"/>
      <c r="D20" s="19"/>
      <c r="E20" s="3"/>
      <c r="F20" s="4"/>
      <c r="G20" s="19"/>
      <c r="H20" s="4"/>
      <c r="I20" s="19"/>
      <c r="J20" s="4"/>
      <c r="K20" s="20">
        <v>0.8333333333333334</v>
      </c>
      <c r="L20" s="4"/>
      <c r="M20" s="19"/>
      <c r="N20" s="4"/>
      <c r="O20" s="65">
        <f>K20-B20</f>
        <v>0.4993055556</v>
      </c>
      <c r="P20" s="58">
        <v>0.375</v>
      </c>
      <c r="Q20" s="65">
        <f t="shared" si="2"/>
        <v>-0.1243055556</v>
      </c>
    </row>
    <row r="21">
      <c r="O21" s="65"/>
      <c r="P21" s="57"/>
      <c r="Q21" s="66">
        <f>Q6+Q10+Q12+Q15+Q18+Q20</f>
        <v>-0.7090277778</v>
      </c>
    </row>
    <row r="22">
      <c r="O22" s="65"/>
      <c r="P22" s="57"/>
      <c r="Q22" s="65"/>
    </row>
    <row r="23">
      <c r="A23" s="1" t="s">
        <v>0</v>
      </c>
      <c r="B23" s="2" t="s">
        <v>1</v>
      </c>
      <c r="C23" s="3"/>
      <c r="D23" s="3"/>
      <c r="E23" s="3"/>
      <c r="F23" s="3"/>
      <c r="G23" s="3"/>
      <c r="H23" s="4"/>
      <c r="I23" s="1" t="s">
        <v>2</v>
      </c>
      <c r="J23" s="10" t="s">
        <v>33</v>
      </c>
      <c r="K23" s="3"/>
      <c r="L23" s="3"/>
      <c r="M23" s="3"/>
      <c r="N23" s="4"/>
      <c r="O23" s="65"/>
      <c r="P23" s="57"/>
      <c r="Q23" s="65"/>
    </row>
    <row r="24">
      <c r="A24" s="1" t="s">
        <v>4</v>
      </c>
      <c r="B24" s="9" t="s">
        <v>213</v>
      </c>
      <c r="C24" s="3"/>
      <c r="D24" s="3"/>
      <c r="E24" s="3"/>
      <c r="F24" s="3"/>
      <c r="G24" s="3"/>
      <c r="H24" s="4"/>
      <c r="I24" s="1" t="s">
        <v>6</v>
      </c>
      <c r="J24" s="10">
        <v>6.0</v>
      </c>
      <c r="K24" s="3"/>
      <c r="L24" s="3"/>
      <c r="M24" s="3"/>
      <c r="N24" s="4"/>
      <c r="O24" s="65"/>
      <c r="P24" s="57"/>
      <c r="Q24" s="65"/>
    </row>
    <row r="25">
      <c r="A25" s="11" t="s">
        <v>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>
      <c r="A26" s="15" t="s">
        <v>11</v>
      </c>
      <c r="B26" s="2" t="s">
        <v>12</v>
      </c>
      <c r="C26" s="3"/>
      <c r="D26" s="3"/>
      <c r="E26" s="3"/>
      <c r="F26" s="4"/>
      <c r="G26" s="2" t="s">
        <v>13</v>
      </c>
      <c r="H26" s="3"/>
      <c r="I26" s="3"/>
      <c r="J26" s="3"/>
      <c r="K26" s="10" t="s">
        <v>14</v>
      </c>
      <c r="L26" s="3"/>
      <c r="M26" s="3"/>
      <c r="N26" s="4"/>
      <c r="O26" s="65"/>
      <c r="P26" s="57"/>
      <c r="Q26" s="65"/>
    </row>
    <row r="27">
      <c r="A27" s="16"/>
      <c r="B27" s="17" t="s">
        <v>15</v>
      </c>
      <c r="C27" s="4"/>
      <c r="D27" s="17" t="s">
        <v>16</v>
      </c>
      <c r="E27" s="3"/>
      <c r="F27" s="4"/>
      <c r="G27" s="17" t="s">
        <v>15</v>
      </c>
      <c r="H27" s="4"/>
      <c r="I27" s="17" t="s">
        <v>16</v>
      </c>
      <c r="J27" s="4"/>
      <c r="K27" s="17" t="s">
        <v>15</v>
      </c>
      <c r="L27" s="4"/>
      <c r="M27" s="17" t="s">
        <v>16</v>
      </c>
      <c r="N27" s="4"/>
      <c r="O27" s="12" t="s">
        <v>8</v>
      </c>
      <c r="P27" s="13" t="s">
        <v>9</v>
      </c>
      <c r="Q27" s="14" t="s">
        <v>10</v>
      </c>
    </row>
    <row r="28">
      <c r="A28" s="18" t="s">
        <v>32</v>
      </c>
      <c r="B28" s="54">
        <v>0.20833333333333334</v>
      </c>
      <c r="C28" s="54"/>
      <c r="D28" s="77"/>
      <c r="E28" s="77"/>
      <c r="F28" s="77"/>
      <c r="G28" s="77"/>
      <c r="H28" s="77"/>
      <c r="I28" s="54">
        <v>0.7083333333333334</v>
      </c>
      <c r="J28" s="77"/>
      <c r="K28" s="77"/>
      <c r="L28" s="77"/>
      <c r="M28" s="54"/>
      <c r="N28" s="54"/>
      <c r="O28" s="65">
        <f>I28-B28</f>
        <v>0.5</v>
      </c>
      <c r="P28" s="58">
        <v>0.3541666666666667</v>
      </c>
      <c r="Q28" s="65">
        <f t="shared" ref="Q28:Q30" si="3">P28-O28</f>
        <v>-0.1458333333</v>
      </c>
    </row>
    <row r="29">
      <c r="A29" s="18" t="s">
        <v>214</v>
      </c>
      <c r="B29" s="20">
        <v>0.21666666666666667</v>
      </c>
      <c r="C29" s="4"/>
      <c r="D29" s="19"/>
      <c r="E29" s="3"/>
      <c r="F29" s="4"/>
      <c r="G29" s="19"/>
      <c r="H29" s="4"/>
      <c r="I29" s="19"/>
      <c r="J29" s="4"/>
      <c r="K29" s="19"/>
      <c r="L29" s="4"/>
      <c r="M29" s="20">
        <v>0.8652777777777778</v>
      </c>
      <c r="N29" s="4"/>
      <c r="O29" s="65">
        <f>M29-B29</f>
        <v>0.6486111111</v>
      </c>
      <c r="P29" s="58">
        <v>0.3541666666666667</v>
      </c>
      <c r="Q29" s="65">
        <f t="shared" si="3"/>
        <v>-0.2944444444</v>
      </c>
    </row>
    <row r="30">
      <c r="A30" s="22" t="s">
        <v>215</v>
      </c>
      <c r="B30" s="20">
        <v>0.21944444444444444</v>
      </c>
      <c r="C30" s="4"/>
      <c r="D30" s="20">
        <v>0.8472222222222222</v>
      </c>
      <c r="E30" s="3"/>
      <c r="F30" s="4"/>
      <c r="G30" s="19"/>
      <c r="H30" s="4"/>
      <c r="I30" s="19"/>
      <c r="J30" s="4"/>
      <c r="K30" s="19"/>
      <c r="L30" s="4"/>
      <c r="M30" s="19"/>
      <c r="N30" s="4"/>
      <c r="O30" s="65">
        <f>D30-B30</f>
        <v>0.6277777778</v>
      </c>
      <c r="P30" s="58">
        <v>0.3541666666666667</v>
      </c>
      <c r="Q30" s="65">
        <f t="shared" si="3"/>
        <v>-0.2736111111</v>
      </c>
      <c r="R30" s="48" t="s">
        <v>228</v>
      </c>
    </row>
    <row r="31">
      <c r="A31" s="22" t="s">
        <v>216</v>
      </c>
      <c r="B31" s="19"/>
      <c r="C31" s="4"/>
      <c r="D31" s="19"/>
      <c r="E31" s="3"/>
      <c r="F31" s="4"/>
      <c r="G31" s="19"/>
      <c r="H31" s="4"/>
      <c r="I31" s="19"/>
      <c r="J31" s="4"/>
      <c r="K31" s="19"/>
      <c r="L31" s="4"/>
      <c r="M31" s="19"/>
      <c r="N31" s="4"/>
      <c r="O31" s="65"/>
      <c r="P31" s="57"/>
      <c r="Q31" s="65"/>
    </row>
    <row r="32">
      <c r="A32" s="18" t="s">
        <v>217</v>
      </c>
      <c r="B32" s="20">
        <v>0.19583333333333333</v>
      </c>
      <c r="C32" s="4"/>
      <c r="D32" s="19"/>
      <c r="E32" s="3"/>
      <c r="F32" s="4"/>
      <c r="G32" s="19"/>
      <c r="H32" s="4"/>
      <c r="I32" s="19"/>
      <c r="J32" s="4"/>
      <c r="K32" s="19"/>
      <c r="L32" s="4"/>
      <c r="M32" s="20">
        <v>0.875</v>
      </c>
      <c r="N32" s="4"/>
      <c r="O32" s="65">
        <f>M32-B32</f>
        <v>0.6791666667</v>
      </c>
      <c r="P32" s="58">
        <v>0.3541666666666667</v>
      </c>
      <c r="Q32" s="65">
        <f t="shared" ref="Q32:Q35" si="4">P32-O32</f>
        <v>-0.325</v>
      </c>
    </row>
    <row r="33">
      <c r="A33" s="18" t="s">
        <v>218</v>
      </c>
      <c r="B33" s="20">
        <v>0.20972222222222223</v>
      </c>
      <c r="C33" s="4"/>
      <c r="D33" s="19"/>
      <c r="E33" s="3"/>
      <c r="F33" s="4"/>
      <c r="G33" s="19"/>
      <c r="H33" s="4"/>
      <c r="I33" s="20">
        <v>0.7409722222222223</v>
      </c>
      <c r="J33" s="4"/>
      <c r="K33" s="19"/>
      <c r="L33" s="4"/>
      <c r="M33" s="19"/>
      <c r="N33" s="4"/>
      <c r="O33" s="65">
        <f>I33-B33</f>
        <v>0.53125</v>
      </c>
      <c r="P33" s="58">
        <v>0.3541666666666667</v>
      </c>
      <c r="Q33" s="65">
        <f t="shared" si="4"/>
        <v>-0.1770833333</v>
      </c>
    </row>
    <row r="34">
      <c r="A34" s="18" t="s">
        <v>219</v>
      </c>
      <c r="B34" s="20">
        <v>0.21388888888888888</v>
      </c>
      <c r="C34" s="4"/>
      <c r="D34" s="19"/>
      <c r="E34" s="3"/>
      <c r="F34" s="4"/>
      <c r="G34" s="19"/>
      <c r="H34" s="4"/>
      <c r="I34" s="19"/>
      <c r="J34" s="4"/>
      <c r="K34" s="19"/>
      <c r="L34" s="4"/>
      <c r="M34" s="20">
        <v>0.8631944444444445</v>
      </c>
      <c r="N34" s="4"/>
      <c r="O34" s="65">
        <f>M34-B34</f>
        <v>0.6493055556</v>
      </c>
      <c r="P34" s="58">
        <v>0.3541666666666667</v>
      </c>
      <c r="Q34" s="65">
        <f t="shared" si="4"/>
        <v>-0.2951388889</v>
      </c>
    </row>
    <row r="35">
      <c r="A35" s="18" t="s">
        <v>220</v>
      </c>
      <c r="B35" s="20">
        <v>0.21805555555555556</v>
      </c>
      <c r="C35" s="4"/>
      <c r="D35" s="19"/>
      <c r="E35" s="3"/>
      <c r="F35" s="4"/>
      <c r="G35" s="19"/>
      <c r="H35" s="4"/>
      <c r="I35" s="20">
        <v>0.68125</v>
      </c>
      <c r="J35" s="4"/>
      <c r="K35" s="19"/>
      <c r="L35" s="4"/>
      <c r="M35" s="19"/>
      <c r="N35" s="4"/>
      <c r="O35" s="65">
        <f>I35-B35</f>
        <v>0.4631944444</v>
      </c>
      <c r="P35" s="58">
        <v>0.3541666666666667</v>
      </c>
      <c r="Q35" s="65">
        <f t="shared" si="4"/>
        <v>-0.1090277778</v>
      </c>
    </row>
    <row r="36">
      <c r="A36" s="18" t="s">
        <v>221</v>
      </c>
      <c r="B36" s="19"/>
      <c r="C36" s="4"/>
      <c r="D36" s="19"/>
      <c r="E36" s="3"/>
      <c r="F36" s="4"/>
      <c r="G36" s="20">
        <v>0.5486111111111112</v>
      </c>
      <c r="H36" s="4"/>
      <c r="I36" s="19"/>
      <c r="J36" s="4"/>
      <c r="K36" s="19"/>
      <c r="L36" s="4"/>
      <c r="M36" s="19"/>
      <c r="N36" s="4"/>
      <c r="O36" s="65"/>
      <c r="P36" s="58">
        <v>0.3541666666666667</v>
      </c>
      <c r="Q36" s="65"/>
    </row>
    <row r="37">
      <c r="A37" s="22" t="s">
        <v>222</v>
      </c>
      <c r="B37" s="20">
        <v>0.21666666666666667</v>
      </c>
      <c r="C37" s="4"/>
      <c r="D37" s="20">
        <v>0.8291666666666667</v>
      </c>
      <c r="E37" s="3"/>
      <c r="F37" s="4"/>
      <c r="G37" s="19"/>
      <c r="H37" s="4"/>
      <c r="I37" s="19"/>
      <c r="J37" s="4"/>
      <c r="K37" s="19"/>
      <c r="L37" s="4"/>
      <c r="M37" s="19"/>
      <c r="N37" s="4"/>
      <c r="O37" s="65">
        <f>D37-B37</f>
        <v>0.6125</v>
      </c>
      <c r="P37" s="58">
        <v>0.3541666666666667</v>
      </c>
      <c r="Q37" s="65">
        <f>P37-O37</f>
        <v>-0.2583333333</v>
      </c>
      <c r="R37" s="48" t="s">
        <v>228</v>
      </c>
    </row>
    <row r="38">
      <c r="A38" s="22" t="s">
        <v>223</v>
      </c>
      <c r="B38" s="19"/>
      <c r="C38" s="4"/>
      <c r="D38" s="19"/>
      <c r="E38" s="3"/>
      <c r="F38" s="4"/>
      <c r="G38" s="19"/>
      <c r="H38" s="4"/>
      <c r="I38" s="19"/>
      <c r="J38" s="4"/>
      <c r="K38" s="19"/>
      <c r="L38" s="4"/>
      <c r="M38" s="19"/>
      <c r="N38" s="4"/>
      <c r="O38" s="65"/>
      <c r="P38" s="57"/>
      <c r="Q38" s="65"/>
    </row>
    <row r="39">
      <c r="A39" s="18" t="s">
        <v>224</v>
      </c>
      <c r="B39" s="20">
        <v>0.19791666666666666</v>
      </c>
      <c r="C39" s="4"/>
      <c r="D39" s="19"/>
      <c r="E39" s="3"/>
      <c r="F39" s="4"/>
      <c r="G39" s="19"/>
      <c r="H39" s="4"/>
      <c r="I39" s="19"/>
      <c r="J39" s="4"/>
      <c r="K39" s="19"/>
      <c r="L39" s="4"/>
      <c r="M39" s="20">
        <v>0.84375</v>
      </c>
      <c r="N39" s="4"/>
      <c r="O39" s="65">
        <f>M39-B39</f>
        <v>0.6458333333</v>
      </c>
      <c r="P39" s="58">
        <v>0.3541666666666667</v>
      </c>
      <c r="Q39" s="65">
        <f t="shared" ref="Q39:Q42" si="5">P39-O39</f>
        <v>-0.2916666667</v>
      </c>
    </row>
    <row r="40">
      <c r="A40" s="18" t="s">
        <v>225</v>
      </c>
      <c r="B40" s="20">
        <v>0.22083333333333333</v>
      </c>
      <c r="C40" s="4"/>
      <c r="D40" s="19"/>
      <c r="E40" s="3"/>
      <c r="F40" s="4"/>
      <c r="G40" s="19"/>
      <c r="H40" s="4"/>
      <c r="I40" s="20">
        <v>0.75</v>
      </c>
      <c r="J40" s="4"/>
      <c r="K40" s="19"/>
      <c r="L40" s="4"/>
      <c r="M40" s="19"/>
      <c r="N40" s="4"/>
      <c r="O40" s="65">
        <f>I40-B40</f>
        <v>0.5291666667</v>
      </c>
      <c r="P40" s="58">
        <v>0.3541666666666667</v>
      </c>
      <c r="Q40" s="65">
        <f t="shared" si="5"/>
        <v>-0.175</v>
      </c>
    </row>
    <row r="41">
      <c r="A41" s="18" t="s">
        <v>226</v>
      </c>
      <c r="B41" s="20">
        <v>0.21666666666666667</v>
      </c>
      <c r="C41" s="4"/>
      <c r="D41" s="19"/>
      <c r="E41" s="3"/>
      <c r="F41" s="4"/>
      <c r="G41" s="19"/>
      <c r="H41" s="4"/>
      <c r="I41" s="19"/>
      <c r="J41" s="4"/>
      <c r="K41" s="19"/>
      <c r="L41" s="4"/>
      <c r="M41" s="20">
        <v>0.9222222222222223</v>
      </c>
      <c r="N41" s="4"/>
      <c r="O41" s="65">
        <f>M41-B41</f>
        <v>0.7055555556</v>
      </c>
      <c r="P41" s="58">
        <v>0.3541666666666667</v>
      </c>
      <c r="Q41" s="65">
        <f t="shared" si="5"/>
        <v>-0.3513888889</v>
      </c>
    </row>
    <row r="42">
      <c r="A42" s="18" t="s">
        <v>227</v>
      </c>
      <c r="B42" s="20">
        <v>0.22013888888888888</v>
      </c>
      <c r="C42" s="4"/>
      <c r="D42" s="19"/>
      <c r="E42" s="3"/>
      <c r="F42" s="4"/>
      <c r="G42" s="19"/>
      <c r="H42" s="4"/>
      <c r="I42" s="20">
        <v>0.7916666666666666</v>
      </c>
      <c r="J42" s="4"/>
      <c r="K42" s="19"/>
      <c r="L42" s="4"/>
      <c r="M42" s="19"/>
      <c r="N42" s="4"/>
      <c r="O42" s="65">
        <f>I42-B42</f>
        <v>0.5715277778</v>
      </c>
      <c r="P42" s="58">
        <v>0.3541666666666667</v>
      </c>
      <c r="Q42" s="65">
        <f t="shared" si="5"/>
        <v>-0.2173611111</v>
      </c>
    </row>
    <row r="43">
      <c r="M43" s="48" t="s">
        <v>229</v>
      </c>
      <c r="O43" s="65"/>
      <c r="P43" s="57"/>
      <c r="Q43" s="65">
        <f>Q28+Q29+Q32+Q33+Q34+Q35+Q39+Q40+Q41+Q42</f>
        <v>-2.381944444</v>
      </c>
      <c r="R43" s="51">
        <f>57.1*132.18</f>
        <v>7547.478</v>
      </c>
    </row>
    <row r="44">
      <c r="M44" s="48" t="s">
        <v>228</v>
      </c>
      <c r="O44" s="65"/>
      <c r="P44" s="57"/>
      <c r="Q44" s="65">
        <f>Q30+Q37</f>
        <v>-0.5319444444</v>
      </c>
      <c r="R44" s="51">
        <f>12.46*130</f>
        <v>1619.8</v>
      </c>
    </row>
    <row r="45">
      <c r="M45" s="106" t="s">
        <v>204</v>
      </c>
      <c r="O45" s="65"/>
      <c r="P45" s="57"/>
      <c r="Q45" s="65">
        <f t="shared" ref="Q45:R45" si="6">Q43+Q44</f>
        <v>-2.913888889</v>
      </c>
      <c r="R45" s="107">
        <f t="shared" si="6"/>
        <v>9167.278</v>
      </c>
    </row>
    <row r="46">
      <c r="O46" s="65"/>
      <c r="P46" s="57"/>
      <c r="Q46" s="65"/>
    </row>
    <row r="47">
      <c r="A47" s="1" t="s">
        <v>0</v>
      </c>
      <c r="B47" s="2" t="s">
        <v>1</v>
      </c>
      <c r="C47" s="3"/>
      <c r="D47" s="3"/>
      <c r="E47" s="3"/>
      <c r="F47" s="3"/>
      <c r="G47" s="3"/>
      <c r="H47" s="4"/>
      <c r="I47" s="1" t="s">
        <v>2</v>
      </c>
      <c r="J47" s="10" t="s">
        <v>34</v>
      </c>
      <c r="K47" s="3"/>
      <c r="L47" s="3"/>
      <c r="M47" s="3"/>
      <c r="N47" s="4"/>
      <c r="O47" s="65"/>
      <c r="P47" s="57"/>
      <c r="Q47" s="65"/>
    </row>
    <row r="48">
      <c r="A48" s="1" t="s">
        <v>4</v>
      </c>
      <c r="B48" s="9" t="s">
        <v>213</v>
      </c>
      <c r="C48" s="3"/>
      <c r="D48" s="3"/>
      <c r="E48" s="3"/>
      <c r="F48" s="3"/>
      <c r="G48" s="3"/>
      <c r="H48" s="4"/>
      <c r="I48" s="1" t="s">
        <v>6</v>
      </c>
      <c r="J48" s="10">
        <v>7.0</v>
      </c>
      <c r="K48" s="3"/>
      <c r="L48" s="3"/>
      <c r="M48" s="3"/>
      <c r="N48" s="4"/>
      <c r="O48" s="65"/>
      <c r="P48" s="57"/>
      <c r="Q48" s="65"/>
    </row>
    <row r="49">
      <c r="A49" s="11" t="s">
        <v>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4"/>
      <c r="O49" s="65"/>
      <c r="P49" s="57"/>
      <c r="Q49" s="65"/>
    </row>
    <row r="50">
      <c r="A50" s="15" t="s">
        <v>11</v>
      </c>
      <c r="B50" s="2" t="s">
        <v>12</v>
      </c>
      <c r="C50" s="3"/>
      <c r="D50" s="3"/>
      <c r="E50" s="3"/>
      <c r="F50" s="4"/>
      <c r="G50" s="2" t="s">
        <v>13</v>
      </c>
      <c r="H50" s="3"/>
      <c r="I50" s="3"/>
      <c r="J50" s="3"/>
      <c r="K50" s="10" t="s">
        <v>14</v>
      </c>
      <c r="L50" s="3"/>
      <c r="M50" s="3"/>
      <c r="N50" s="4"/>
      <c r="O50" s="12" t="s">
        <v>8</v>
      </c>
      <c r="P50" s="13" t="s">
        <v>9</v>
      </c>
      <c r="Q50" s="14" t="s">
        <v>10</v>
      </c>
    </row>
    <row r="51">
      <c r="A51" s="16"/>
      <c r="B51" s="17" t="s">
        <v>15</v>
      </c>
      <c r="C51" s="4"/>
      <c r="D51" s="17" t="s">
        <v>16</v>
      </c>
      <c r="E51" s="3"/>
      <c r="F51" s="4"/>
      <c r="G51" s="17" t="s">
        <v>15</v>
      </c>
      <c r="H51" s="4"/>
      <c r="I51" s="17" t="s">
        <v>16</v>
      </c>
      <c r="J51" s="4"/>
      <c r="K51" s="17" t="s">
        <v>15</v>
      </c>
      <c r="L51" s="4"/>
      <c r="M51" s="17" t="s">
        <v>16</v>
      </c>
      <c r="N51" s="4"/>
      <c r="O51" s="65"/>
      <c r="Q51" s="65"/>
    </row>
    <row r="52">
      <c r="A52" s="18" t="s">
        <v>214</v>
      </c>
      <c r="B52" s="20">
        <v>0.35833333333333334</v>
      </c>
      <c r="C52" s="4"/>
      <c r="D52" s="19"/>
      <c r="E52" s="3"/>
      <c r="F52" s="4"/>
      <c r="G52" s="19"/>
      <c r="H52" s="4"/>
      <c r="I52" s="20">
        <v>0.7326388888888888</v>
      </c>
      <c r="J52" s="4"/>
      <c r="K52" s="19"/>
      <c r="L52" s="4"/>
      <c r="M52" s="19"/>
      <c r="N52" s="4"/>
      <c r="O52" s="65">
        <f>I52-B52</f>
        <v>0.3743055556</v>
      </c>
      <c r="P52" s="58">
        <v>0.3541666666666667</v>
      </c>
      <c r="Q52" s="65">
        <f>P52-O52</f>
        <v>-0.02013888889</v>
      </c>
    </row>
    <row r="53">
      <c r="A53" s="22" t="s">
        <v>215</v>
      </c>
      <c r="B53" s="19"/>
      <c r="C53" s="4"/>
      <c r="D53" s="19"/>
      <c r="E53" s="3"/>
      <c r="F53" s="4"/>
      <c r="G53" s="19"/>
      <c r="H53" s="4"/>
      <c r="I53" s="19"/>
      <c r="J53" s="4"/>
      <c r="K53" s="19"/>
      <c r="L53" s="4"/>
      <c r="M53" s="19"/>
      <c r="N53" s="4"/>
      <c r="O53" s="65"/>
      <c r="P53" s="57"/>
      <c r="Q53" s="65"/>
    </row>
    <row r="54">
      <c r="A54" s="22" t="s">
        <v>216</v>
      </c>
      <c r="B54" s="19"/>
      <c r="C54" s="4"/>
      <c r="D54" s="19"/>
      <c r="E54" s="3"/>
      <c r="F54" s="4"/>
      <c r="G54" s="19"/>
      <c r="H54" s="4"/>
      <c r="I54" s="19"/>
      <c r="J54" s="4"/>
      <c r="K54" s="19"/>
      <c r="L54" s="4"/>
      <c r="M54" s="19"/>
      <c r="N54" s="4"/>
      <c r="O54" s="65"/>
      <c r="P54" s="57"/>
      <c r="Q54" s="65"/>
    </row>
    <row r="55">
      <c r="A55" s="18" t="s">
        <v>217</v>
      </c>
      <c r="B55" s="20">
        <v>0.3277777777777778</v>
      </c>
      <c r="C55" s="4"/>
      <c r="D55" s="19"/>
      <c r="E55" s="3"/>
      <c r="F55" s="4"/>
      <c r="G55" s="19"/>
      <c r="H55" s="4"/>
      <c r="I55" s="19"/>
      <c r="J55" s="4"/>
      <c r="K55" s="20">
        <v>0.8</v>
      </c>
      <c r="L55" s="4"/>
      <c r="M55" s="19"/>
      <c r="N55" s="4"/>
      <c r="O55" s="65">
        <f>K55-B55</f>
        <v>0.4722222222</v>
      </c>
      <c r="P55" s="58">
        <v>0.3541666666666667</v>
      </c>
      <c r="Q55" s="65">
        <f>P55-O55</f>
        <v>-0.1180555556</v>
      </c>
    </row>
    <row r="56">
      <c r="A56" s="18" t="s">
        <v>218</v>
      </c>
      <c r="B56" s="23"/>
      <c r="C56" s="4"/>
      <c r="D56" s="24"/>
      <c r="E56" s="3"/>
      <c r="F56" s="3"/>
      <c r="G56" s="25"/>
      <c r="H56" s="3"/>
      <c r="I56" s="26"/>
      <c r="J56" s="3"/>
      <c r="K56" s="24"/>
      <c r="L56" s="3"/>
      <c r="M56" s="24"/>
      <c r="N56" s="4"/>
      <c r="O56" s="65"/>
      <c r="P56" s="57"/>
      <c r="Q56" s="65"/>
    </row>
    <row r="57">
      <c r="A57" s="18" t="s">
        <v>219</v>
      </c>
      <c r="B57" s="20">
        <v>0.3541666666666667</v>
      </c>
      <c r="C57" s="4"/>
      <c r="D57" s="19"/>
      <c r="E57" s="3"/>
      <c r="F57" s="4"/>
      <c r="G57" s="19"/>
      <c r="H57" s="4"/>
      <c r="I57" s="20">
        <v>0.7277777777777777</v>
      </c>
      <c r="J57" s="4"/>
      <c r="K57" s="19"/>
      <c r="L57" s="4"/>
      <c r="M57" s="19"/>
      <c r="N57" s="4"/>
      <c r="O57" s="65">
        <f t="shared" ref="O57:O58" si="7">I57-B57</f>
        <v>0.3736111111</v>
      </c>
      <c r="P57" s="58">
        <v>0.3541666666666667</v>
      </c>
      <c r="Q57" s="65">
        <f t="shared" ref="Q57:Q60" si="8">P57-O57</f>
        <v>-0.01944444444</v>
      </c>
    </row>
    <row r="58">
      <c r="A58" s="18" t="s">
        <v>220</v>
      </c>
      <c r="B58" s="20">
        <v>0.36875</v>
      </c>
      <c r="C58" s="4"/>
      <c r="D58" s="19"/>
      <c r="E58" s="3"/>
      <c r="F58" s="4"/>
      <c r="G58" s="19"/>
      <c r="H58" s="4"/>
      <c r="I58" s="20">
        <v>0.6923611111111111</v>
      </c>
      <c r="J58" s="4"/>
      <c r="K58" s="19"/>
      <c r="L58" s="4"/>
      <c r="M58" s="19"/>
      <c r="N58" s="4"/>
      <c r="O58" s="65">
        <f t="shared" si="7"/>
        <v>0.3236111111</v>
      </c>
      <c r="P58" s="58">
        <v>0.3541666666666667</v>
      </c>
      <c r="Q58" s="65">
        <f t="shared" si="8"/>
        <v>0.03055555556</v>
      </c>
    </row>
    <row r="59">
      <c r="A59" s="18" t="s">
        <v>221</v>
      </c>
      <c r="B59" s="19"/>
      <c r="C59" s="4"/>
      <c r="D59" s="20">
        <v>0.5402777777777777</v>
      </c>
      <c r="E59" s="3"/>
      <c r="F59" s="4"/>
      <c r="G59" s="19"/>
      <c r="H59" s="4"/>
      <c r="I59" s="20">
        <v>0.7555555555555555</v>
      </c>
      <c r="J59" s="4"/>
      <c r="K59" s="19"/>
      <c r="L59" s="4"/>
      <c r="M59" s="19"/>
      <c r="N59" s="4"/>
      <c r="O59" s="65">
        <f>I59-D59</f>
        <v>0.2152777778</v>
      </c>
      <c r="P59" s="58">
        <v>0.3541666666666667</v>
      </c>
      <c r="Q59" s="65">
        <f t="shared" si="8"/>
        <v>0.1388888889</v>
      </c>
    </row>
    <row r="60">
      <c r="A60" s="22" t="s">
        <v>222</v>
      </c>
      <c r="B60" s="20">
        <v>0.3527777777777778</v>
      </c>
      <c r="C60" s="4"/>
      <c r="D60" s="20">
        <v>0.7569444444444444</v>
      </c>
      <c r="E60" s="3"/>
      <c r="F60" s="4"/>
      <c r="G60" s="19"/>
      <c r="H60" s="4"/>
      <c r="I60" s="19"/>
      <c r="J60" s="4"/>
      <c r="K60" s="19"/>
      <c r="L60" s="4"/>
      <c r="M60" s="19"/>
      <c r="N60" s="4"/>
      <c r="O60" s="65">
        <f>D60-B60</f>
        <v>0.4041666667</v>
      </c>
      <c r="P60" s="58">
        <v>0.3541666666666667</v>
      </c>
      <c r="Q60" s="65">
        <f t="shared" si="8"/>
        <v>-0.05</v>
      </c>
    </row>
    <row r="61">
      <c r="A61" s="22" t="s">
        <v>223</v>
      </c>
      <c r="B61" s="19"/>
      <c r="C61" s="4"/>
      <c r="D61" s="19"/>
      <c r="E61" s="3"/>
      <c r="F61" s="4"/>
      <c r="G61" s="19"/>
      <c r="H61" s="4"/>
      <c r="I61" s="19"/>
      <c r="J61" s="4"/>
      <c r="K61" s="19"/>
      <c r="L61" s="4"/>
      <c r="M61" s="19"/>
      <c r="N61" s="4"/>
      <c r="O61" s="65"/>
      <c r="P61" s="57"/>
      <c r="Q61" s="65"/>
    </row>
    <row r="62">
      <c r="A62" s="18" t="s">
        <v>224</v>
      </c>
      <c r="B62" s="20">
        <v>0.37916666666666665</v>
      </c>
      <c r="C62" s="4"/>
      <c r="D62" s="19"/>
      <c r="E62" s="3"/>
      <c r="F62" s="4"/>
      <c r="G62" s="19"/>
      <c r="H62" s="4"/>
      <c r="I62" s="20">
        <v>0.7180555555555556</v>
      </c>
      <c r="J62" s="4"/>
      <c r="K62" s="19"/>
      <c r="L62" s="4"/>
      <c r="M62" s="19"/>
      <c r="N62" s="4"/>
      <c r="O62" s="65">
        <f t="shared" ref="O62:O63" si="9">I62-B62</f>
        <v>0.3388888889</v>
      </c>
      <c r="P62" s="58">
        <v>0.3541666666666667</v>
      </c>
      <c r="Q62" s="65">
        <f t="shared" ref="Q62:Q65" si="10">P62-O62</f>
        <v>0.01527777778</v>
      </c>
    </row>
    <row r="63">
      <c r="A63" s="18" t="s">
        <v>225</v>
      </c>
      <c r="B63" s="20">
        <v>0.3875</v>
      </c>
      <c r="C63" s="4"/>
      <c r="D63" s="19"/>
      <c r="E63" s="3"/>
      <c r="F63" s="4"/>
      <c r="G63" s="19"/>
      <c r="H63" s="4"/>
      <c r="I63" s="20">
        <v>0.7430555555555556</v>
      </c>
      <c r="J63" s="4"/>
      <c r="K63" s="19"/>
      <c r="L63" s="4"/>
      <c r="M63" s="19"/>
      <c r="N63" s="4"/>
      <c r="O63" s="65">
        <f t="shared" si="9"/>
        <v>0.3555555556</v>
      </c>
      <c r="P63" s="58">
        <v>0.3541666666666667</v>
      </c>
      <c r="Q63" s="65">
        <f t="shared" si="10"/>
        <v>-0.001388888889</v>
      </c>
    </row>
    <row r="64">
      <c r="A64" s="18" t="s">
        <v>226</v>
      </c>
      <c r="B64" s="19"/>
      <c r="C64" s="4"/>
      <c r="D64" s="20">
        <v>0.4423611111111111</v>
      </c>
      <c r="E64" s="3"/>
      <c r="F64" s="4"/>
      <c r="G64" s="19"/>
      <c r="H64" s="4"/>
      <c r="I64" s="19"/>
      <c r="J64" s="4"/>
      <c r="K64" s="19"/>
      <c r="L64" s="4"/>
      <c r="M64" s="20">
        <v>0.8479166666666667</v>
      </c>
      <c r="N64" s="4"/>
      <c r="O64" s="65">
        <f>M64-D64</f>
        <v>0.4055555556</v>
      </c>
      <c r="P64" s="58">
        <v>0.3541666666666667</v>
      </c>
      <c r="Q64" s="65">
        <f t="shared" si="10"/>
        <v>-0.05138888889</v>
      </c>
    </row>
    <row r="65">
      <c r="A65" s="18" t="s">
        <v>227</v>
      </c>
      <c r="B65" s="20">
        <v>0.3958333333333333</v>
      </c>
      <c r="C65" s="4"/>
      <c r="D65" s="19"/>
      <c r="E65" s="3"/>
      <c r="F65" s="4"/>
      <c r="G65" s="19"/>
      <c r="H65" s="4"/>
      <c r="I65" s="19"/>
      <c r="J65" s="4"/>
      <c r="K65" s="19"/>
      <c r="L65" s="4"/>
      <c r="M65" s="20">
        <v>0.75</v>
      </c>
      <c r="N65" s="4"/>
      <c r="O65" s="65">
        <f>M65-B65</f>
        <v>0.3541666667</v>
      </c>
      <c r="P65" s="58">
        <v>0.3541666666666667</v>
      </c>
      <c r="Q65" s="65">
        <f t="shared" si="10"/>
        <v>0</v>
      </c>
    </row>
    <row r="66">
      <c r="O66" s="65"/>
      <c r="P66" s="57"/>
      <c r="Q66" s="65"/>
    </row>
    <row r="67">
      <c r="A67" s="1" t="s">
        <v>0</v>
      </c>
      <c r="B67" s="2" t="s">
        <v>1</v>
      </c>
      <c r="C67" s="3"/>
      <c r="D67" s="3"/>
      <c r="E67" s="3"/>
      <c r="F67" s="3"/>
      <c r="G67" s="3"/>
      <c r="H67" s="4"/>
      <c r="I67" s="1" t="s">
        <v>2</v>
      </c>
      <c r="J67" s="10" t="s">
        <v>35</v>
      </c>
      <c r="K67" s="3"/>
      <c r="L67" s="3"/>
      <c r="M67" s="3"/>
      <c r="N67" s="4"/>
      <c r="O67" s="65"/>
      <c r="P67" s="57"/>
      <c r="Q67" s="65"/>
    </row>
    <row r="68">
      <c r="A68" s="1" t="s">
        <v>4</v>
      </c>
      <c r="B68" s="9" t="s">
        <v>213</v>
      </c>
      <c r="C68" s="3"/>
      <c r="D68" s="3"/>
      <c r="E68" s="3"/>
      <c r="F68" s="3"/>
      <c r="G68" s="3"/>
      <c r="H68" s="4"/>
      <c r="I68" s="1" t="s">
        <v>6</v>
      </c>
      <c r="J68" s="10">
        <v>8.0</v>
      </c>
      <c r="K68" s="3"/>
      <c r="L68" s="3"/>
      <c r="M68" s="3"/>
      <c r="N68" s="4"/>
      <c r="O68" s="65"/>
      <c r="P68" s="57"/>
      <c r="Q68" s="65"/>
    </row>
    <row r="69">
      <c r="A69" s="11" t="s">
        <v>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4"/>
      <c r="O69" s="65"/>
      <c r="P69" s="57"/>
      <c r="Q69" s="65"/>
    </row>
    <row r="70">
      <c r="A70" s="15" t="s">
        <v>11</v>
      </c>
      <c r="B70" s="2" t="s">
        <v>12</v>
      </c>
      <c r="C70" s="3"/>
      <c r="D70" s="3"/>
      <c r="E70" s="3"/>
      <c r="F70" s="4"/>
      <c r="G70" s="2" t="s">
        <v>13</v>
      </c>
      <c r="H70" s="3"/>
      <c r="I70" s="3"/>
      <c r="J70" s="3"/>
      <c r="K70" s="10" t="s">
        <v>14</v>
      </c>
      <c r="L70" s="3"/>
      <c r="M70" s="3"/>
      <c r="N70" s="4"/>
      <c r="O70" s="65"/>
      <c r="P70" s="57"/>
      <c r="Q70" s="65"/>
    </row>
    <row r="71">
      <c r="A71" s="16"/>
      <c r="B71" s="17" t="s">
        <v>15</v>
      </c>
      <c r="C71" s="4"/>
      <c r="D71" s="17" t="s">
        <v>16</v>
      </c>
      <c r="E71" s="3"/>
      <c r="F71" s="4"/>
      <c r="G71" s="17" t="s">
        <v>15</v>
      </c>
      <c r="H71" s="4"/>
      <c r="I71" s="17" t="s">
        <v>16</v>
      </c>
      <c r="J71" s="4"/>
      <c r="K71" s="17" t="s">
        <v>15</v>
      </c>
      <c r="L71" s="4"/>
      <c r="M71" s="17" t="s">
        <v>16</v>
      </c>
      <c r="N71" s="4"/>
      <c r="O71" s="65"/>
      <c r="P71" s="57"/>
      <c r="Q71" s="65"/>
    </row>
    <row r="72">
      <c r="A72" s="18" t="s">
        <v>214</v>
      </c>
      <c r="B72" s="20">
        <v>0.35694444444444445</v>
      </c>
      <c r="C72" s="4"/>
      <c r="D72" s="19"/>
      <c r="E72" s="3"/>
      <c r="F72" s="4"/>
      <c r="G72" s="19"/>
      <c r="H72" s="4"/>
      <c r="I72" s="19"/>
      <c r="J72" s="4"/>
      <c r="K72" s="20">
        <v>0.7840277777777778</v>
      </c>
      <c r="L72" s="4"/>
      <c r="M72" s="19"/>
      <c r="N72" s="4"/>
      <c r="O72" s="12" t="s">
        <v>8</v>
      </c>
      <c r="P72" s="13" t="s">
        <v>9</v>
      </c>
      <c r="Q72" s="14" t="s">
        <v>10</v>
      </c>
    </row>
    <row r="73">
      <c r="A73" s="22" t="s">
        <v>215</v>
      </c>
      <c r="B73" s="19"/>
      <c r="C73" s="4"/>
      <c r="D73" s="19"/>
      <c r="E73" s="3"/>
      <c r="F73" s="4"/>
      <c r="G73" s="19"/>
      <c r="H73" s="4"/>
      <c r="I73" s="19"/>
      <c r="J73" s="4"/>
      <c r="K73" s="19"/>
      <c r="L73" s="4"/>
      <c r="M73" s="19"/>
      <c r="N73" s="4"/>
      <c r="O73" s="65"/>
      <c r="P73" s="57"/>
      <c r="Q73" s="65"/>
    </row>
    <row r="74">
      <c r="A74" s="22" t="s">
        <v>216</v>
      </c>
      <c r="B74" s="19"/>
      <c r="C74" s="4"/>
      <c r="D74" s="19"/>
      <c r="E74" s="3"/>
      <c r="F74" s="4"/>
      <c r="G74" s="19"/>
      <c r="H74" s="4"/>
      <c r="I74" s="19"/>
      <c r="J74" s="4"/>
      <c r="K74" s="19"/>
      <c r="L74" s="4"/>
      <c r="M74" s="19"/>
      <c r="N74" s="4"/>
      <c r="O74" s="65"/>
      <c r="P74" s="57"/>
      <c r="Q74" s="65"/>
    </row>
    <row r="75">
      <c r="A75" s="18" t="s">
        <v>217</v>
      </c>
      <c r="B75" s="20">
        <v>0.37222222222222223</v>
      </c>
      <c r="C75" s="4"/>
      <c r="D75" s="19"/>
      <c r="E75" s="3"/>
      <c r="F75" s="4"/>
      <c r="G75" s="19"/>
      <c r="H75" s="4"/>
      <c r="I75" s="19"/>
      <c r="J75" s="4"/>
      <c r="K75" s="20">
        <v>0.7756944444444445</v>
      </c>
      <c r="L75" s="4"/>
      <c r="M75" s="19"/>
      <c r="N75" s="4"/>
      <c r="O75" s="65"/>
      <c r="P75" s="57"/>
      <c r="Q75" s="65"/>
    </row>
    <row r="76">
      <c r="A76" s="18" t="s">
        <v>218</v>
      </c>
      <c r="B76" s="20">
        <v>0.37916666666666665</v>
      </c>
      <c r="C76" s="4"/>
      <c r="D76" s="19"/>
      <c r="E76" s="3"/>
      <c r="F76" s="4"/>
      <c r="G76" s="19"/>
      <c r="H76" s="4"/>
      <c r="I76" s="20">
        <v>0.7402777777777778</v>
      </c>
      <c r="J76" s="4"/>
      <c r="K76" s="19"/>
      <c r="L76" s="4"/>
      <c r="M76" s="19"/>
      <c r="N76" s="4"/>
      <c r="O76" s="65"/>
      <c r="P76" s="57"/>
      <c r="Q76" s="65"/>
    </row>
    <row r="77">
      <c r="A77" s="18" t="s">
        <v>219</v>
      </c>
      <c r="B77" s="20">
        <v>0.3715277777777778</v>
      </c>
      <c r="C77" s="4"/>
      <c r="D77" s="19"/>
      <c r="E77" s="3"/>
      <c r="F77" s="4"/>
      <c r="G77" s="19"/>
      <c r="H77" s="4"/>
      <c r="I77" s="19"/>
      <c r="J77" s="4"/>
      <c r="K77" s="20">
        <v>0.7791666666666667</v>
      </c>
      <c r="L77" s="4"/>
      <c r="M77" s="19"/>
      <c r="N77" s="4"/>
      <c r="O77" s="65"/>
      <c r="P77" s="57"/>
      <c r="Q77" s="65"/>
    </row>
    <row r="78">
      <c r="A78" s="18" t="s">
        <v>220</v>
      </c>
      <c r="B78" s="20">
        <v>0.36944444444444446</v>
      </c>
      <c r="C78" s="4"/>
      <c r="D78" s="19"/>
      <c r="E78" s="3"/>
      <c r="F78" s="4"/>
      <c r="G78" s="19"/>
      <c r="H78" s="4"/>
      <c r="I78" s="20">
        <v>0.6923611111111111</v>
      </c>
      <c r="J78" s="4"/>
      <c r="K78" s="19"/>
      <c r="L78" s="4"/>
      <c r="M78" s="19"/>
      <c r="N78" s="4"/>
      <c r="O78" s="65"/>
      <c r="P78" s="57"/>
      <c r="Q78" s="65"/>
    </row>
    <row r="79">
      <c r="A79" s="18" t="s">
        <v>221</v>
      </c>
      <c r="B79" s="20">
        <v>0.36180555555555555</v>
      </c>
      <c r="C79" s="4"/>
      <c r="D79" s="19"/>
      <c r="E79" s="3"/>
      <c r="F79" s="4"/>
      <c r="G79" s="19"/>
      <c r="H79" s="4"/>
      <c r="I79" s="19"/>
      <c r="J79" s="4"/>
      <c r="K79" s="20">
        <v>0.7826388888888889</v>
      </c>
      <c r="L79" s="4"/>
      <c r="M79" s="19"/>
      <c r="N79" s="4"/>
      <c r="O79" s="65"/>
      <c r="P79" s="57"/>
      <c r="Q79" s="65"/>
    </row>
    <row r="80">
      <c r="A80" s="22" t="s">
        <v>222</v>
      </c>
      <c r="B80" s="19"/>
      <c r="C80" s="4"/>
      <c r="D80" s="19"/>
      <c r="E80" s="3"/>
      <c r="F80" s="4"/>
      <c r="G80" s="19"/>
      <c r="H80" s="4"/>
      <c r="I80" s="19"/>
      <c r="J80" s="4"/>
      <c r="K80" s="19"/>
      <c r="L80" s="4"/>
      <c r="M80" s="19"/>
      <c r="N80" s="4"/>
      <c r="O80" s="65"/>
      <c r="P80" s="57"/>
      <c r="Q80" s="65"/>
    </row>
    <row r="81">
      <c r="A81" s="22" t="s">
        <v>223</v>
      </c>
      <c r="B81" s="19"/>
      <c r="C81" s="4"/>
      <c r="D81" s="19"/>
      <c r="E81" s="3"/>
      <c r="F81" s="4"/>
      <c r="G81" s="19"/>
      <c r="H81" s="4"/>
      <c r="I81" s="19"/>
      <c r="J81" s="4"/>
      <c r="K81" s="19"/>
      <c r="L81" s="4"/>
      <c r="M81" s="19"/>
      <c r="N81" s="4"/>
      <c r="O81" s="65"/>
      <c r="P81" s="57"/>
      <c r="Q81" s="65"/>
    </row>
    <row r="82">
      <c r="A82" s="18" t="s">
        <v>224</v>
      </c>
      <c r="B82" s="20">
        <v>0.3909722222222222</v>
      </c>
      <c r="C82" s="4"/>
      <c r="D82" s="19"/>
      <c r="E82" s="3"/>
      <c r="F82" s="4"/>
      <c r="G82" s="19"/>
      <c r="H82" s="4"/>
      <c r="I82" s="19"/>
      <c r="J82" s="4"/>
      <c r="K82" s="20">
        <v>0.7875</v>
      </c>
      <c r="L82" s="4"/>
      <c r="M82" s="19"/>
      <c r="N82" s="4"/>
      <c r="O82" s="65"/>
      <c r="P82" s="57"/>
      <c r="Q82" s="65"/>
    </row>
    <row r="83">
      <c r="A83" s="18" t="s">
        <v>225</v>
      </c>
      <c r="B83" s="20">
        <v>0.3527777777777778</v>
      </c>
      <c r="C83" s="4"/>
      <c r="D83" s="19"/>
      <c r="E83" s="3"/>
      <c r="F83" s="4"/>
      <c r="G83" s="19"/>
      <c r="H83" s="4"/>
      <c r="I83" s="20">
        <v>0.74375</v>
      </c>
      <c r="J83" s="4"/>
      <c r="K83" s="19"/>
      <c r="L83" s="4"/>
      <c r="M83" s="19"/>
      <c r="N83" s="4"/>
      <c r="O83" s="65"/>
      <c r="P83" s="57"/>
      <c r="Q83" s="65"/>
    </row>
    <row r="84">
      <c r="A84" s="18" t="s">
        <v>226</v>
      </c>
      <c r="B84" s="20">
        <v>0.36875</v>
      </c>
      <c r="C84" s="4"/>
      <c r="D84" s="19"/>
      <c r="E84" s="3"/>
      <c r="F84" s="4"/>
      <c r="G84" s="19"/>
      <c r="H84" s="4"/>
      <c r="I84" s="19"/>
      <c r="J84" s="4"/>
      <c r="K84" s="20">
        <v>0.8006944444444445</v>
      </c>
      <c r="L84" s="4"/>
      <c r="M84" s="19"/>
      <c r="N84" s="4"/>
      <c r="O84" s="65"/>
      <c r="P84" s="57"/>
      <c r="Q84" s="65"/>
    </row>
    <row r="85">
      <c r="A85" s="18" t="s">
        <v>227</v>
      </c>
      <c r="B85" s="20">
        <v>0.32013888888888886</v>
      </c>
      <c r="C85" s="4"/>
      <c r="D85" s="19"/>
      <c r="E85" s="3"/>
      <c r="F85" s="4"/>
      <c r="G85" s="19"/>
      <c r="H85" s="4"/>
      <c r="I85" s="19"/>
      <c r="J85" s="4"/>
      <c r="K85" s="19"/>
      <c r="L85" s="4"/>
      <c r="M85" s="19"/>
      <c r="N85" s="4"/>
      <c r="O85" s="65"/>
      <c r="P85" s="57"/>
      <c r="Q85" s="65"/>
    </row>
    <row r="86">
      <c r="O86" s="65"/>
      <c r="P86" s="57"/>
      <c r="Q86" s="65"/>
    </row>
    <row r="87">
      <c r="A87" s="1" t="s">
        <v>0</v>
      </c>
      <c r="B87" s="2" t="s">
        <v>1</v>
      </c>
      <c r="C87" s="3"/>
      <c r="D87" s="3"/>
      <c r="E87" s="3"/>
      <c r="F87" s="3"/>
      <c r="G87" s="3"/>
      <c r="H87" s="4"/>
      <c r="I87" s="1" t="s">
        <v>2</v>
      </c>
      <c r="J87" s="10" t="s">
        <v>36</v>
      </c>
      <c r="K87" s="3"/>
      <c r="L87" s="3"/>
      <c r="M87" s="3"/>
      <c r="N87" s="4"/>
      <c r="O87" s="65"/>
      <c r="P87" s="57"/>
      <c r="Q87" s="65"/>
    </row>
    <row r="88">
      <c r="A88" s="11" t="s">
        <v>7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4"/>
      <c r="O88" s="65"/>
      <c r="P88" s="57"/>
      <c r="Q88" s="65"/>
    </row>
    <row r="89">
      <c r="A89" s="15" t="s">
        <v>11</v>
      </c>
      <c r="B89" s="2" t="s">
        <v>12</v>
      </c>
      <c r="C89" s="3"/>
      <c r="D89" s="3"/>
      <c r="E89" s="3"/>
      <c r="F89" s="4"/>
      <c r="G89" s="2" t="s">
        <v>13</v>
      </c>
      <c r="H89" s="3"/>
      <c r="I89" s="3"/>
      <c r="J89" s="3"/>
      <c r="K89" s="10" t="s">
        <v>14</v>
      </c>
      <c r="L89" s="3"/>
      <c r="M89" s="3"/>
      <c r="N89" s="4"/>
      <c r="O89" s="65"/>
      <c r="P89" s="57"/>
      <c r="Q89" s="65"/>
    </row>
    <row r="90">
      <c r="A90" s="16"/>
      <c r="B90" s="17" t="s">
        <v>15</v>
      </c>
      <c r="C90" s="4"/>
      <c r="D90" s="17" t="s">
        <v>16</v>
      </c>
      <c r="E90" s="3"/>
      <c r="F90" s="4"/>
      <c r="G90" s="17" t="s">
        <v>15</v>
      </c>
      <c r="H90" s="4"/>
      <c r="I90" s="17" t="s">
        <v>16</v>
      </c>
      <c r="J90" s="4"/>
      <c r="K90" s="17" t="s">
        <v>15</v>
      </c>
      <c r="L90" s="4"/>
      <c r="M90" s="17" t="s">
        <v>16</v>
      </c>
      <c r="N90" s="4"/>
      <c r="O90" s="12" t="s">
        <v>8</v>
      </c>
      <c r="P90" s="13" t="s">
        <v>9</v>
      </c>
      <c r="Q90" s="14" t="s">
        <v>10</v>
      </c>
    </row>
    <row r="91">
      <c r="A91" s="18" t="s">
        <v>214</v>
      </c>
      <c r="B91" s="20">
        <v>0.38680555555555557</v>
      </c>
      <c r="C91" s="4"/>
      <c r="D91" s="19"/>
      <c r="E91" s="3"/>
      <c r="F91" s="4"/>
      <c r="G91" s="19"/>
      <c r="H91" s="4"/>
      <c r="I91" s="20">
        <v>0.7444444444444445</v>
      </c>
      <c r="J91" s="4"/>
      <c r="K91" s="19"/>
      <c r="L91" s="4"/>
      <c r="M91" s="19"/>
      <c r="N91" s="4"/>
      <c r="O91" s="65">
        <f>I91-B91</f>
        <v>0.3576388889</v>
      </c>
      <c r="P91" s="58">
        <v>0.3541666666666667</v>
      </c>
      <c r="Q91" s="65">
        <f t="shared" ref="Q91:Q92" si="11">P91-O91</f>
        <v>-0.003472222222</v>
      </c>
    </row>
    <row r="92">
      <c r="A92" s="22" t="s">
        <v>215</v>
      </c>
      <c r="B92" s="20">
        <v>0.21944444444444444</v>
      </c>
      <c r="C92" s="4"/>
      <c r="D92" s="20">
        <v>0.6090277777777777</v>
      </c>
      <c r="E92" s="3"/>
      <c r="F92" s="4"/>
      <c r="G92" s="19"/>
      <c r="H92" s="4"/>
      <c r="I92" s="19"/>
      <c r="J92" s="4"/>
      <c r="K92" s="19"/>
      <c r="L92" s="4"/>
      <c r="M92" s="19"/>
      <c r="N92" s="4"/>
      <c r="O92" s="65">
        <f>D92-B92</f>
        <v>0.3895833333</v>
      </c>
      <c r="P92" s="58">
        <v>0.3541666666666667</v>
      </c>
      <c r="Q92" s="65">
        <f t="shared" si="11"/>
        <v>-0.03541666667</v>
      </c>
    </row>
    <row r="93">
      <c r="A93" s="22" t="s">
        <v>216</v>
      </c>
      <c r="B93" s="19"/>
      <c r="C93" s="4"/>
      <c r="D93" s="19"/>
      <c r="E93" s="3"/>
      <c r="F93" s="4"/>
      <c r="G93" s="19"/>
      <c r="H93" s="4"/>
      <c r="I93" s="19"/>
      <c r="J93" s="4"/>
      <c r="K93" s="19"/>
      <c r="L93" s="4"/>
      <c r="M93" s="19"/>
      <c r="N93" s="4"/>
      <c r="O93" s="65"/>
      <c r="P93" s="57"/>
      <c r="Q93" s="65"/>
    </row>
    <row r="94">
      <c r="A94" s="18" t="s">
        <v>217</v>
      </c>
      <c r="B94" s="20">
        <v>0.3888888888888889</v>
      </c>
      <c r="C94" s="4"/>
      <c r="D94" s="19"/>
      <c r="E94" s="3"/>
      <c r="F94" s="4"/>
      <c r="G94" s="19"/>
      <c r="H94" s="4"/>
      <c r="I94" s="19"/>
      <c r="J94" s="4"/>
      <c r="K94" s="20">
        <v>0.8013888888888889</v>
      </c>
      <c r="L94" s="4"/>
      <c r="M94" s="19"/>
      <c r="N94" s="4"/>
      <c r="O94" s="65">
        <f>K94-B94</f>
        <v>0.4125</v>
      </c>
      <c r="P94" s="58">
        <v>0.3541666666666667</v>
      </c>
      <c r="Q94" s="65">
        <f t="shared" ref="Q94:Q96" si="12">P94-O94</f>
        <v>-0.05833333333</v>
      </c>
    </row>
    <row r="95">
      <c r="A95" s="18" t="s">
        <v>218</v>
      </c>
      <c r="B95" s="20">
        <v>0.39166666666666666</v>
      </c>
      <c r="C95" s="4"/>
      <c r="D95" s="19"/>
      <c r="E95" s="3"/>
      <c r="F95" s="4"/>
      <c r="G95" s="19"/>
      <c r="H95" s="4"/>
      <c r="I95" s="20">
        <v>0.7347222222222223</v>
      </c>
      <c r="J95" s="4"/>
      <c r="K95" s="19"/>
      <c r="L95" s="4"/>
      <c r="M95" s="19"/>
      <c r="N95" s="4"/>
      <c r="O95" s="65">
        <f>I95-B95</f>
        <v>0.3430555556</v>
      </c>
      <c r="P95" s="58">
        <v>0.3541666666666667</v>
      </c>
      <c r="Q95" s="65">
        <f t="shared" si="12"/>
        <v>0.01111111111</v>
      </c>
    </row>
    <row r="96">
      <c r="A96" s="18" t="s">
        <v>219</v>
      </c>
      <c r="B96" s="20">
        <v>0.38958333333333334</v>
      </c>
      <c r="C96" s="4"/>
      <c r="D96" s="19"/>
      <c r="E96" s="3"/>
      <c r="F96" s="4"/>
      <c r="G96" s="19"/>
      <c r="H96" s="4"/>
      <c r="I96" s="19"/>
      <c r="J96" s="4"/>
      <c r="K96" s="20">
        <v>0.7736111111111111</v>
      </c>
      <c r="L96" s="4"/>
      <c r="M96" s="19"/>
      <c r="N96" s="4"/>
      <c r="O96" s="65">
        <f>K96-B96</f>
        <v>0.3840277778</v>
      </c>
      <c r="P96" s="58">
        <v>0.3541666666666667</v>
      </c>
      <c r="Q96" s="65">
        <f t="shared" si="12"/>
        <v>-0.02986111111</v>
      </c>
    </row>
    <row r="97">
      <c r="A97" s="18" t="s">
        <v>220</v>
      </c>
      <c r="B97" s="23"/>
      <c r="C97" s="4"/>
      <c r="D97" s="24"/>
      <c r="E97" s="3"/>
      <c r="F97" s="3"/>
      <c r="G97" s="25"/>
      <c r="H97" s="3"/>
      <c r="I97" s="26"/>
      <c r="J97" s="3"/>
      <c r="K97" s="24"/>
      <c r="L97" s="3"/>
      <c r="M97" s="24"/>
      <c r="N97" s="4"/>
      <c r="O97" s="65"/>
      <c r="P97" s="57"/>
      <c r="Q97" s="65"/>
    </row>
    <row r="98">
      <c r="A98" s="18" t="s">
        <v>221</v>
      </c>
      <c r="B98" s="20">
        <v>0.3902777777777778</v>
      </c>
      <c r="C98" s="4"/>
      <c r="D98" s="19"/>
      <c r="E98" s="3"/>
      <c r="F98" s="4"/>
      <c r="G98" s="19"/>
      <c r="H98" s="4"/>
      <c r="I98" s="20">
        <v>0.7555555555555555</v>
      </c>
      <c r="J98" s="4"/>
      <c r="K98" s="19"/>
      <c r="L98" s="4"/>
      <c r="M98" s="19"/>
      <c r="N98" s="4"/>
      <c r="O98" s="65">
        <f>I98-B98</f>
        <v>0.3652777778</v>
      </c>
      <c r="P98" s="58">
        <v>0.3541666666666667</v>
      </c>
      <c r="Q98" s="65">
        <f t="shared" ref="Q98:Q99" si="13">P98-O98</f>
        <v>-0.01111111111</v>
      </c>
    </row>
    <row r="99">
      <c r="A99" s="22" t="s">
        <v>222</v>
      </c>
      <c r="B99" s="20">
        <v>0.22013888888888888</v>
      </c>
      <c r="C99" s="4"/>
      <c r="D99" s="20">
        <v>0.59375</v>
      </c>
      <c r="E99" s="3"/>
      <c r="F99" s="4"/>
      <c r="G99" s="19"/>
      <c r="H99" s="4"/>
      <c r="I99" s="19"/>
      <c r="J99" s="4"/>
      <c r="K99" s="19"/>
      <c r="L99" s="4"/>
      <c r="M99" s="19"/>
      <c r="N99" s="4"/>
      <c r="O99" s="65">
        <f>D99-B99</f>
        <v>0.3736111111</v>
      </c>
      <c r="P99" s="58">
        <v>0.3541666666666667</v>
      </c>
      <c r="Q99" s="65">
        <f t="shared" si="13"/>
        <v>-0.01944444444</v>
      </c>
    </row>
    <row r="100">
      <c r="A100" s="22" t="s">
        <v>223</v>
      </c>
      <c r="B100" s="19"/>
      <c r="C100" s="4"/>
      <c r="D100" s="19"/>
      <c r="E100" s="3"/>
      <c r="F100" s="4"/>
      <c r="G100" s="19"/>
      <c r="H100" s="4"/>
      <c r="I100" s="19"/>
      <c r="J100" s="4"/>
      <c r="K100" s="19"/>
      <c r="L100" s="4"/>
      <c r="M100" s="19"/>
      <c r="N100" s="4"/>
      <c r="O100" s="65"/>
      <c r="P100" s="57"/>
      <c r="Q100" s="65"/>
    </row>
    <row r="101">
      <c r="A101" s="18" t="s">
        <v>224</v>
      </c>
      <c r="B101" s="20">
        <v>0.38958333333333334</v>
      </c>
      <c r="C101" s="4"/>
      <c r="D101" s="19"/>
      <c r="E101" s="3"/>
      <c r="F101" s="4"/>
      <c r="G101" s="19"/>
      <c r="H101" s="4"/>
      <c r="I101" s="19"/>
      <c r="J101" s="4"/>
      <c r="K101" s="20">
        <v>0.7805555555555556</v>
      </c>
      <c r="L101" s="4"/>
      <c r="M101" s="19"/>
      <c r="N101" s="4"/>
      <c r="O101" s="65">
        <f>K101-B101</f>
        <v>0.3909722222</v>
      </c>
      <c r="P101" s="58">
        <v>0.3541666666666667</v>
      </c>
      <c r="Q101" s="65">
        <f t="shared" ref="Q101:Q103" si="14">P101-O101</f>
        <v>-0.03680555556</v>
      </c>
    </row>
    <row r="102">
      <c r="A102" s="18" t="s">
        <v>225</v>
      </c>
      <c r="B102" s="20">
        <v>0.3819444444444444</v>
      </c>
      <c r="C102" s="4"/>
      <c r="D102" s="19"/>
      <c r="E102" s="3"/>
      <c r="F102" s="4"/>
      <c r="G102" s="19"/>
      <c r="H102" s="4"/>
      <c r="I102" s="20">
        <v>0.7409722222222223</v>
      </c>
      <c r="J102" s="4"/>
      <c r="K102" s="19"/>
      <c r="L102" s="4"/>
      <c r="M102" s="19"/>
      <c r="N102" s="4"/>
      <c r="O102" s="65">
        <f>I102-B102</f>
        <v>0.3590277778</v>
      </c>
      <c r="P102" s="58">
        <v>0.3541666666666667</v>
      </c>
      <c r="Q102" s="65">
        <f t="shared" si="14"/>
        <v>-0.004861111111</v>
      </c>
    </row>
    <row r="103">
      <c r="A103" s="18" t="s">
        <v>226</v>
      </c>
      <c r="B103" s="20">
        <v>0.38333333333333336</v>
      </c>
      <c r="C103" s="4"/>
      <c r="D103" s="19"/>
      <c r="E103" s="3"/>
      <c r="F103" s="4"/>
      <c r="G103" s="19"/>
      <c r="H103" s="4"/>
      <c r="I103" s="19"/>
      <c r="J103" s="4"/>
      <c r="K103" s="19"/>
      <c r="L103" s="4"/>
      <c r="M103" s="20">
        <v>0.8479166666666667</v>
      </c>
      <c r="N103" s="4"/>
      <c r="O103" s="65">
        <f>M103-B103</f>
        <v>0.4645833333</v>
      </c>
      <c r="P103" s="58">
        <v>0.3541666666666667</v>
      </c>
      <c r="Q103" s="65">
        <f t="shared" si="14"/>
        <v>-0.1104166667</v>
      </c>
    </row>
    <row r="104">
      <c r="A104" s="18" t="s">
        <v>227</v>
      </c>
      <c r="B104" s="23"/>
      <c r="C104" s="4"/>
      <c r="D104" s="24"/>
      <c r="E104" s="3"/>
      <c r="F104" s="3"/>
      <c r="G104" s="25"/>
      <c r="H104" s="3"/>
      <c r="I104" s="26"/>
      <c r="J104" s="3"/>
      <c r="K104" s="24"/>
      <c r="L104" s="3"/>
      <c r="M104" s="24"/>
      <c r="N104" s="4"/>
      <c r="O104" s="65"/>
      <c r="P104" s="57"/>
      <c r="Q104" s="66">
        <f>Q92+Q94+Q96+Q101+Q103</f>
        <v>-0.2708333333</v>
      </c>
    </row>
    <row r="105">
      <c r="O105" s="65"/>
      <c r="P105" s="57"/>
      <c r="Q105" s="65"/>
    </row>
    <row r="106">
      <c r="O106" s="65"/>
      <c r="P106" s="57"/>
      <c r="Q106" s="65"/>
    </row>
    <row r="107">
      <c r="A107" s="1" t="s">
        <v>0</v>
      </c>
      <c r="B107" s="2" t="s">
        <v>1</v>
      </c>
      <c r="C107" s="3"/>
      <c r="D107" s="3"/>
      <c r="E107" s="3"/>
      <c r="F107" s="3"/>
      <c r="G107" s="3"/>
      <c r="H107" s="4"/>
      <c r="I107" s="1" t="s">
        <v>2</v>
      </c>
      <c r="J107" s="10" t="s">
        <v>37</v>
      </c>
      <c r="K107" s="3"/>
      <c r="L107" s="3"/>
      <c r="M107" s="3"/>
      <c r="N107" s="4"/>
      <c r="O107" s="65"/>
      <c r="P107" s="57"/>
      <c r="Q107" s="65"/>
    </row>
    <row r="108">
      <c r="A108" s="11" t="s">
        <v>7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4"/>
      <c r="O108" s="65"/>
      <c r="P108" s="57"/>
      <c r="Q108" s="65"/>
    </row>
    <row r="109">
      <c r="A109" s="15" t="s">
        <v>11</v>
      </c>
      <c r="B109" s="2" t="s">
        <v>12</v>
      </c>
      <c r="C109" s="3"/>
      <c r="D109" s="3"/>
      <c r="E109" s="3"/>
      <c r="F109" s="4"/>
      <c r="G109" s="2" t="s">
        <v>13</v>
      </c>
      <c r="H109" s="3"/>
      <c r="I109" s="3"/>
      <c r="J109" s="3"/>
      <c r="K109" s="10" t="s">
        <v>14</v>
      </c>
      <c r="L109" s="3"/>
      <c r="M109" s="3"/>
      <c r="N109" s="4"/>
      <c r="O109" s="65"/>
      <c r="P109" s="57"/>
      <c r="Q109" s="65"/>
    </row>
    <row r="110">
      <c r="A110" s="16"/>
      <c r="B110" s="17" t="s">
        <v>15</v>
      </c>
      <c r="C110" s="4"/>
      <c r="D110" s="17" t="s">
        <v>16</v>
      </c>
      <c r="E110" s="3"/>
      <c r="F110" s="4"/>
      <c r="G110" s="17" t="s">
        <v>15</v>
      </c>
      <c r="H110" s="4"/>
      <c r="I110" s="17" t="s">
        <v>16</v>
      </c>
      <c r="J110" s="4"/>
      <c r="K110" s="17" t="s">
        <v>15</v>
      </c>
      <c r="L110" s="4"/>
      <c r="M110" s="17" t="s">
        <v>16</v>
      </c>
      <c r="N110" s="4"/>
      <c r="O110" s="12" t="s">
        <v>8</v>
      </c>
      <c r="P110" s="13" t="s">
        <v>9</v>
      </c>
      <c r="Q110" s="14" t="s">
        <v>10</v>
      </c>
    </row>
    <row r="111">
      <c r="A111" s="18" t="s">
        <v>230</v>
      </c>
      <c r="B111" s="54">
        <v>0.41458333333333336</v>
      </c>
      <c r="C111" s="77"/>
      <c r="D111" s="54"/>
      <c r="E111" s="54"/>
      <c r="F111" s="54"/>
      <c r="G111" s="77"/>
      <c r="H111" s="77"/>
      <c r="I111" s="54">
        <v>0.75</v>
      </c>
      <c r="J111" s="77"/>
      <c r="K111" s="77"/>
      <c r="L111" s="77"/>
      <c r="M111" s="54"/>
      <c r="N111" s="54"/>
      <c r="O111" s="65">
        <f>I111-B111</f>
        <v>0.3354166667</v>
      </c>
      <c r="P111" s="58">
        <v>0.375</v>
      </c>
      <c r="Q111" s="65"/>
    </row>
    <row r="112">
      <c r="A112" s="18" t="s">
        <v>214</v>
      </c>
      <c r="B112" s="19"/>
      <c r="C112" s="4"/>
      <c r="D112" s="20">
        <v>0.425</v>
      </c>
      <c r="E112" s="3"/>
      <c r="F112" s="4"/>
      <c r="G112" s="19"/>
      <c r="H112" s="4"/>
      <c r="I112" s="19"/>
      <c r="J112" s="4"/>
      <c r="K112" s="19"/>
      <c r="L112" s="4"/>
      <c r="M112" s="20">
        <v>0.8652777777777778</v>
      </c>
      <c r="N112" s="4"/>
      <c r="O112" s="65">
        <f>M112-D112</f>
        <v>0.4402777778</v>
      </c>
      <c r="P112" s="58">
        <v>0.375</v>
      </c>
      <c r="Q112" s="65">
        <f t="shared" ref="Q112:Q113" si="15">P112-O112</f>
        <v>-0.06527777778</v>
      </c>
    </row>
    <row r="113">
      <c r="A113" s="22" t="s">
        <v>215</v>
      </c>
      <c r="B113" s="20">
        <v>0.4048611111111111</v>
      </c>
      <c r="C113" s="4"/>
      <c r="D113" s="20">
        <v>0.8020833333333334</v>
      </c>
      <c r="E113" s="3"/>
      <c r="F113" s="4"/>
      <c r="G113" s="19"/>
      <c r="H113" s="4"/>
      <c r="I113" s="19"/>
      <c r="J113" s="4"/>
      <c r="K113" s="19"/>
      <c r="L113" s="4"/>
      <c r="M113" s="19"/>
      <c r="N113" s="4"/>
      <c r="O113" s="65">
        <f>D113-B113</f>
        <v>0.3972222222</v>
      </c>
      <c r="P113" s="62">
        <v>0.0</v>
      </c>
      <c r="Q113" s="65">
        <f t="shared" si="15"/>
        <v>-0.3972222222</v>
      </c>
    </row>
    <row r="114">
      <c r="A114" s="22" t="s">
        <v>216</v>
      </c>
      <c r="B114" s="19"/>
      <c r="C114" s="4"/>
      <c r="D114" s="19"/>
      <c r="E114" s="3"/>
      <c r="F114" s="4"/>
      <c r="G114" s="19"/>
      <c r="H114" s="4"/>
      <c r="I114" s="19"/>
      <c r="J114" s="4"/>
      <c r="K114" s="19"/>
      <c r="L114" s="4"/>
      <c r="M114" s="19"/>
      <c r="N114" s="4"/>
      <c r="O114" s="65"/>
      <c r="P114" s="57"/>
      <c r="Q114" s="65"/>
    </row>
    <row r="115">
      <c r="A115" s="18" t="s">
        <v>217</v>
      </c>
      <c r="B115" s="20">
        <v>0.3951388888888889</v>
      </c>
      <c r="C115" s="4"/>
      <c r="D115" s="19"/>
      <c r="E115" s="3"/>
      <c r="F115" s="4"/>
      <c r="G115" s="19"/>
      <c r="H115" s="4"/>
      <c r="I115" s="19"/>
      <c r="J115" s="4"/>
      <c r="K115" s="19"/>
      <c r="L115" s="4"/>
      <c r="M115" s="20">
        <v>0.8756944444444444</v>
      </c>
      <c r="N115" s="4"/>
      <c r="O115" s="65">
        <f>M115-B115</f>
        <v>0.4805555556</v>
      </c>
      <c r="P115" s="58">
        <v>0.375</v>
      </c>
      <c r="Q115" s="65">
        <f t="shared" ref="Q115:Q120" si="16">P115-O115</f>
        <v>-0.1055555556</v>
      </c>
    </row>
    <row r="116">
      <c r="A116" s="18" t="s">
        <v>218</v>
      </c>
      <c r="B116" s="20">
        <v>0.40069444444444446</v>
      </c>
      <c r="C116" s="4"/>
      <c r="D116" s="19"/>
      <c r="E116" s="3"/>
      <c r="F116" s="4"/>
      <c r="G116" s="19"/>
      <c r="H116" s="4"/>
      <c r="I116" s="20">
        <v>0.7409722222222223</v>
      </c>
      <c r="J116" s="4"/>
      <c r="K116" s="19"/>
      <c r="L116" s="4"/>
      <c r="M116" s="19"/>
      <c r="N116" s="4"/>
      <c r="O116" s="65">
        <f>I116-B116</f>
        <v>0.3402777778</v>
      </c>
      <c r="P116" s="58">
        <v>0.375</v>
      </c>
      <c r="Q116" s="65">
        <f t="shared" si="16"/>
        <v>0.03472222222</v>
      </c>
    </row>
    <row r="117">
      <c r="A117" s="18" t="s">
        <v>219</v>
      </c>
      <c r="B117" s="20">
        <v>0.4027777777777778</v>
      </c>
      <c r="C117" s="4"/>
      <c r="D117" s="19"/>
      <c r="E117" s="3"/>
      <c r="F117" s="4"/>
      <c r="G117" s="19"/>
      <c r="H117" s="4"/>
      <c r="I117" s="19"/>
      <c r="J117" s="4"/>
      <c r="K117" s="19"/>
      <c r="L117" s="4"/>
      <c r="M117" s="20">
        <v>0.8680555555555556</v>
      </c>
      <c r="N117" s="4"/>
      <c r="O117" s="65">
        <f>M117-B117</f>
        <v>0.4652777778</v>
      </c>
      <c r="P117" s="58">
        <v>0.375</v>
      </c>
      <c r="Q117" s="65">
        <f t="shared" si="16"/>
        <v>-0.09027777778</v>
      </c>
    </row>
    <row r="118">
      <c r="A118" s="18" t="s">
        <v>220</v>
      </c>
      <c r="B118" s="20">
        <v>0.4076388888888889</v>
      </c>
      <c r="C118" s="4"/>
      <c r="D118" s="19"/>
      <c r="E118" s="3"/>
      <c r="F118" s="4"/>
      <c r="G118" s="19"/>
      <c r="H118" s="4"/>
      <c r="I118" s="20">
        <v>0.69375</v>
      </c>
      <c r="J118" s="4"/>
      <c r="K118" s="19"/>
      <c r="L118" s="4"/>
      <c r="M118" s="19"/>
      <c r="N118" s="4"/>
      <c r="O118" s="65">
        <f>I118-B118</f>
        <v>0.2861111111</v>
      </c>
      <c r="P118" s="58">
        <v>0.375</v>
      </c>
      <c r="Q118" s="65">
        <f t="shared" si="16"/>
        <v>0.08888888889</v>
      </c>
    </row>
    <row r="119">
      <c r="A119" s="18" t="s">
        <v>221</v>
      </c>
      <c r="B119" s="19"/>
      <c r="C119" s="4"/>
      <c r="D119" s="20">
        <v>0.4201388888888889</v>
      </c>
      <c r="E119" s="3"/>
      <c r="F119" s="4"/>
      <c r="G119" s="19"/>
      <c r="H119" s="4"/>
      <c r="I119" s="19"/>
      <c r="J119" s="4"/>
      <c r="K119" s="19"/>
      <c r="L119" s="4"/>
      <c r="M119" s="20">
        <v>0.9902777777777778</v>
      </c>
      <c r="N119" s="4"/>
      <c r="O119" s="65">
        <f>M119-D119</f>
        <v>0.5701388889</v>
      </c>
      <c r="P119" s="58">
        <v>0.375</v>
      </c>
      <c r="Q119" s="65">
        <f t="shared" si="16"/>
        <v>-0.1951388889</v>
      </c>
    </row>
    <row r="120">
      <c r="A120" s="22" t="s">
        <v>222</v>
      </c>
      <c r="B120" s="20">
        <v>0.4166666666666667</v>
      </c>
      <c r="C120" s="4"/>
      <c r="D120" s="20">
        <v>0.85625</v>
      </c>
      <c r="E120" s="3"/>
      <c r="F120" s="4"/>
      <c r="G120" s="19"/>
      <c r="H120" s="4"/>
      <c r="I120" s="19"/>
      <c r="J120" s="4"/>
      <c r="K120" s="19"/>
      <c r="L120" s="4"/>
      <c r="M120" s="19"/>
      <c r="N120" s="4"/>
      <c r="O120" s="65">
        <f>D120-B120</f>
        <v>0.4395833333</v>
      </c>
      <c r="P120" s="62">
        <v>0.0</v>
      </c>
      <c r="Q120" s="65">
        <f t="shared" si="16"/>
        <v>-0.4395833333</v>
      </c>
    </row>
    <row r="121">
      <c r="A121" s="22" t="s">
        <v>223</v>
      </c>
      <c r="B121" s="19"/>
      <c r="C121" s="4"/>
      <c r="D121" s="19"/>
      <c r="E121" s="3"/>
      <c r="F121" s="4"/>
      <c r="G121" s="19"/>
      <c r="H121" s="4"/>
      <c r="I121" s="19"/>
      <c r="J121" s="4"/>
      <c r="K121" s="19"/>
      <c r="L121" s="4"/>
      <c r="M121" s="19"/>
      <c r="N121" s="4"/>
      <c r="O121" s="65"/>
      <c r="P121" s="57"/>
      <c r="Q121" s="65"/>
    </row>
    <row r="122">
      <c r="A122" s="18" t="s">
        <v>224</v>
      </c>
      <c r="B122" s="20">
        <v>0.3090277777777778</v>
      </c>
      <c r="C122" s="4"/>
      <c r="D122" s="19"/>
      <c r="E122" s="3"/>
      <c r="F122" s="4"/>
      <c r="G122" s="19"/>
      <c r="H122" s="4"/>
      <c r="I122" s="19"/>
      <c r="J122" s="4"/>
      <c r="K122" s="19"/>
      <c r="L122" s="4"/>
      <c r="M122" s="20">
        <v>0.8541666666666666</v>
      </c>
      <c r="N122" s="4"/>
      <c r="O122" s="65">
        <f>M122-B122</f>
        <v>0.5451388889</v>
      </c>
      <c r="P122" s="58">
        <v>0.375</v>
      </c>
      <c r="Q122" s="65">
        <f t="shared" ref="Q122:Q125" si="17">P122-O122</f>
        <v>-0.1701388889</v>
      </c>
    </row>
    <row r="123">
      <c r="A123" s="18" t="s">
        <v>225</v>
      </c>
      <c r="B123" s="19"/>
      <c r="C123" s="4"/>
      <c r="D123" s="20">
        <v>0.4215277777777778</v>
      </c>
      <c r="E123" s="3"/>
      <c r="F123" s="4"/>
      <c r="G123" s="19"/>
      <c r="H123" s="4"/>
      <c r="I123" s="19"/>
      <c r="J123" s="4"/>
      <c r="K123" s="20">
        <v>0.7784722222222222</v>
      </c>
      <c r="L123" s="4"/>
      <c r="M123" s="19"/>
      <c r="N123" s="4"/>
      <c r="O123" s="65">
        <f>K123-D123</f>
        <v>0.3569444444</v>
      </c>
      <c r="P123" s="58">
        <v>0.375</v>
      </c>
      <c r="Q123" s="65">
        <f t="shared" si="17"/>
        <v>0.01805555556</v>
      </c>
    </row>
    <row r="124">
      <c r="A124" s="18" t="s">
        <v>226</v>
      </c>
      <c r="B124" s="19"/>
      <c r="C124" s="4"/>
      <c r="D124" s="20">
        <v>0.4173611111111111</v>
      </c>
      <c r="E124" s="3"/>
      <c r="F124" s="4"/>
      <c r="G124" s="19"/>
      <c r="H124" s="4"/>
      <c r="I124" s="19"/>
      <c r="J124" s="4"/>
      <c r="K124" s="19"/>
      <c r="L124" s="4"/>
      <c r="M124" s="20">
        <v>0.9270833333333334</v>
      </c>
      <c r="N124" s="4"/>
      <c r="O124" s="65">
        <f>M124-D124</f>
        <v>0.5097222222</v>
      </c>
      <c r="P124" s="58">
        <v>0.375</v>
      </c>
      <c r="Q124" s="65">
        <f t="shared" si="17"/>
        <v>-0.1347222222</v>
      </c>
    </row>
    <row r="125">
      <c r="A125" s="18" t="s">
        <v>227</v>
      </c>
      <c r="B125" s="20">
        <v>0.4111111111111111</v>
      </c>
      <c r="C125" s="4"/>
      <c r="D125" s="19"/>
      <c r="E125" s="3"/>
      <c r="F125" s="4"/>
      <c r="G125" s="19"/>
      <c r="H125" s="4"/>
      <c r="I125" s="19"/>
      <c r="J125" s="4"/>
      <c r="K125" s="19"/>
      <c r="L125" s="4"/>
      <c r="M125" s="20">
        <v>0.7916666666666666</v>
      </c>
      <c r="N125" s="4"/>
      <c r="O125" s="65">
        <f>M125-B125</f>
        <v>0.3805555556</v>
      </c>
      <c r="P125" s="58">
        <v>0.375</v>
      </c>
      <c r="Q125" s="65">
        <f t="shared" si="17"/>
        <v>-0.005555555556</v>
      </c>
    </row>
    <row r="126">
      <c r="O126" s="65"/>
      <c r="P126" s="57"/>
      <c r="Q126" s="66">
        <f>Q112+Q113+Q115+Q117+Q119+Q120+Q122+Q124</f>
        <v>-1.597916667</v>
      </c>
    </row>
    <row r="127">
      <c r="O127" s="65"/>
      <c r="P127" s="57"/>
      <c r="Q127" s="65"/>
    </row>
    <row r="128">
      <c r="A128" s="1" t="s">
        <v>0</v>
      </c>
      <c r="B128" s="2" t="s">
        <v>1</v>
      </c>
      <c r="C128" s="3"/>
      <c r="D128" s="3"/>
      <c r="E128" s="3"/>
      <c r="F128" s="3"/>
      <c r="G128" s="3"/>
      <c r="H128" s="4"/>
      <c r="I128" s="1" t="s">
        <v>2</v>
      </c>
      <c r="J128" s="10" t="s">
        <v>38</v>
      </c>
      <c r="K128" s="3"/>
      <c r="L128" s="3"/>
      <c r="M128" s="3"/>
      <c r="N128" s="4"/>
      <c r="O128" s="65"/>
      <c r="P128" s="57"/>
      <c r="Q128" s="65"/>
    </row>
    <row r="129">
      <c r="A129" s="11" t="s">
        <v>7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4"/>
      <c r="O129" s="65"/>
      <c r="P129" s="57"/>
      <c r="Q129" s="65"/>
    </row>
    <row r="130">
      <c r="A130" s="15" t="s">
        <v>11</v>
      </c>
      <c r="B130" s="2" t="s">
        <v>12</v>
      </c>
      <c r="C130" s="3"/>
      <c r="D130" s="3"/>
      <c r="E130" s="3"/>
      <c r="F130" s="4"/>
      <c r="G130" s="2" t="s">
        <v>13</v>
      </c>
      <c r="H130" s="3"/>
      <c r="I130" s="3"/>
      <c r="J130" s="3"/>
      <c r="K130" s="10" t="s">
        <v>14</v>
      </c>
      <c r="L130" s="3"/>
      <c r="M130" s="3"/>
      <c r="N130" s="4"/>
      <c r="O130" s="65"/>
      <c r="P130" s="57"/>
      <c r="Q130" s="65"/>
    </row>
    <row r="131">
      <c r="A131" s="16"/>
      <c r="B131" s="17" t="s">
        <v>15</v>
      </c>
      <c r="C131" s="4"/>
      <c r="D131" s="17" t="s">
        <v>16</v>
      </c>
      <c r="E131" s="3"/>
      <c r="F131" s="4"/>
      <c r="G131" s="17" t="s">
        <v>15</v>
      </c>
      <c r="H131" s="4"/>
      <c r="I131" s="17" t="s">
        <v>16</v>
      </c>
      <c r="J131" s="4"/>
      <c r="K131" s="17" t="s">
        <v>15</v>
      </c>
      <c r="L131" s="4"/>
      <c r="M131" s="17" t="s">
        <v>16</v>
      </c>
      <c r="N131" s="4"/>
      <c r="O131" s="12" t="s">
        <v>8</v>
      </c>
      <c r="P131" s="13" t="s">
        <v>9</v>
      </c>
      <c r="Q131" s="14" t="s">
        <v>10</v>
      </c>
    </row>
    <row r="132">
      <c r="A132" s="18" t="s">
        <v>214</v>
      </c>
      <c r="B132" s="20">
        <v>0.2076388888888889</v>
      </c>
      <c r="C132" s="4"/>
      <c r="D132" s="19"/>
      <c r="E132" s="3"/>
      <c r="F132" s="4"/>
      <c r="G132" s="20">
        <v>0.6208333333333333</v>
      </c>
      <c r="H132" s="4"/>
      <c r="I132" s="19"/>
      <c r="J132" s="4"/>
      <c r="K132" s="19"/>
      <c r="L132" s="4"/>
      <c r="M132" s="19"/>
      <c r="N132" s="4"/>
      <c r="O132" s="65">
        <f>G132-B132</f>
        <v>0.4131944444</v>
      </c>
      <c r="P132" s="58">
        <v>0.3541666666666667</v>
      </c>
      <c r="Q132" s="65">
        <f t="shared" ref="Q132:Q133" si="18">P132-O132</f>
        <v>-0.05902777778</v>
      </c>
    </row>
    <row r="133">
      <c r="A133" s="22" t="s">
        <v>215</v>
      </c>
      <c r="B133" s="20">
        <v>0.20416666666666666</v>
      </c>
      <c r="C133" s="4"/>
      <c r="D133" s="20">
        <v>0.6090277777777777</v>
      </c>
      <c r="E133" s="3"/>
      <c r="F133" s="4"/>
      <c r="G133" s="19"/>
      <c r="H133" s="4"/>
      <c r="I133" s="19"/>
      <c r="J133" s="4"/>
      <c r="K133" s="19"/>
      <c r="L133" s="4"/>
      <c r="M133" s="19"/>
      <c r="N133" s="4"/>
      <c r="O133" s="65">
        <f>D133-B133</f>
        <v>0.4048611111</v>
      </c>
      <c r="P133" s="58">
        <v>0.3541666666666667</v>
      </c>
      <c r="Q133" s="65">
        <f t="shared" si="18"/>
        <v>-0.05069444444</v>
      </c>
    </row>
    <row r="134">
      <c r="A134" s="22" t="s">
        <v>216</v>
      </c>
      <c r="B134" s="19"/>
      <c r="C134" s="4"/>
      <c r="D134" s="19"/>
      <c r="E134" s="3"/>
      <c r="F134" s="4"/>
      <c r="G134" s="19"/>
      <c r="H134" s="4"/>
      <c r="I134" s="19"/>
      <c r="J134" s="4"/>
      <c r="K134" s="19"/>
      <c r="L134" s="4"/>
      <c r="M134" s="19"/>
      <c r="N134" s="4"/>
      <c r="O134" s="65"/>
      <c r="P134" s="57"/>
      <c r="Q134" s="65"/>
    </row>
    <row r="135">
      <c r="A135" s="18" t="s">
        <v>217</v>
      </c>
      <c r="B135" s="20">
        <v>0.20347222222222222</v>
      </c>
      <c r="C135" s="4"/>
      <c r="D135" s="19"/>
      <c r="E135" s="3"/>
      <c r="F135" s="4"/>
      <c r="G135" s="20">
        <v>0.6548611111111111</v>
      </c>
      <c r="H135" s="4"/>
      <c r="I135" s="19"/>
      <c r="J135" s="4"/>
      <c r="K135" s="19"/>
      <c r="L135" s="4"/>
      <c r="M135" s="19"/>
      <c r="N135" s="4"/>
      <c r="O135" s="65">
        <f>G135-B135</f>
        <v>0.4513888889</v>
      </c>
      <c r="P135" s="58">
        <v>0.3541666666666667</v>
      </c>
      <c r="Q135" s="65">
        <f>P135-O135</f>
        <v>-0.09722222222</v>
      </c>
    </row>
    <row r="136">
      <c r="A136" s="18" t="s">
        <v>218</v>
      </c>
      <c r="B136" s="23"/>
      <c r="C136" s="4"/>
      <c r="D136" s="24"/>
      <c r="E136" s="3"/>
      <c r="F136" s="3"/>
      <c r="G136" s="25"/>
      <c r="H136" s="3"/>
      <c r="I136" s="26"/>
      <c r="J136" s="3"/>
      <c r="K136" s="24"/>
      <c r="L136" s="3"/>
      <c r="M136" s="24"/>
      <c r="N136" s="4"/>
      <c r="O136" s="65"/>
      <c r="P136" s="57"/>
      <c r="Q136" s="65"/>
    </row>
    <row r="137">
      <c r="A137" s="18" t="s">
        <v>219</v>
      </c>
      <c r="B137" s="20">
        <v>0.20069444444444445</v>
      </c>
      <c r="C137" s="4"/>
      <c r="D137" s="19"/>
      <c r="E137" s="3"/>
      <c r="F137" s="4"/>
      <c r="G137" s="20">
        <v>0.5756944444444444</v>
      </c>
      <c r="H137" s="4"/>
      <c r="I137" s="19"/>
      <c r="J137" s="4"/>
      <c r="K137" s="19"/>
      <c r="L137" s="4"/>
      <c r="M137" s="19"/>
      <c r="N137" s="4"/>
      <c r="O137" s="65">
        <f t="shared" ref="O137:O139" si="19">G137-B137</f>
        <v>0.375</v>
      </c>
      <c r="P137" s="58">
        <v>0.3541666666666667</v>
      </c>
      <c r="Q137" s="65">
        <f t="shared" ref="Q137:Q140" si="20">P137-O137</f>
        <v>-0.02083333333</v>
      </c>
    </row>
    <row r="138">
      <c r="A138" s="18" t="s">
        <v>220</v>
      </c>
      <c r="B138" s="20">
        <v>0.2013888888888889</v>
      </c>
      <c r="C138" s="4"/>
      <c r="D138" s="19"/>
      <c r="E138" s="3"/>
      <c r="F138" s="4"/>
      <c r="G138" s="20">
        <v>0.625</v>
      </c>
      <c r="H138" s="4"/>
      <c r="I138" s="19"/>
      <c r="J138" s="4"/>
      <c r="K138" s="19"/>
      <c r="L138" s="4"/>
      <c r="M138" s="19"/>
      <c r="N138" s="4"/>
      <c r="O138" s="65">
        <f t="shared" si="19"/>
        <v>0.4236111111</v>
      </c>
      <c r="P138" s="58">
        <v>0.3541666666666667</v>
      </c>
      <c r="Q138" s="65">
        <f t="shared" si="20"/>
        <v>-0.06944444444</v>
      </c>
    </row>
    <row r="139">
      <c r="A139" s="18" t="s">
        <v>221</v>
      </c>
      <c r="B139" s="20">
        <v>0.20555555555555555</v>
      </c>
      <c r="C139" s="4"/>
      <c r="D139" s="19"/>
      <c r="E139" s="3"/>
      <c r="F139" s="4"/>
      <c r="G139" s="20">
        <v>0.5916666666666667</v>
      </c>
      <c r="H139" s="4"/>
      <c r="I139" s="19"/>
      <c r="J139" s="4"/>
      <c r="K139" s="19"/>
      <c r="L139" s="4"/>
      <c r="M139" s="19"/>
      <c r="N139" s="4"/>
      <c r="O139" s="65">
        <f t="shared" si="19"/>
        <v>0.3861111111</v>
      </c>
      <c r="P139" s="58">
        <v>0.3541666666666667</v>
      </c>
      <c r="Q139" s="65">
        <f t="shared" si="20"/>
        <v>-0.03194444444</v>
      </c>
    </row>
    <row r="140">
      <c r="A140" s="22" t="s">
        <v>222</v>
      </c>
      <c r="B140" s="20">
        <v>0.2076388888888889</v>
      </c>
      <c r="C140" s="4"/>
      <c r="D140" s="20">
        <v>0.59375</v>
      </c>
      <c r="E140" s="3"/>
      <c r="F140" s="4"/>
      <c r="G140" s="19"/>
      <c r="H140" s="4"/>
      <c r="I140" s="19"/>
      <c r="J140" s="4"/>
      <c r="K140" s="19"/>
      <c r="L140" s="4"/>
      <c r="M140" s="19"/>
      <c r="N140" s="4"/>
      <c r="O140" s="65">
        <f>D140-B140</f>
        <v>0.3861111111</v>
      </c>
      <c r="P140" s="58">
        <v>0.3541666666666667</v>
      </c>
      <c r="Q140" s="65">
        <f t="shared" si="20"/>
        <v>-0.03194444444</v>
      </c>
    </row>
    <row r="141">
      <c r="A141" s="22" t="s">
        <v>223</v>
      </c>
      <c r="B141" s="19"/>
      <c r="C141" s="4"/>
      <c r="D141" s="19"/>
      <c r="E141" s="3"/>
      <c r="F141" s="4"/>
      <c r="G141" s="19"/>
      <c r="H141" s="4"/>
      <c r="I141" s="19"/>
      <c r="J141" s="4"/>
      <c r="K141" s="19"/>
      <c r="L141" s="4"/>
      <c r="M141" s="19"/>
      <c r="N141" s="4"/>
      <c r="O141" s="65"/>
      <c r="P141" s="57"/>
      <c r="Q141" s="65"/>
    </row>
    <row r="142">
      <c r="A142" s="18" t="s">
        <v>224</v>
      </c>
      <c r="B142" s="20">
        <v>0.20347222222222222</v>
      </c>
      <c r="C142" s="4"/>
      <c r="D142" s="19"/>
      <c r="E142" s="3"/>
      <c r="F142" s="4"/>
      <c r="G142" s="20">
        <v>0.6291666666666667</v>
      </c>
      <c r="H142" s="4"/>
      <c r="I142" s="19"/>
      <c r="J142" s="4"/>
      <c r="K142" s="19"/>
      <c r="L142" s="4"/>
      <c r="M142" s="19"/>
      <c r="N142" s="4"/>
      <c r="O142" s="65">
        <f>G142-B142</f>
        <v>0.4256944444</v>
      </c>
      <c r="P142" s="58">
        <v>0.3541666666666667</v>
      </c>
      <c r="Q142" s="65">
        <f>P142-O142</f>
        <v>-0.07152777778</v>
      </c>
    </row>
    <row r="143">
      <c r="A143" s="18" t="s">
        <v>225</v>
      </c>
      <c r="B143" s="23"/>
      <c r="C143" s="4"/>
      <c r="D143" s="24"/>
      <c r="E143" s="3"/>
      <c r="F143" s="3"/>
      <c r="G143" s="25"/>
      <c r="H143" s="3"/>
      <c r="I143" s="26"/>
      <c r="J143" s="3"/>
      <c r="K143" s="24"/>
      <c r="L143" s="3"/>
      <c r="M143" s="24"/>
      <c r="N143" s="4"/>
      <c r="O143" s="65"/>
      <c r="P143" s="57"/>
      <c r="Q143" s="65"/>
    </row>
    <row r="144">
      <c r="A144" s="18" t="s">
        <v>226</v>
      </c>
      <c r="B144" s="20">
        <v>0.20416666666666666</v>
      </c>
      <c r="C144" s="4"/>
      <c r="D144" s="19"/>
      <c r="E144" s="3"/>
      <c r="F144" s="4"/>
      <c r="G144" s="20">
        <v>0.5743055555555555</v>
      </c>
      <c r="H144" s="4"/>
      <c r="I144" s="19"/>
      <c r="J144" s="4"/>
      <c r="K144" s="19"/>
      <c r="L144" s="4"/>
      <c r="M144" s="19"/>
      <c r="N144" s="4"/>
      <c r="O144" s="65">
        <f t="shared" ref="O144:O145" si="21">G144-B144</f>
        <v>0.3701388889</v>
      </c>
      <c r="P144" s="58">
        <v>0.3541666666666667</v>
      </c>
      <c r="Q144" s="65">
        <f t="shared" ref="Q144:Q145" si="22">P144-O144</f>
        <v>-0.01597222222</v>
      </c>
    </row>
    <row r="145">
      <c r="A145" s="18" t="s">
        <v>227</v>
      </c>
      <c r="B145" s="20">
        <v>0.19791666666666666</v>
      </c>
      <c r="C145" s="4"/>
      <c r="D145" s="19"/>
      <c r="E145" s="3"/>
      <c r="F145" s="4"/>
      <c r="G145" s="20">
        <v>0.56875</v>
      </c>
      <c r="H145" s="4"/>
      <c r="I145" s="19"/>
      <c r="J145" s="4"/>
      <c r="K145" s="19"/>
      <c r="L145" s="4"/>
      <c r="M145" s="19"/>
      <c r="N145" s="4"/>
      <c r="O145" s="65">
        <f t="shared" si="21"/>
        <v>0.3708333333</v>
      </c>
      <c r="P145" s="58">
        <v>0.3541666666666667</v>
      </c>
      <c r="Q145" s="65">
        <f t="shared" si="22"/>
        <v>-0.01666666667</v>
      </c>
    </row>
    <row r="146">
      <c r="O146" s="65"/>
      <c r="P146" s="57"/>
      <c r="Q146" s="66">
        <f>Q132+Q133+Q135+Q138+Q142</f>
        <v>-0.3479166667</v>
      </c>
    </row>
    <row r="147">
      <c r="O147" s="65"/>
      <c r="P147" s="57"/>
      <c r="Q147" s="65"/>
    </row>
    <row r="148">
      <c r="A148" s="1" t="s">
        <v>0</v>
      </c>
      <c r="B148" s="2" t="s">
        <v>1</v>
      </c>
      <c r="C148" s="3"/>
      <c r="D148" s="3"/>
      <c r="E148" s="3"/>
      <c r="F148" s="3"/>
      <c r="G148" s="3"/>
      <c r="H148" s="4"/>
      <c r="I148" s="1" t="s">
        <v>2</v>
      </c>
      <c r="J148" s="10" t="s">
        <v>39</v>
      </c>
      <c r="K148" s="3"/>
      <c r="L148" s="3"/>
      <c r="M148" s="3"/>
      <c r="N148" s="4"/>
      <c r="O148" s="65"/>
      <c r="P148" s="57"/>
      <c r="Q148" s="65"/>
    </row>
    <row r="149">
      <c r="A149" s="1" t="s">
        <v>4</v>
      </c>
      <c r="B149" s="9" t="s">
        <v>213</v>
      </c>
      <c r="C149" s="3"/>
      <c r="D149" s="3"/>
      <c r="E149" s="3"/>
      <c r="F149" s="3"/>
      <c r="G149" s="3"/>
      <c r="H149" s="4"/>
      <c r="I149" s="1" t="s">
        <v>6</v>
      </c>
      <c r="J149" s="10">
        <v>12.0</v>
      </c>
      <c r="K149" s="3"/>
      <c r="L149" s="3"/>
      <c r="M149" s="3"/>
      <c r="N149" s="4"/>
      <c r="O149" s="65"/>
      <c r="P149" s="57"/>
      <c r="Q149" s="65"/>
    </row>
    <row r="150">
      <c r="A150" s="11" t="s">
        <v>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4"/>
      <c r="O150" s="65"/>
      <c r="P150" s="57"/>
      <c r="Q150" s="65"/>
    </row>
    <row r="151">
      <c r="A151" s="15" t="s">
        <v>11</v>
      </c>
      <c r="B151" s="2" t="s">
        <v>12</v>
      </c>
      <c r="C151" s="3"/>
      <c r="D151" s="3"/>
      <c r="E151" s="3"/>
      <c r="F151" s="4"/>
      <c r="G151" s="2" t="s">
        <v>13</v>
      </c>
      <c r="H151" s="3"/>
      <c r="I151" s="3"/>
      <c r="J151" s="3"/>
      <c r="K151" s="10" t="s">
        <v>14</v>
      </c>
      <c r="L151" s="3"/>
      <c r="M151" s="3"/>
      <c r="N151" s="4"/>
    </row>
    <row r="152">
      <c r="A152" s="16"/>
      <c r="B152" s="17" t="s">
        <v>15</v>
      </c>
      <c r="C152" s="4"/>
      <c r="D152" s="17" t="s">
        <v>16</v>
      </c>
      <c r="E152" s="3"/>
      <c r="F152" s="4"/>
      <c r="G152" s="17" t="s">
        <v>15</v>
      </c>
      <c r="H152" s="4"/>
      <c r="I152" s="17" t="s">
        <v>16</v>
      </c>
      <c r="J152" s="4"/>
      <c r="K152" s="17" t="s">
        <v>15</v>
      </c>
      <c r="L152" s="4"/>
      <c r="M152" s="17" t="s">
        <v>16</v>
      </c>
      <c r="N152" s="4"/>
      <c r="O152" s="12" t="s">
        <v>8</v>
      </c>
      <c r="P152" s="13" t="s">
        <v>9</v>
      </c>
      <c r="Q152" s="14" t="s">
        <v>10</v>
      </c>
    </row>
    <row r="153">
      <c r="A153" s="18" t="s">
        <v>214</v>
      </c>
      <c r="B153" s="19"/>
      <c r="C153" s="4"/>
      <c r="D153" s="20">
        <v>0.45694444444444443</v>
      </c>
      <c r="E153" s="3"/>
      <c r="F153" s="4"/>
      <c r="G153" s="19"/>
      <c r="H153" s="4"/>
      <c r="I153" s="19"/>
      <c r="J153" s="4"/>
      <c r="K153" s="20">
        <v>0.825</v>
      </c>
      <c r="L153" s="4"/>
      <c r="M153" s="19"/>
      <c r="N153" s="4"/>
      <c r="O153" s="65">
        <f>K153-D153</f>
        <v>0.3680555556</v>
      </c>
      <c r="P153" s="58">
        <v>0.3541666666666667</v>
      </c>
      <c r="Q153" s="65">
        <f>P153-O153</f>
        <v>-0.01388888889</v>
      </c>
    </row>
    <row r="154">
      <c r="A154" s="22" t="s">
        <v>215</v>
      </c>
      <c r="B154" s="19"/>
      <c r="C154" s="4"/>
      <c r="D154" s="19"/>
      <c r="E154" s="3"/>
      <c r="F154" s="4"/>
      <c r="G154" s="19"/>
      <c r="H154" s="4"/>
      <c r="I154" s="19"/>
      <c r="J154" s="4"/>
      <c r="K154" s="19"/>
      <c r="L154" s="4"/>
      <c r="M154" s="19"/>
      <c r="N154" s="4"/>
      <c r="O154" s="65"/>
      <c r="P154" s="57"/>
      <c r="Q154" s="65"/>
    </row>
    <row r="155">
      <c r="A155" s="22" t="s">
        <v>216</v>
      </c>
      <c r="B155" s="19"/>
      <c r="C155" s="4"/>
      <c r="D155" s="19"/>
      <c r="E155" s="3"/>
      <c r="F155" s="4"/>
      <c r="G155" s="19"/>
      <c r="H155" s="4"/>
      <c r="I155" s="19"/>
      <c r="J155" s="4"/>
      <c r="K155" s="19"/>
      <c r="L155" s="4"/>
      <c r="M155" s="19"/>
      <c r="N155" s="4"/>
      <c r="O155" s="65"/>
      <c r="P155" s="57"/>
      <c r="Q155" s="65"/>
    </row>
    <row r="156">
      <c r="A156" s="18" t="s">
        <v>217</v>
      </c>
      <c r="B156" s="20">
        <v>0.38055555555555554</v>
      </c>
      <c r="C156" s="4"/>
      <c r="D156" s="19"/>
      <c r="E156" s="3"/>
      <c r="F156" s="4"/>
      <c r="G156" s="19"/>
      <c r="H156" s="4"/>
      <c r="I156" s="19"/>
      <c r="J156" s="4"/>
      <c r="K156" s="20">
        <v>0.8020833333333334</v>
      </c>
      <c r="L156" s="4"/>
      <c r="M156" s="19"/>
      <c r="N156" s="4"/>
      <c r="O156" s="65">
        <f>K156-B156</f>
        <v>0.4215277778</v>
      </c>
      <c r="P156" s="58">
        <v>0.3541666666666667</v>
      </c>
      <c r="Q156" s="65">
        <f t="shared" ref="Q156:Q160" si="23">P156-O156</f>
        <v>-0.06736111111</v>
      </c>
    </row>
    <row r="157">
      <c r="A157" s="18" t="s">
        <v>218</v>
      </c>
      <c r="B157" s="20">
        <v>0.20833333333333334</v>
      </c>
      <c r="C157" s="4"/>
      <c r="D157" s="19"/>
      <c r="E157" s="3"/>
      <c r="F157" s="4"/>
      <c r="G157" s="20">
        <v>0.5993055555555555</v>
      </c>
      <c r="H157" s="4"/>
      <c r="I157" s="19"/>
      <c r="J157" s="4"/>
      <c r="K157" s="19"/>
      <c r="L157" s="4"/>
      <c r="M157" s="19"/>
      <c r="N157" s="4"/>
      <c r="O157" s="65">
        <f>G157-B157</f>
        <v>0.3909722222</v>
      </c>
      <c r="P157" s="58">
        <v>0.3541666666666667</v>
      </c>
      <c r="Q157" s="65">
        <f t="shared" si="23"/>
        <v>-0.03680555556</v>
      </c>
    </row>
    <row r="158">
      <c r="A158" s="18" t="s">
        <v>219</v>
      </c>
      <c r="B158" s="19"/>
      <c r="C158" s="4"/>
      <c r="D158" s="20">
        <v>0.45625</v>
      </c>
      <c r="E158" s="3"/>
      <c r="F158" s="4"/>
      <c r="G158" s="19"/>
      <c r="H158" s="4"/>
      <c r="I158" s="19"/>
      <c r="J158" s="4"/>
      <c r="K158" s="19"/>
      <c r="L158" s="4"/>
      <c r="M158" s="20">
        <v>0.8388888888888889</v>
      </c>
      <c r="N158" s="4"/>
      <c r="O158" s="65">
        <f>M158-D158</f>
        <v>0.3826388889</v>
      </c>
      <c r="P158" s="58">
        <v>0.3541666666666667</v>
      </c>
      <c r="Q158" s="65">
        <f t="shared" si="23"/>
        <v>-0.02847222222</v>
      </c>
    </row>
    <row r="159">
      <c r="A159" s="18" t="s">
        <v>220</v>
      </c>
      <c r="B159" s="20">
        <v>0.36944444444444446</v>
      </c>
      <c r="C159" s="4"/>
      <c r="D159" s="19"/>
      <c r="E159" s="3"/>
      <c r="F159" s="4"/>
      <c r="G159" s="19"/>
      <c r="H159" s="4"/>
      <c r="I159" s="20">
        <v>0.6923611111111111</v>
      </c>
      <c r="J159" s="4"/>
      <c r="K159" s="19"/>
      <c r="L159" s="4"/>
      <c r="M159" s="19"/>
      <c r="N159" s="4"/>
      <c r="O159" s="65">
        <f>I159-B159</f>
        <v>0.3229166667</v>
      </c>
      <c r="P159" s="58">
        <v>0.3541666666666667</v>
      </c>
      <c r="Q159" s="65">
        <f t="shared" si="23"/>
        <v>0.03125</v>
      </c>
    </row>
    <row r="160">
      <c r="A160" s="18" t="s">
        <v>221</v>
      </c>
      <c r="B160" s="19"/>
      <c r="C160" s="4"/>
      <c r="D160" s="20">
        <v>0.4423611111111111</v>
      </c>
      <c r="E160" s="3"/>
      <c r="F160" s="4"/>
      <c r="G160" s="19"/>
      <c r="H160" s="4"/>
      <c r="I160" s="19"/>
      <c r="J160" s="4"/>
      <c r="K160" s="20">
        <v>0.80625</v>
      </c>
      <c r="L160" s="4"/>
      <c r="M160" s="19"/>
      <c r="N160" s="4"/>
      <c r="O160" s="65">
        <f>K160-D160</f>
        <v>0.3638888889</v>
      </c>
      <c r="P160" s="58">
        <v>0.3541666666666667</v>
      </c>
      <c r="Q160" s="65">
        <f t="shared" si="23"/>
        <v>-0.009722222222</v>
      </c>
    </row>
    <row r="161">
      <c r="A161" s="22" t="s">
        <v>222</v>
      </c>
      <c r="B161" s="19"/>
      <c r="C161" s="4"/>
      <c r="D161" s="19"/>
      <c r="E161" s="3"/>
      <c r="F161" s="4"/>
      <c r="G161" s="19"/>
      <c r="H161" s="4"/>
      <c r="I161" s="19"/>
      <c r="J161" s="4"/>
      <c r="K161" s="19"/>
      <c r="L161" s="4"/>
      <c r="M161" s="19"/>
      <c r="N161" s="4"/>
      <c r="O161" s="65"/>
      <c r="P161" s="57"/>
      <c r="Q161" s="65"/>
    </row>
    <row r="162">
      <c r="A162" s="22" t="s">
        <v>223</v>
      </c>
      <c r="B162" s="19"/>
      <c r="C162" s="4"/>
      <c r="D162" s="19"/>
      <c r="E162" s="3"/>
      <c r="F162" s="4"/>
      <c r="G162" s="19"/>
      <c r="H162" s="4"/>
      <c r="I162" s="19"/>
      <c r="J162" s="4"/>
      <c r="K162" s="19"/>
      <c r="L162" s="4"/>
      <c r="M162" s="19"/>
      <c r="N162" s="4"/>
      <c r="O162" s="65"/>
      <c r="P162" s="57"/>
      <c r="Q162" s="65"/>
    </row>
    <row r="163">
      <c r="A163" s="18" t="s">
        <v>224</v>
      </c>
      <c r="B163" s="19"/>
      <c r="C163" s="4"/>
      <c r="D163" s="20">
        <v>0.4548611111111111</v>
      </c>
      <c r="E163" s="3"/>
      <c r="F163" s="4"/>
      <c r="G163" s="19"/>
      <c r="H163" s="4"/>
      <c r="I163" s="19"/>
      <c r="J163" s="4"/>
      <c r="K163" s="20">
        <v>0.8215277777777777</v>
      </c>
      <c r="L163" s="4"/>
      <c r="M163" s="19"/>
      <c r="N163" s="4"/>
      <c r="O163" s="65">
        <f>K163-D163</f>
        <v>0.3666666667</v>
      </c>
      <c r="P163" s="58">
        <v>0.3541666666666667</v>
      </c>
      <c r="Q163" s="65">
        <f t="shared" ref="Q163:Q166" si="24">P163-O163</f>
        <v>-0.0125</v>
      </c>
    </row>
    <row r="164">
      <c r="A164" s="18" t="s">
        <v>225</v>
      </c>
      <c r="B164" s="20">
        <v>0.21041666666666667</v>
      </c>
      <c r="C164" s="4"/>
      <c r="D164" s="19"/>
      <c r="E164" s="3"/>
      <c r="F164" s="4"/>
      <c r="G164" s="20">
        <v>0.5645833333333333</v>
      </c>
      <c r="H164" s="4"/>
      <c r="I164" s="19"/>
      <c r="J164" s="4"/>
      <c r="K164" s="19"/>
      <c r="L164" s="4"/>
      <c r="M164" s="19"/>
      <c r="N164" s="4"/>
      <c r="O164" s="65">
        <f>G164-B164</f>
        <v>0.3541666667</v>
      </c>
      <c r="P164" s="58">
        <v>0.3541666666666667</v>
      </c>
      <c r="Q164" s="65">
        <f t="shared" si="24"/>
        <v>0</v>
      </c>
    </row>
    <row r="165">
      <c r="A165" s="18" t="s">
        <v>226</v>
      </c>
      <c r="B165" s="19"/>
      <c r="C165" s="4"/>
      <c r="D165" s="20">
        <v>0.45208333333333334</v>
      </c>
      <c r="E165" s="3"/>
      <c r="F165" s="4"/>
      <c r="G165" s="19"/>
      <c r="H165" s="4"/>
      <c r="I165" s="19"/>
      <c r="J165" s="4"/>
      <c r="K165" s="19"/>
      <c r="L165" s="4"/>
      <c r="M165" s="20">
        <v>0.8472222222222222</v>
      </c>
      <c r="N165" s="4"/>
      <c r="O165" s="65">
        <f>M165-D165</f>
        <v>0.3951388889</v>
      </c>
      <c r="P165" s="58">
        <v>0.3541666666666667</v>
      </c>
      <c r="Q165" s="65">
        <f t="shared" si="24"/>
        <v>-0.04097222222</v>
      </c>
    </row>
    <row r="166">
      <c r="A166" s="18" t="s">
        <v>227</v>
      </c>
      <c r="B166" s="20">
        <v>0.36527777777777776</v>
      </c>
      <c r="C166" s="4"/>
      <c r="D166" s="19"/>
      <c r="E166" s="3"/>
      <c r="F166" s="4"/>
      <c r="G166" s="19"/>
      <c r="H166" s="4"/>
      <c r="I166" s="19"/>
      <c r="J166" s="4"/>
      <c r="K166" s="19"/>
      <c r="L166" s="4"/>
      <c r="M166" s="20">
        <v>0.7916666666666666</v>
      </c>
      <c r="N166" s="4"/>
      <c r="O166" s="65">
        <f>M166-B166</f>
        <v>0.4263888889</v>
      </c>
      <c r="P166" s="58">
        <v>0.3541666666666667</v>
      </c>
      <c r="Q166" s="65">
        <f t="shared" si="24"/>
        <v>-0.07222222222</v>
      </c>
    </row>
    <row r="167">
      <c r="O167" s="65"/>
      <c r="P167" s="57"/>
      <c r="Q167" s="66">
        <f>Q156+Q158+Q165+Q166</f>
        <v>-0.2090277778</v>
      </c>
    </row>
    <row r="168">
      <c r="O168" s="65"/>
      <c r="P168" s="57"/>
      <c r="Q168" s="65"/>
    </row>
    <row r="169">
      <c r="A169" s="1" t="s">
        <v>0</v>
      </c>
      <c r="B169" s="2" t="s">
        <v>1</v>
      </c>
      <c r="C169" s="3"/>
      <c r="D169" s="3"/>
      <c r="E169" s="3"/>
      <c r="F169" s="3"/>
      <c r="G169" s="3"/>
      <c r="H169" s="4"/>
      <c r="I169" s="1" t="s">
        <v>2</v>
      </c>
      <c r="J169" s="10" t="s">
        <v>40</v>
      </c>
      <c r="K169" s="3"/>
      <c r="L169" s="3"/>
      <c r="M169" s="3"/>
      <c r="N169" s="4"/>
      <c r="O169" s="65"/>
      <c r="P169" s="57"/>
      <c r="Q169" s="65"/>
    </row>
    <row r="170">
      <c r="A170" s="11" t="s">
        <v>7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4"/>
      <c r="O170" s="65"/>
      <c r="P170" s="57"/>
      <c r="Q170" s="65"/>
    </row>
    <row r="171">
      <c r="A171" s="15" t="s">
        <v>11</v>
      </c>
      <c r="B171" s="2" t="s">
        <v>12</v>
      </c>
      <c r="C171" s="3"/>
      <c r="D171" s="3"/>
      <c r="E171" s="3"/>
      <c r="F171" s="4"/>
      <c r="G171" s="2" t="s">
        <v>13</v>
      </c>
      <c r="H171" s="3"/>
      <c r="I171" s="3"/>
      <c r="J171" s="3"/>
      <c r="K171" s="10" t="s">
        <v>14</v>
      </c>
      <c r="L171" s="3"/>
      <c r="M171" s="3"/>
      <c r="N171" s="4"/>
      <c r="O171" s="65"/>
      <c r="P171" s="57"/>
      <c r="Q171" s="65"/>
    </row>
    <row r="172">
      <c r="A172" s="16"/>
      <c r="B172" s="17" t="s">
        <v>15</v>
      </c>
      <c r="C172" s="4"/>
      <c r="D172" s="17" t="s">
        <v>16</v>
      </c>
      <c r="E172" s="3"/>
      <c r="F172" s="4"/>
      <c r="G172" s="17" t="s">
        <v>15</v>
      </c>
      <c r="H172" s="4"/>
      <c r="I172" s="17" t="s">
        <v>16</v>
      </c>
      <c r="J172" s="4"/>
      <c r="K172" s="17" t="s">
        <v>15</v>
      </c>
      <c r="L172" s="4"/>
      <c r="M172" s="17" t="s">
        <v>16</v>
      </c>
      <c r="N172" s="4"/>
      <c r="O172" s="12" t="s">
        <v>8</v>
      </c>
      <c r="P172" s="13" t="s">
        <v>9</v>
      </c>
      <c r="Q172" s="14" t="s">
        <v>10</v>
      </c>
    </row>
    <row r="173">
      <c r="A173" s="18" t="s">
        <v>230</v>
      </c>
      <c r="B173" s="54">
        <v>0.47152777777777777</v>
      </c>
      <c r="C173" s="77"/>
      <c r="D173" s="77"/>
      <c r="E173" s="77"/>
      <c r="F173" s="77"/>
      <c r="G173" s="54"/>
      <c r="H173" s="54"/>
      <c r="I173" s="77"/>
      <c r="J173" s="77"/>
      <c r="K173" s="77"/>
      <c r="L173" s="77"/>
      <c r="M173" s="54">
        <v>0.8541666666666666</v>
      </c>
      <c r="N173" s="54"/>
      <c r="O173" s="65">
        <f>M173-B173</f>
        <v>0.3826388889</v>
      </c>
      <c r="P173" s="58">
        <v>0.3541666666666667</v>
      </c>
      <c r="Q173" s="65">
        <f t="shared" ref="Q173:Q175" si="25">P173-O173</f>
        <v>-0.02847222222</v>
      </c>
    </row>
    <row r="174">
      <c r="A174" s="18" t="s">
        <v>214</v>
      </c>
      <c r="B174" s="19"/>
      <c r="C174" s="4"/>
      <c r="D174" s="19"/>
      <c r="E174" s="3"/>
      <c r="F174" s="4"/>
      <c r="G174" s="20">
        <v>0.5493055555555556</v>
      </c>
      <c r="H174" s="4"/>
      <c r="I174" s="19"/>
      <c r="J174" s="4"/>
      <c r="K174" s="19"/>
      <c r="L174" s="4"/>
      <c r="M174" s="20">
        <v>0.8652777777777778</v>
      </c>
      <c r="N174" s="4"/>
      <c r="O174" s="65">
        <f>M174-G174</f>
        <v>0.3159722222</v>
      </c>
      <c r="P174" s="58">
        <v>0.3541666666666667</v>
      </c>
      <c r="Q174" s="65">
        <f t="shared" si="25"/>
        <v>0.03819444444</v>
      </c>
    </row>
    <row r="175">
      <c r="A175" s="22" t="s">
        <v>215</v>
      </c>
      <c r="B175" s="20">
        <v>0.3854166666666667</v>
      </c>
      <c r="C175" s="4"/>
      <c r="D175" s="20">
        <v>0.7965277777777777</v>
      </c>
      <c r="E175" s="3"/>
      <c r="F175" s="4"/>
      <c r="G175" s="19"/>
      <c r="H175" s="4"/>
      <c r="I175" s="19"/>
      <c r="J175" s="4"/>
      <c r="K175" s="19"/>
      <c r="L175" s="4"/>
      <c r="M175" s="19"/>
      <c r="N175" s="4"/>
      <c r="O175" s="65">
        <f>D175-B175</f>
        <v>0.4111111111</v>
      </c>
      <c r="P175" s="58">
        <v>0.3541666666666667</v>
      </c>
      <c r="Q175" s="65">
        <f t="shared" si="25"/>
        <v>-0.05694444444</v>
      </c>
    </row>
    <row r="176">
      <c r="A176" s="22" t="s">
        <v>216</v>
      </c>
      <c r="B176" s="19"/>
      <c r="C176" s="4"/>
      <c r="D176" s="19"/>
      <c r="E176" s="3"/>
      <c r="F176" s="4"/>
      <c r="G176" s="19"/>
      <c r="H176" s="4"/>
      <c r="I176" s="19"/>
      <c r="J176" s="4"/>
      <c r="K176" s="19"/>
      <c r="L176" s="4"/>
      <c r="M176" s="19"/>
      <c r="N176" s="4"/>
      <c r="O176" s="65"/>
      <c r="P176" s="57"/>
      <c r="Q176" s="65"/>
    </row>
    <row r="177">
      <c r="A177" s="18" t="s">
        <v>217</v>
      </c>
      <c r="B177" s="19"/>
      <c r="C177" s="4"/>
      <c r="D177" s="19"/>
      <c r="E177" s="3"/>
      <c r="F177" s="4"/>
      <c r="G177" s="20">
        <v>0.55</v>
      </c>
      <c r="H177" s="4"/>
      <c r="I177" s="19"/>
      <c r="J177" s="4"/>
      <c r="K177" s="19"/>
      <c r="L177" s="4"/>
      <c r="M177" s="20">
        <v>0.875</v>
      </c>
      <c r="N177" s="4"/>
      <c r="O177" s="65">
        <f>M177-G177</f>
        <v>0.325</v>
      </c>
      <c r="P177" s="58">
        <v>0.3541666666666667</v>
      </c>
      <c r="Q177" s="65">
        <f t="shared" ref="Q177:Q178" si="26">P177-O177</f>
        <v>0.02916666667</v>
      </c>
    </row>
    <row r="178">
      <c r="A178" s="18" t="s">
        <v>218</v>
      </c>
      <c r="B178" s="20">
        <v>0.38472222222222224</v>
      </c>
      <c r="C178" s="4"/>
      <c r="D178" s="19"/>
      <c r="E178" s="3"/>
      <c r="F178" s="4"/>
      <c r="G178" s="19"/>
      <c r="H178" s="4"/>
      <c r="I178" s="20">
        <v>0.7354166666666667</v>
      </c>
      <c r="J178" s="4"/>
      <c r="K178" s="19"/>
      <c r="L178" s="4"/>
      <c r="M178" s="19"/>
      <c r="N178" s="4"/>
      <c r="O178" s="65">
        <f>I178-B178</f>
        <v>0.3506944444</v>
      </c>
      <c r="P178" s="58">
        <v>0.3541666666666667</v>
      </c>
      <c r="Q178" s="65">
        <f t="shared" si="26"/>
        <v>0.003472222222</v>
      </c>
    </row>
    <row r="179">
      <c r="A179" s="18" t="s">
        <v>219</v>
      </c>
      <c r="B179" s="23"/>
      <c r="C179" s="4"/>
      <c r="D179" s="24"/>
      <c r="E179" s="3"/>
      <c r="F179" s="3"/>
      <c r="G179" s="25"/>
      <c r="H179" s="3"/>
      <c r="I179" s="26"/>
      <c r="J179" s="3"/>
      <c r="K179" s="24"/>
      <c r="L179" s="3"/>
      <c r="M179" s="24"/>
      <c r="N179" s="4"/>
      <c r="O179" s="65"/>
      <c r="P179" s="57"/>
      <c r="Q179" s="65"/>
    </row>
    <row r="180">
      <c r="A180" s="18" t="s">
        <v>220</v>
      </c>
      <c r="B180" s="20">
        <v>0.3770833333333333</v>
      </c>
      <c r="C180" s="4"/>
      <c r="D180" s="19"/>
      <c r="E180" s="3"/>
      <c r="F180" s="4"/>
      <c r="G180" s="19"/>
      <c r="H180" s="4"/>
      <c r="I180" s="20">
        <v>0.6923611111111111</v>
      </c>
      <c r="J180" s="4"/>
      <c r="K180" s="19"/>
      <c r="L180" s="4"/>
      <c r="M180" s="19"/>
      <c r="N180" s="4"/>
      <c r="O180" s="65">
        <f>I180-B180</f>
        <v>0.3152777778</v>
      </c>
      <c r="P180" s="58">
        <v>0.3541666666666667</v>
      </c>
      <c r="Q180" s="65">
        <f t="shared" ref="Q180:Q182" si="27">P180-O180</f>
        <v>0.03888888889</v>
      </c>
    </row>
    <row r="181">
      <c r="A181" s="18" t="s">
        <v>221</v>
      </c>
      <c r="B181" s="19"/>
      <c r="C181" s="4"/>
      <c r="D181" s="19"/>
      <c r="E181" s="3"/>
      <c r="F181" s="4"/>
      <c r="G181" s="20">
        <v>0.5493055555555556</v>
      </c>
      <c r="H181" s="4"/>
      <c r="I181" s="19"/>
      <c r="J181" s="4"/>
      <c r="K181" s="19"/>
      <c r="L181" s="4"/>
      <c r="M181" s="20">
        <v>0.9881944444444445</v>
      </c>
      <c r="N181" s="4"/>
      <c r="O181" s="65">
        <f>M181-G181</f>
        <v>0.4388888889</v>
      </c>
      <c r="P181" s="58">
        <v>0.3541666666666667</v>
      </c>
      <c r="Q181" s="65">
        <f t="shared" si="27"/>
        <v>-0.08472222222</v>
      </c>
    </row>
    <row r="182">
      <c r="A182" s="22" t="s">
        <v>222</v>
      </c>
      <c r="B182" s="20">
        <v>0.39166666666666666</v>
      </c>
      <c r="C182" s="4"/>
      <c r="D182" s="20">
        <v>0.7173611111111111</v>
      </c>
      <c r="E182" s="3"/>
      <c r="F182" s="4"/>
      <c r="G182" s="19"/>
      <c r="H182" s="4"/>
      <c r="I182" s="19"/>
      <c r="J182" s="4"/>
      <c r="K182" s="19"/>
      <c r="L182" s="4"/>
      <c r="M182" s="19"/>
      <c r="N182" s="4"/>
      <c r="O182" s="65">
        <f>D182-B182</f>
        <v>0.3256944444</v>
      </c>
      <c r="P182" s="58">
        <v>0.3541666666666667</v>
      </c>
      <c r="Q182" s="65">
        <f t="shared" si="27"/>
        <v>0.02847222222</v>
      </c>
    </row>
    <row r="183">
      <c r="A183" s="22" t="s">
        <v>223</v>
      </c>
      <c r="B183" s="19"/>
      <c r="C183" s="4"/>
      <c r="D183" s="19"/>
      <c r="E183" s="3"/>
      <c r="F183" s="4"/>
      <c r="G183" s="19"/>
      <c r="H183" s="4"/>
      <c r="I183" s="19"/>
      <c r="J183" s="4"/>
      <c r="K183" s="19"/>
      <c r="L183" s="4"/>
      <c r="M183" s="19"/>
      <c r="N183" s="4"/>
      <c r="O183" s="65"/>
      <c r="P183" s="57"/>
      <c r="Q183" s="65"/>
    </row>
    <row r="184">
      <c r="A184" s="18" t="s">
        <v>224</v>
      </c>
      <c r="B184" s="19"/>
      <c r="C184" s="4"/>
      <c r="D184" s="19"/>
      <c r="E184" s="3"/>
      <c r="F184" s="4"/>
      <c r="G184" s="20">
        <v>0.5590277777777778</v>
      </c>
      <c r="H184" s="4"/>
      <c r="I184" s="19"/>
      <c r="J184" s="4"/>
      <c r="K184" s="19"/>
      <c r="L184" s="4"/>
      <c r="M184" s="20">
        <v>0.8541666666666666</v>
      </c>
      <c r="N184" s="4"/>
      <c r="O184" s="65">
        <f>M184-G184</f>
        <v>0.2951388889</v>
      </c>
      <c r="P184" s="58">
        <v>0.3541666666666667</v>
      </c>
      <c r="Q184" s="65">
        <f t="shared" ref="Q184:Q185" si="28">P184-O184</f>
        <v>0.05902777778</v>
      </c>
    </row>
    <row r="185">
      <c r="A185" s="18" t="s">
        <v>225</v>
      </c>
      <c r="B185" s="20">
        <v>0.3875</v>
      </c>
      <c r="C185" s="4"/>
      <c r="D185" s="19"/>
      <c r="E185" s="3"/>
      <c r="F185" s="4"/>
      <c r="G185" s="19"/>
      <c r="H185" s="4"/>
      <c r="I185" s="20">
        <v>0.7430555555555556</v>
      </c>
      <c r="J185" s="4"/>
      <c r="K185" s="19"/>
      <c r="L185" s="4"/>
      <c r="M185" s="19"/>
      <c r="N185" s="4"/>
      <c r="O185" s="65">
        <f>I185-B185</f>
        <v>0.3555555556</v>
      </c>
      <c r="P185" s="58">
        <v>0.3541666666666667</v>
      </c>
      <c r="Q185" s="65">
        <f t="shared" si="28"/>
        <v>-0.001388888889</v>
      </c>
    </row>
    <row r="186">
      <c r="A186" s="18" t="s">
        <v>226</v>
      </c>
      <c r="B186" s="23"/>
      <c r="C186" s="4"/>
      <c r="D186" s="24"/>
      <c r="E186" s="3"/>
      <c r="F186" s="3"/>
      <c r="G186" s="25"/>
      <c r="H186" s="3"/>
      <c r="I186" s="26"/>
      <c r="J186" s="3"/>
      <c r="K186" s="24"/>
      <c r="L186" s="3"/>
      <c r="M186" s="24"/>
      <c r="N186" s="4"/>
      <c r="O186" s="65"/>
      <c r="P186" s="57"/>
      <c r="Q186" s="65"/>
    </row>
    <row r="187">
      <c r="A187" s="18" t="s">
        <v>227</v>
      </c>
      <c r="B187" s="20">
        <v>0.37222222222222223</v>
      </c>
      <c r="C187" s="4"/>
      <c r="D187" s="19"/>
      <c r="E187" s="3"/>
      <c r="F187" s="4"/>
      <c r="G187" s="19"/>
      <c r="H187" s="4"/>
      <c r="I187" s="19"/>
      <c r="J187" s="4"/>
      <c r="K187" s="19"/>
      <c r="L187" s="4"/>
      <c r="M187" s="20">
        <v>0.7916666666666666</v>
      </c>
      <c r="N187" s="4"/>
      <c r="O187" s="65">
        <f>M187-B187</f>
        <v>0.4194444444</v>
      </c>
      <c r="P187" s="58">
        <v>0.3541666666666667</v>
      </c>
      <c r="Q187" s="65">
        <f>P187-O187</f>
        <v>-0.06527777778</v>
      </c>
    </row>
    <row r="188">
      <c r="O188" s="65"/>
      <c r="P188" s="57"/>
      <c r="Q188" s="66">
        <f>Q174+Q181+Q175+Q187</f>
        <v>-0.16875</v>
      </c>
    </row>
    <row r="189">
      <c r="O189" s="65"/>
      <c r="P189" s="57"/>
      <c r="Q189" s="65"/>
    </row>
    <row r="190">
      <c r="A190" s="1" t="s">
        <v>0</v>
      </c>
      <c r="B190" s="2" t="s">
        <v>1</v>
      </c>
      <c r="C190" s="3"/>
      <c r="D190" s="3"/>
      <c r="E190" s="3"/>
      <c r="F190" s="3"/>
      <c r="G190" s="3"/>
      <c r="H190" s="4"/>
      <c r="I190" s="1" t="s">
        <v>2</v>
      </c>
      <c r="J190" s="10" t="s">
        <v>41</v>
      </c>
      <c r="K190" s="3"/>
      <c r="L190" s="3"/>
      <c r="M190" s="3"/>
      <c r="N190" s="4"/>
      <c r="O190" s="65"/>
      <c r="P190" s="57"/>
      <c r="Q190" s="65"/>
    </row>
    <row r="191">
      <c r="A191" s="1" t="s">
        <v>4</v>
      </c>
      <c r="B191" s="9" t="s">
        <v>213</v>
      </c>
      <c r="C191" s="3"/>
      <c r="D191" s="3"/>
      <c r="E191" s="3"/>
      <c r="F191" s="3"/>
      <c r="G191" s="3"/>
      <c r="H191" s="4"/>
      <c r="I191" s="1" t="s">
        <v>6</v>
      </c>
      <c r="J191" s="10">
        <v>14.0</v>
      </c>
      <c r="K191" s="3"/>
      <c r="L191" s="3"/>
      <c r="M191" s="3"/>
      <c r="N191" s="4"/>
      <c r="O191" s="65"/>
      <c r="P191" s="57"/>
      <c r="Q191" s="65"/>
    </row>
    <row r="192">
      <c r="A192" s="11" t="s">
        <v>7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4"/>
      <c r="O192" s="65"/>
      <c r="P192" s="57"/>
      <c r="Q192" s="65"/>
    </row>
    <row r="193">
      <c r="A193" s="15" t="s">
        <v>11</v>
      </c>
      <c r="B193" s="2" t="s">
        <v>12</v>
      </c>
      <c r="C193" s="3"/>
      <c r="D193" s="3"/>
      <c r="E193" s="3"/>
      <c r="F193" s="4"/>
      <c r="G193" s="2" t="s">
        <v>13</v>
      </c>
      <c r="H193" s="3"/>
      <c r="I193" s="3"/>
      <c r="J193" s="3"/>
      <c r="K193" s="10" t="s">
        <v>14</v>
      </c>
      <c r="L193" s="3"/>
      <c r="M193" s="3"/>
      <c r="N193" s="4"/>
      <c r="O193" s="65"/>
      <c r="P193" s="57"/>
      <c r="Q193" s="65"/>
    </row>
    <row r="194">
      <c r="A194" s="16"/>
      <c r="B194" s="17" t="s">
        <v>15</v>
      </c>
      <c r="C194" s="4"/>
      <c r="D194" s="17" t="s">
        <v>16</v>
      </c>
      <c r="E194" s="3"/>
      <c r="F194" s="4"/>
      <c r="G194" s="17" t="s">
        <v>15</v>
      </c>
      <c r="H194" s="4"/>
      <c r="I194" s="17" t="s">
        <v>16</v>
      </c>
      <c r="J194" s="4"/>
      <c r="K194" s="17" t="s">
        <v>15</v>
      </c>
      <c r="L194" s="4"/>
      <c r="M194" s="17" t="s">
        <v>16</v>
      </c>
      <c r="N194" s="4"/>
      <c r="O194" s="12" t="s">
        <v>8</v>
      </c>
      <c r="P194" s="13" t="s">
        <v>9</v>
      </c>
      <c r="Q194" s="14" t="s">
        <v>10</v>
      </c>
    </row>
    <row r="195">
      <c r="A195" s="18" t="s">
        <v>214</v>
      </c>
      <c r="B195" s="20">
        <v>0.20555555555555555</v>
      </c>
      <c r="C195" s="4"/>
      <c r="D195" s="19"/>
      <c r="E195" s="3"/>
      <c r="F195" s="4"/>
      <c r="G195" s="20">
        <v>0.5736111111111111</v>
      </c>
      <c r="H195" s="4"/>
      <c r="I195" s="19"/>
      <c r="J195" s="4"/>
      <c r="K195" s="19"/>
      <c r="L195" s="4"/>
      <c r="M195" s="19"/>
      <c r="N195" s="4"/>
      <c r="O195" s="65">
        <f>G195-B195</f>
        <v>0.3680555556</v>
      </c>
      <c r="P195" s="58">
        <v>0.3541666666666667</v>
      </c>
      <c r="Q195" s="65"/>
    </row>
    <row r="196">
      <c r="A196" s="22" t="s">
        <v>215</v>
      </c>
      <c r="B196" s="19"/>
      <c r="C196" s="4"/>
      <c r="D196" s="19"/>
      <c r="E196" s="3"/>
      <c r="F196" s="4"/>
      <c r="G196" s="19"/>
      <c r="H196" s="4"/>
      <c r="I196" s="19"/>
      <c r="J196" s="4"/>
      <c r="K196" s="19"/>
      <c r="L196" s="4"/>
      <c r="M196" s="19"/>
      <c r="N196" s="4"/>
      <c r="O196" s="65"/>
      <c r="P196" s="57"/>
      <c r="Q196" s="65"/>
    </row>
    <row r="197">
      <c r="A197" s="22" t="s">
        <v>216</v>
      </c>
      <c r="B197" s="19"/>
      <c r="C197" s="4"/>
      <c r="D197" s="19"/>
      <c r="E197" s="3"/>
      <c r="F197" s="4"/>
      <c r="G197" s="19"/>
      <c r="H197" s="4"/>
      <c r="I197" s="19"/>
      <c r="J197" s="4"/>
      <c r="K197" s="19"/>
      <c r="L197" s="4"/>
      <c r="M197" s="19"/>
      <c r="N197" s="4"/>
      <c r="O197" s="65"/>
      <c r="P197" s="57"/>
      <c r="Q197" s="65"/>
    </row>
    <row r="198">
      <c r="A198" s="18" t="s">
        <v>217</v>
      </c>
      <c r="B198" s="20">
        <v>0.2</v>
      </c>
      <c r="C198" s="4"/>
      <c r="D198" s="19"/>
      <c r="E198" s="3"/>
      <c r="F198" s="4"/>
      <c r="G198" s="20">
        <v>0.5861111111111111</v>
      </c>
      <c r="H198" s="4"/>
      <c r="I198" s="19"/>
      <c r="J198" s="4"/>
      <c r="K198" s="19"/>
      <c r="L198" s="4"/>
      <c r="M198" s="19"/>
      <c r="N198" s="4"/>
      <c r="O198" s="65">
        <f>G198-B198</f>
        <v>0.3861111111</v>
      </c>
      <c r="P198" s="58">
        <v>0.3541666666666667</v>
      </c>
      <c r="Q198" s="65"/>
    </row>
    <row r="199">
      <c r="A199" s="18" t="s">
        <v>218</v>
      </c>
      <c r="B199" s="20">
        <v>0.19583333333333333</v>
      </c>
      <c r="C199" s="4"/>
      <c r="D199" s="19"/>
      <c r="E199" s="3"/>
      <c r="F199" s="4"/>
      <c r="G199" s="20">
        <v>0.58125</v>
      </c>
      <c r="H199" s="4"/>
      <c r="I199" s="19"/>
      <c r="J199" s="4"/>
      <c r="K199" s="19"/>
      <c r="L199" s="4"/>
      <c r="M199" s="19"/>
      <c r="N199" s="4"/>
      <c r="O199" s="65"/>
      <c r="P199" s="57"/>
      <c r="Q199" s="65"/>
    </row>
    <row r="200">
      <c r="A200" s="18" t="s">
        <v>219</v>
      </c>
      <c r="B200" s="20">
        <v>0.2</v>
      </c>
      <c r="C200" s="4"/>
      <c r="D200" s="19"/>
      <c r="E200" s="3"/>
      <c r="F200" s="4"/>
      <c r="G200" s="20">
        <v>0.5756944444444444</v>
      </c>
      <c r="H200" s="4"/>
      <c r="I200" s="19"/>
      <c r="J200" s="4"/>
      <c r="K200" s="19"/>
      <c r="L200" s="4"/>
      <c r="M200" s="19"/>
      <c r="N200" s="4"/>
      <c r="O200" s="65">
        <f t="shared" ref="O200:O202" si="29">G200-B200</f>
        <v>0.3756944444</v>
      </c>
      <c r="P200" s="58">
        <v>0.3541666666666667</v>
      </c>
      <c r="Q200" s="65"/>
    </row>
    <row r="201">
      <c r="A201" s="18" t="s">
        <v>220</v>
      </c>
      <c r="B201" s="20">
        <v>0.20277777777777778</v>
      </c>
      <c r="C201" s="4"/>
      <c r="D201" s="19"/>
      <c r="E201" s="3"/>
      <c r="F201" s="4"/>
      <c r="G201" s="20">
        <v>0.5777777777777777</v>
      </c>
      <c r="H201" s="4"/>
      <c r="I201" s="19"/>
      <c r="J201" s="4"/>
      <c r="K201" s="19"/>
      <c r="L201" s="4"/>
      <c r="M201" s="19"/>
      <c r="N201" s="4"/>
      <c r="O201" s="65">
        <f t="shared" si="29"/>
        <v>0.375</v>
      </c>
      <c r="P201" s="58">
        <v>0.3541666666666667</v>
      </c>
      <c r="Q201" s="65"/>
    </row>
    <row r="202">
      <c r="A202" s="18" t="s">
        <v>221</v>
      </c>
      <c r="B202" s="20">
        <v>0.2076388888888889</v>
      </c>
      <c r="C202" s="4"/>
      <c r="D202" s="19"/>
      <c r="E202" s="3"/>
      <c r="F202" s="4"/>
      <c r="G202" s="20">
        <v>0.5715277777777777</v>
      </c>
      <c r="H202" s="4"/>
      <c r="I202" s="19"/>
      <c r="J202" s="4"/>
      <c r="K202" s="19"/>
      <c r="L202" s="4"/>
      <c r="M202" s="19"/>
      <c r="N202" s="4"/>
      <c r="O202" s="65">
        <f t="shared" si="29"/>
        <v>0.3638888889</v>
      </c>
      <c r="P202" s="58">
        <v>0.3541666666666667</v>
      </c>
      <c r="Q202" s="65"/>
    </row>
    <row r="203">
      <c r="A203" s="22" t="s">
        <v>222</v>
      </c>
      <c r="B203" s="20">
        <v>0.36319444444444443</v>
      </c>
      <c r="C203" s="4"/>
      <c r="D203" s="20">
        <v>0.8569444444444444</v>
      </c>
      <c r="E203" s="3"/>
      <c r="F203" s="4"/>
      <c r="G203" s="19"/>
      <c r="H203" s="4"/>
      <c r="I203" s="19"/>
      <c r="J203" s="4"/>
      <c r="K203" s="19"/>
      <c r="L203" s="4"/>
      <c r="M203" s="19"/>
      <c r="N203" s="4"/>
      <c r="O203" s="65">
        <f>D203-B203</f>
        <v>0.49375</v>
      </c>
      <c r="P203" s="58">
        <v>0.3541666666666667</v>
      </c>
      <c r="Q203" s="65">
        <f>P203-O203</f>
        <v>-0.1395833333</v>
      </c>
    </row>
    <row r="204">
      <c r="A204" s="22" t="s">
        <v>223</v>
      </c>
      <c r="B204" s="19"/>
      <c r="C204" s="4"/>
      <c r="D204" s="19"/>
      <c r="E204" s="3"/>
      <c r="F204" s="4"/>
      <c r="G204" s="19"/>
      <c r="H204" s="4"/>
      <c r="I204" s="19"/>
      <c r="J204" s="4"/>
      <c r="K204" s="19"/>
      <c r="L204" s="4"/>
      <c r="M204" s="19"/>
      <c r="N204" s="4"/>
      <c r="O204" s="65"/>
      <c r="P204" s="57"/>
      <c r="Q204" s="65"/>
    </row>
    <row r="205">
      <c r="A205" s="18" t="s">
        <v>224</v>
      </c>
      <c r="B205" s="20">
        <v>0.2013888888888889</v>
      </c>
      <c r="C205" s="4"/>
      <c r="D205" s="19"/>
      <c r="E205" s="3"/>
      <c r="F205" s="4"/>
      <c r="G205" s="20">
        <v>0.5694444444444444</v>
      </c>
      <c r="H205" s="4"/>
      <c r="I205" s="19"/>
      <c r="J205" s="4"/>
      <c r="K205" s="19"/>
      <c r="L205" s="4"/>
      <c r="M205" s="19"/>
      <c r="N205" s="4"/>
      <c r="O205" s="65">
        <f t="shared" ref="O205:O208" si="30">G205-B205</f>
        <v>0.3680555556</v>
      </c>
      <c r="P205" s="58">
        <v>0.3541666666666667</v>
      </c>
      <c r="Q205" s="65"/>
    </row>
    <row r="206">
      <c r="A206" s="18" t="s">
        <v>225</v>
      </c>
      <c r="B206" s="20">
        <v>0.20833333333333334</v>
      </c>
      <c r="C206" s="4"/>
      <c r="D206" s="19"/>
      <c r="E206" s="3"/>
      <c r="F206" s="4"/>
      <c r="G206" s="20">
        <v>0.5625</v>
      </c>
      <c r="H206" s="4"/>
      <c r="I206" s="19"/>
      <c r="J206" s="4"/>
      <c r="K206" s="19"/>
      <c r="L206" s="4"/>
      <c r="M206" s="19"/>
      <c r="N206" s="4"/>
      <c r="O206" s="65">
        <f t="shared" si="30"/>
        <v>0.3541666667</v>
      </c>
      <c r="P206" s="58">
        <v>0.3541666666666667</v>
      </c>
      <c r="Q206" s="65"/>
    </row>
    <row r="207">
      <c r="A207" s="18" t="s">
        <v>226</v>
      </c>
      <c r="B207" s="20">
        <v>0.20555555555555555</v>
      </c>
      <c r="C207" s="4"/>
      <c r="D207" s="19"/>
      <c r="E207" s="3"/>
      <c r="F207" s="4"/>
      <c r="G207" s="20">
        <v>0.55</v>
      </c>
      <c r="H207" s="4"/>
      <c r="I207" s="19"/>
      <c r="J207" s="4"/>
      <c r="K207" s="19"/>
      <c r="L207" s="4"/>
      <c r="M207" s="19"/>
      <c r="N207" s="4"/>
      <c r="O207" s="65">
        <f t="shared" si="30"/>
        <v>0.3444444444</v>
      </c>
      <c r="P207" s="58">
        <v>0.3541666666666667</v>
      </c>
      <c r="Q207" s="65"/>
    </row>
    <row r="208">
      <c r="A208" s="18" t="s">
        <v>227</v>
      </c>
      <c r="B208" s="20">
        <v>0.2048611111111111</v>
      </c>
      <c r="C208" s="4"/>
      <c r="D208" s="19"/>
      <c r="E208" s="3"/>
      <c r="F208" s="4"/>
      <c r="G208" s="20">
        <v>0.56875</v>
      </c>
      <c r="H208" s="4"/>
      <c r="I208" s="19"/>
      <c r="J208" s="4"/>
      <c r="K208" s="19"/>
      <c r="L208" s="4"/>
      <c r="M208" s="19"/>
      <c r="N208" s="4"/>
      <c r="O208" s="65">
        <f t="shared" si="30"/>
        <v>0.3638888889</v>
      </c>
      <c r="P208" s="58">
        <v>0.3541666666666667</v>
      </c>
      <c r="Q208" s="65"/>
    </row>
    <row r="209">
      <c r="O209" s="65"/>
      <c r="P209" s="57"/>
      <c r="Q209" s="65"/>
    </row>
    <row r="210">
      <c r="O210" s="65"/>
      <c r="P210" s="57"/>
      <c r="Q210" s="65"/>
    </row>
    <row r="211">
      <c r="O211" s="65"/>
      <c r="P211" s="57"/>
      <c r="Q211" s="65"/>
    </row>
    <row r="212">
      <c r="O212" s="65"/>
      <c r="P212" s="57"/>
      <c r="Q212" s="65"/>
    </row>
    <row r="213">
      <c r="O213" s="65"/>
      <c r="P213" s="57"/>
      <c r="Q213" s="65"/>
    </row>
    <row r="214">
      <c r="O214" s="65"/>
      <c r="P214" s="57"/>
      <c r="Q214" s="65"/>
    </row>
    <row r="215">
      <c r="O215" s="65"/>
      <c r="P215" s="57"/>
      <c r="Q215" s="65"/>
    </row>
    <row r="216">
      <c r="O216" s="65"/>
      <c r="P216" s="57"/>
      <c r="Q216" s="65"/>
    </row>
    <row r="217">
      <c r="O217" s="65"/>
      <c r="P217" s="57"/>
      <c r="Q217" s="65"/>
    </row>
    <row r="218">
      <c r="O218" s="65"/>
      <c r="P218" s="57"/>
      <c r="Q218" s="65"/>
    </row>
    <row r="219">
      <c r="O219" s="65"/>
      <c r="P219" s="57"/>
      <c r="Q219" s="65"/>
    </row>
    <row r="220">
      <c r="O220" s="65"/>
      <c r="P220" s="57"/>
      <c r="Q220" s="65"/>
    </row>
    <row r="221">
      <c r="O221" s="65"/>
      <c r="P221" s="57"/>
      <c r="Q221" s="65"/>
    </row>
    <row r="222">
      <c r="O222" s="65"/>
      <c r="P222" s="57"/>
      <c r="Q222" s="65"/>
    </row>
    <row r="223">
      <c r="O223" s="65"/>
      <c r="P223" s="57"/>
      <c r="Q223" s="65"/>
    </row>
    <row r="224">
      <c r="O224" s="65"/>
      <c r="P224" s="57"/>
      <c r="Q224" s="65"/>
    </row>
    <row r="225">
      <c r="O225" s="65"/>
      <c r="P225" s="57"/>
      <c r="Q225" s="65"/>
    </row>
    <row r="226">
      <c r="O226" s="65"/>
      <c r="P226" s="57"/>
      <c r="Q226" s="65"/>
    </row>
    <row r="227">
      <c r="O227" s="65"/>
      <c r="P227" s="57"/>
      <c r="Q227" s="65"/>
    </row>
    <row r="228">
      <c r="O228" s="65"/>
      <c r="P228" s="57"/>
      <c r="Q228" s="65"/>
    </row>
    <row r="229">
      <c r="O229" s="65"/>
      <c r="P229" s="57"/>
      <c r="Q229" s="65"/>
    </row>
    <row r="230">
      <c r="O230" s="65"/>
      <c r="P230" s="57"/>
      <c r="Q230" s="65"/>
    </row>
    <row r="231">
      <c r="O231" s="65"/>
      <c r="P231" s="57"/>
      <c r="Q231" s="65"/>
    </row>
    <row r="232">
      <c r="O232" s="65"/>
      <c r="P232" s="57"/>
      <c r="Q232" s="65"/>
    </row>
    <row r="233">
      <c r="O233" s="65"/>
      <c r="P233" s="57"/>
      <c r="Q233" s="65"/>
    </row>
    <row r="234">
      <c r="O234" s="65"/>
      <c r="P234" s="57"/>
      <c r="Q234" s="65"/>
    </row>
    <row r="235">
      <c r="O235" s="65"/>
      <c r="P235" s="57"/>
      <c r="Q235" s="65"/>
    </row>
    <row r="236">
      <c r="O236" s="65"/>
      <c r="P236" s="57"/>
      <c r="Q236" s="65"/>
    </row>
    <row r="237">
      <c r="O237" s="65"/>
      <c r="P237" s="57"/>
      <c r="Q237" s="65"/>
    </row>
    <row r="238">
      <c r="O238" s="65"/>
      <c r="P238" s="57"/>
      <c r="Q238" s="65"/>
    </row>
    <row r="239">
      <c r="O239" s="65"/>
      <c r="P239" s="57"/>
      <c r="Q239" s="65"/>
    </row>
    <row r="240">
      <c r="O240" s="65"/>
      <c r="P240" s="57"/>
      <c r="Q240" s="65"/>
    </row>
    <row r="241">
      <c r="O241" s="65"/>
      <c r="P241" s="57"/>
      <c r="Q241" s="65"/>
    </row>
    <row r="242">
      <c r="O242" s="65"/>
      <c r="P242" s="57"/>
      <c r="Q242" s="65"/>
    </row>
    <row r="243">
      <c r="O243" s="65"/>
      <c r="P243" s="57"/>
      <c r="Q243" s="65"/>
    </row>
    <row r="244">
      <c r="O244" s="65"/>
      <c r="P244" s="57"/>
      <c r="Q244" s="65"/>
    </row>
    <row r="245">
      <c r="O245" s="65"/>
      <c r="P245" s="57"/>
      <c r="Q245" s="65"/>
    </row>
    <row r="246">
      <c r="O246" s="65"/>
      <c r="P246" s="57"/>
      <c r="Q246" s="65"/>
    </row>
    <row r="247">
      <c r="O247" s="65"/>
      <c r="P247" s="57"/>
      <c r="Q247" s="65"/>
    </row>
    <row r="248">
      <c r="O248" s="65"/>
      <c r="P248" s="57"/>
      <c r="Q248" s="65"/>
    </row>
    <row r="249">
      <c r="O249" s="65"/>
      <c r="P249" s="57"/>
      <c r="Q249" s="65"/>
    </row>
    <row r="250">
      <c r="O250" s="65"/>
      <c r="P250" s="57"/>
      <c r="Q250" s="65"/>
    </row>
    <row r="251">
      <c r="O251" s="65"/>
      <c r="P251" s="57"/>
      <c r="Q251" s="65"/>
    </row>
    <row r="252">
      <c r="O252" s="65"/>
      <c r="P252" s="57"/>
      <c r="Q252" s="65"/>
    </row>
    <row r="253">
      <c r="O253" s="65"/>
      <c r="P253" s="57"/>
      <c r="Q253" s="65"/>
    </row>
    <row r="254">
      <c r="O254" s="65"/>
      <c r="P254" s="57"/>
      <c r="Q254" s="65"/>
    </row>
    <row r="255">
      <c r="O255" s="65"/>
      <c r="P255" s="57"/>
      <c r="Q255" s="65"/>
    </row>
    <row r="256">
      <c r="O256" s="65"/>
      <c r="P256" s="57"/>
      <c r="Q256" s="65"/>
    </row>
    <row r="257">
      <c r="O257" s="65"/>
      <c r="P257" s="57"/>
      <c r="Q257" s="65"/>
    </row>
    <row r="258">
      <c r="O258" s="65"/>
      <c r="P258" s="57"/>
      <c r="Q258" s="65"/>
    </row>
    <row r="259">
      <c r="O259" s="65"/>
      <c r="P259" s="57"/>
      <c r="Q259" s="65"/>
    </row>
    <row r="260">
      <c r="O260" s="65"/>
      <c r="P260" s="57"/>
      <c r="Q260" s="65"/>
    </row>
    <row r="261">
      <c r="O261" s="65"/>
      <c r="P261" s="57"/>
      <c r="Q261" s="65"/>
    </row>
    <row r="262">
      <c r="O262" s="65"/>
      <c r="P262" s="57"/>
      <c r="Q262" s="65"/>
    </row>
    <row r="263">
      <c r="O263" s="65"/>
      <c r="P263" s="57"/>
      <c r="Q263" s="65"/>
    </row>
    <row r="264">
      <c r="O264" s="65"/>
      <c r="P264" s="57"/>
      <c r="Q264" s="65"/>
    </row>
    <row r="265">
      <c r="O265" s="65"/>
      <c r="P265" s="57"/>
      <c r="Q265" s="65"/>
    </row>
    <row r="266">
      <c r="O266" s="65"/>
      <c r="P266" s="57"/>
      <c r="Q266" s="65"/>
    </row>
    <row r="267">
      <c r="O267" s="65"/>
      <c r="P267" s="57"/>
      <c r="Q267" s="65"/>
    </row>
    <row r="268">
      <c r="O268" s="65"/>
      <c r="P268" s="57"/>
      <c r="Q268" s="65"/>
    </row>
    <row r="269">
      <c r="O269" s="65"/>
      <c r="P269" s="57"/>
      <c r="Q269" s="65"/>
    </row>
    <row r="270">
      <c r="O270" s="65"/>
      <c r="P270" s="57"/>
      <c r="Q270" s="65"/>
    </row>
    <row r="271">
      <c r="O271" s="65"/>
      <c r="P271" s="57"/>
      <c r="Q271" s="65"/>
    </row>
    <row r="272">
      <c r="O272" s="65"/>
      <c r="P272" s="57"/>
      <c r="Q272" s="65"/>
    </row>
    <row r="273">
      <c r="O273" s="65"/>
      <c r="P273" s="57"/>
      <c r="Q273" s="65"/>
    </row>
    <row r="274">
      <c r="O274" s="65"/>
      <c r="P274" s="57"/>
      <c r="Q274" s="65"/>
    </row>
    <row r="275">
      <c r="O275" s="65"/>
      <c r="P275" s="57"/>
      <c r="Q275" s="65"/>
    </row>
    <row r="276">
      <c r="O276" s="65"/>
      <c r="P276" s="57"/>
      <c r="Q276" s="65"/>
    </row>
    <row r="277">
      <c r="O277" s="65"/>
      <c r="P277" s="57"/>
      <c r="Q277" s="65"/>
    </row>
    <row r="278">
      <c r="O278" s="65"/>
      <c r="P278" s="57"/>
      <c r="Q278" s="65"/>
    </row>
    <row r="279">
      <c r="O279" s="65"/>
      <c r="P279" s="57"/>
      <c r="Q279" s="65"/>
    </row>
    <row r="280">
      <c r="O280" s="65"/>
      <c r="P280" s="57"/>
      <c r="Q280" s="65"/>
    </row>
    <row r="281">
      <c r="O281" s="65"/>
      <c r="P281" s="57"/>
      <c r="Q281" s="65"/>
    </row>
    <row r="282">
      <c r="O282" s="65"/>
      <c r="P282" s="57"/>
      <c r="Q282" s="65"/>
    </row>
    <row r="283">
      <c r="O283" s="65"/>
      <c r="P283" s="57"/>
      <c r="Q283" s="65"/>
    </row>
    <row r="284">
      <c r="O284" s="65"/>
      <c r="P284" s="57"/>
      <c r="Q284" s="65"/>
    </row>
    <row r="285">
      <c r="O285" s="65"/>
      <c r="P285" s="57"/>
      <c r="Q285" s="65"/>
    </row>
    <row r="286">
      <c r="O286" s="65"/>
      <c r="P286" s="57"/>
      <c r="Q286" s="65"/>
    </row>
    <row r="287">
      <c r="O287" s="65"/>
      <c r="P287" s="57"/>
      <c r="Q287" s="65"/>
    </row>
    <row r="288">
      <c r="O288" s="65"/>
      <c r="P288" s="57"/>
      <c r="Q288" s="65"/>
    </row>
    <row r="289">
      <c r="O289" s="65"/>
      <c r="P289" s="57"/>
      <c r="Q289" s="65"/>
    </row>
    <row r="290">
      <c r="O290" s="65"/>
      <c r="P290" s="57"/>
      <c r="Q290" s="65"/>
    </row>
    <row r="291">
      <c r="O291" s="65"/>
      <c r="P291" s="57"/>
      <c r="Q291" s="65"/>
    </row>
    <row r="292">
      <c r="O292" s="65"/>
      <c r="P292" s="57"/>
      <c r="Q292" s="65"/>
    </row>
    <row r="293">
      <c r="O293" s="65"/>
      <c r="P293" s="57"/>
      <c r="Q293" s="65"/>
    </row>
    <row r="294">
      <c r="O294" s="65"/>
      <c r="P294" s="57"/>
      <c r="Q294" s="65"/>
    </row>
    <row r="295">
      <c r="O295" s="65"/>
      <c r="P295" s="57"/>
      <c r="Q295" s="65"/>
    </row>
    <row r="296">
      <c r="O296" s="65"/>
      <c r="P296" s="57"/>
      <c r="Q296" s="65"/>
    </row>
    <row r="297">
      <c r="O297" s="65"/>
      <c r="P297" s="57"/>
      <c r="Q297" s="65"/>
    </row>
    <row r="298">
      <c r="O298" s="65"/>
      <c r="P298" s="57"/>
      <c r="Q298" s="65"/>
    </row>
    <row r="299">
      <c r="O299" s="65"/>
      <c r="P299" s="57"/>
      <c r="Q299" s="65"/>
    </row>
    <row r="300">
      <c r="O300" s="65"/>
      <c r="P300" s="57"/>
      <c r="Q300" s="65"/>
    </row>
    <row r="301">
      <c r="O301" s="65"/>
      <c r="P301" s="57"/>
      <c r="Q301" s="65"/>
    </row>
    <row r="302">
      <c r="O302" s="65"/>
      <c r="P302" s="57"/>
      <c r="Q302" s="65"/>
    </row>
    <row r="303">
      <c r="O303" s="65"/>
      <c r="P303" s="57"/>
      <c r="Q303" s="65"/>
    </row>
    <row r="304">
      <c r="O304" s="65"/>
      <c r="P304" s="57"/>
      <c r="Q304" s="65"/>
    </row>
    <row r="305">
      <c r="O305" s="65"/>
      <c r="P305" s="57"/>
      <c r="Q305" s="65"/>
    </row>
    <row r="306">
      <c r="O306" s="65"/>
      <c r="P306" s="57"/>
      <c r="Q306" s="65"/>
    </row>
    <row r="307">
      <c r="O307" s="65"/>
      <c r="P307" s="57"/>
      <c r="Q307" s="65"/>
    </row>
    <row r="308">
      <c r="O308" s="65"/>
      <c r="P308" s="57"/>
      <c r="Q308" s="65"/>
    </row>
    <row r="309">
      <c r="O309" s="65"/>
      <c r="P309" s="57"/>
      <c r="Q309" s="65"/>
    </row>
    <row r="310">
      <c r="O310" s="65"/>
      <c r="P310" s="57"/>
      <c r="Q310" s="65"/>
    </row>
    <row r="311">
      <c r="O311" s="65"/>
      <c r="P311" s="57"/>
      <c r="Q311" s="65"/>
    </row>
    <row r="312">
      <c r="O312" s="65"/>
      <c r="P312" s="57"/>
      <c r="Q312" s="65"/>
    </row>
    <row r="313">
      <c r="O313" s="65"/>
      <c r="P313" s="57"/>
      <c r="Q313" s="65"/>
    </row>
    <row r="314">
      <c r="O314" s="65"/>
      <c r="P314" s="57"/>
      <c r="Q314" s="65"/>
    </row>
    <row r="315">
      <c r="O315" s="65"/>
      <c r="P315" s="57"/>
      <c r="Q315" s="65"/>
    </row>
    <row r="316">
      <c r="O316" s="65"/>
      <c r="P316" s="57"/>
      <c r="Q316" s="65"/>
    </row>
    <row r="317">
      <c r="O317" s="65"/>
      <c r="P317" s="57"/>
      <c r="Q317" s="65"/>
    </row>
    <row r="318">
      <c r="O318" s="65"/>
      <c r="P318" s="57"/>
      <c r="Q318" s="65"/>
    </row>
    <row r="319">
      <c r="O319" s="65"/>
      <c r="P319" s="57"/>
      <c r="Q319" s="65"/>
    </row>
    <row r="320">
      <c r="O320" s="65"/>
      <c r="P320" s="57"/>
      <c r="Q320" s="65"/>
    </row>
    <row r="321">
      <c r="O321" s="65"/>
      <c r="P321" s="57"/>
      <c r="Q321" s="65"/>
    </row>
    <row r="322">
      <c r="O322" s="65"/>
      <c r="P322" s="57"/>
      <c r="Q322" s="65"/>
    </row>
    <row r="323">
      <c r="O323" s="65"/>
      <c r="P323" s="57"/>
      <c r="Q323" s="65"/>
    </row>
    <row r="324">
      <c r="O324" s="65"/>
      <c r="P324" s="57"/>
      <c r="Q324" s="65"/>
    </row>
    <row r="325">
      <c r="O325" s="65"/>
      <c r="P325" s="57"/>
      <c r="Q325" s="65"/>
    </row>
    <row r="326">
      <c r="O326" s="65"/>
      <c r="P326" s="57"/>
      <c r="Q326" s="65"/>
    </row>
    <row r="327">
      <c r="O327" s="65"/>
      <c r="P327" s="57"/>
      <c r="Q327" s="65"/>
    </row>
    <row r="328">
      <c r="O328" s="65"/>
      <c r="P328" s="57"/>
      <c r="Q328" s="65"/>
    </row>
    <row r="329">
      <c r="O329" s="65"/>
      <c r="P329" s="57"/>
      <c r="Q329" s="65"/>
    </row>
    <row r="330">
      <c r="O330" s="65"/>
      <c r="P330" s="57"/>
      <c r="Q330" s="65"/>
    </row>
    <row r="331">
      <c r="O331" s="65"/>
      <c r="P331" s="57"/>
      <c r="Q331" s="65"/>
    </row>
    <row r="332">
      <c r="O332" s="65"/>
      <c r="P332" s="57"/>
      <c r="Q332" s="65"/>
    </row>
    <row r="333">
      <c r="O333" s="65"/>
      <c r="P333" s="57"/>
      <c r="Q333" s="65"/>
    </row>
    <row r="334">
      <c r="O334" s="65"/>
      <c r="P334" s="57"/>
      <c r="Q334" s="65"/>
    </row>
    <row r="335">
      <c r="O335" s="65"/>
      <c r="P335" s="57"/>
      <c r="Q335" s="65"/>
    </row>
    <row r="336">
      <c r="O336" s="65"/>
      <c r="P336" s="57"/>
      <c r="Q336" s="65"/>
    </row>
    <row r="337">
      <c r="O337" s="65"/>
      <c r="P337" s="57"/>
      <c r="Q337" s="65"/>
    </row>
    <row r="338">
      <c r="O338" s="65"/>
      <c r="P338" s="57"/>
      <c r="Q338" s="65"/>
    </row>
    <row r="339">
      <c r="O339" s="65"/>
      <c r="P339" s="57"/>
      <c r="Q339" s="65"/>
    </row>
    <row r="340">
      <c r="O340" s="65"/>
      <c r="P340" s="57"/>
      <c r="Q340" s="65"/>
    </row>
    <row r="341">
      <c r="O341" s="65"/>
      <c r="P341" s="57"/>
      <c r="Q341" s="65"/>
    </row>
    <row r="342">
      <c r="O342" s="65"/>
      <c r="P342" s="57"/>
      <c r="Q342" s="65"/>
    </row>
    <row r="343">
      <c r="O343" s="65"/>
      <c r="P343" s="57"/>
      <c r="Q343" s="65"/>
    </row>
    <row r="344">
      <c r="O344" s="65"/>
      <c r="P344" s="57"/>
      <c r="Q344" s="65"/>
    </row>
    <row r="345">
      <c r="O345" s="65"/>
      <c r="P345" s="57"/>
      <c r="Q345" s="65"/>
    </row>
    <row r="346">
      <c r="O346" s="65"/>
      <c r="P346" s="57"/>
      <c r="Q346" s="65"/>
    </row>
    <row r="347">
      <c r="O347" s="65"/>
      <c r="P347" s="57"/>
      <c r="Q347" s="65"/>
    </row>
    <row r="348">
      <c r="O348" s="65"/>
      <c r="P348" s="57"/>
      <c r="Q348" s="65"/>
    </row>
    <row r="349">
      <c r="O349" s="65"/>
      <c r="P349" s="57"/>
      <c r="Q349" s="65"/>
    </row>
    <row r="350">
      <c r="O350" s="65"/>
      <c r="P350" s="57"/>
      <c r="Q350" s="65"/>
    </row>
    <row r="351">
      <c r="O351" s="65"/>
      <c r="P351" s="57"/>
      <c r="Q351" s="65"/>
    </row>
    <row r="352">
      <c r="O352" s="65"/>
      <c r="P352" s="57"/>
      <c r="Q352" s="65"/>
    </row>
    <row r="353">
      <c r="O353" s="65"/>
      <c r="P353" s="57"/>
      <c r="Q353" s="65"/>
    </row>
    <row r="354">
      <c r="O354" s="65"/>
      <c r="P354" s="57"/>
      <c r="Q354" s="65"/>
    </row>
    <row r="355">
      <c r="O355" s="65"/>
      <c r="P355" s="57"/>
      <c r="Q355" s="65"/>
    </row>
    <row r="356">
      <c r="O356" s="65"/>
      <c r="P356" s="57"/>
      <c r="Q356" s="65"/>
    </row>
    <row r="357">
      <c r="O357" s="65"/>
      <c r="P357" s="57"/>
      <c r="Q357" s="65"/>
    </row>
    <row r="358">
      <c r="O358" s="65"/>
      <c r="P358" s="57"/>
      <c r="Q358" s="65"/>
    </row>
    <row r="359">
      <c r="O359" s="65"/>
      <c r="P359" s="57"/>
      <c r="Q359" s="65"/>
    </row>
    <row r="360">
      <c r="O360" s="65"/>
      <c r="P360" s="57"/>
      <c r="Q360" s="65"/>
    </row>
    <row r="361">
      <c r="O361" s="65"/>
      <c r="P361" s="57"/>
      <c r="Q361" s="65"/>
    </row>
    <row r="362">
      <c r="O362" s="65"/>
      <c r="P362" s="57"/>
      <c r="Q362" s="65"/>
    </row>
    <row r="363">
      <c r="O363" s="65"/>
      <c r="P363" s="57"/>
      <c r="Q363" s="65"/>
    </row>
    <row r="364">
      <c r="O364" s="65"/>
      <c r="P364" s="57"/>
      <c r="Q364" s="65"/>
    </row>
    <row r="365">
      <c r="O365" s="65"/>
      <c r="P365" s="57"/>
      <c r="Q365" s="65"/>
    </row>
    <row r="366">
      <c r="O366" s="65"/>
      <c r="P366" s="57"/>
      <c r="Q366" s="65"/>
    </row>
    <row r="367">
      <c r="O367" s="65"/>
      <c r="P367" s="57"/>
      <c r="Q367" s="65"/>
    </row>
    <row r="368">
      <c r="O368" s="65"/>
      <c r="P368" s="57"/>
      <c r="Q368" s="65"/>
    </row>
    <row r="369">
      <c r="O369" s="65"/>
      <c r="P369" s="57"/>
      <c r="Q369" s="65"/>
    </row>
    <row r="370">
      <c r="O370" s="65"/>
      <c r="P370" s="57"/>
      <c r="Q370" s="65"/>
    </row>
    <row r="371">
      <c r="O371" s="65"/>
      <c r="P371" s="57"/>
      <c r="Q371" s="65"/>
    </row>
    <row r="372">
      <c r="O372" s="65"/>
      <c r="P372" s="57"/>
      <c r="Q372" s="65"/>
    </row>
    <row r="373">
      <c r="O373" s="65"/>
      <c r="P373" s="57"/>
      <c r="Q373" s="65"/>
    </row>
    <row r="374">
      <c r="O374" s="65"/>
      <c r="P374" s="57"/>
      <c r="Q374" s="65"/>
    </row>
    <row r="375">
      <c r="O375" s="65"/>
      <c r="P375" s="57"/>
      <c r="Q375" s="65"/>
    </row>
    <row r="376">
      <c r="O376" s="65"/>
      <c r="P376" s="57"/>
      <c r="Q376" s="65"/>
    </row>
    <row r="377">
      <c r="O377" s="65"/>
      <c r="P377" s="57"/>
      <c r="Q377" s="65"/>
    </row>
    <row r="378">
      <c r="O378" s="65"/>
      <c r="P378" s="57"/>
      <c r="Q378" s="65"/>
    </row>
    <row r="379">
      <c r="O379" s="65"/>
      <c r="P379" s="57"/>
      <c r="Q379" s="65"/>
    </row>
    <row r="380">
      <c r="O380" s="65"/>
      <c r="P380" s="57"/>
      <c r="Q380" s="65"/>
    </row>
    <row r="381">
      <c r="O381" s="65"/>
      <c r="P381" s="57"/>
      <c r="Q381" s="65"/>
    </row>
    <row r="382">
      <c r="O382" s="65"/>
      <c r="P382" s="57"/>
      <c r="Q382" s="65"/>
    </row>
    <row r="383">
      <c r="O383" s="65"/>
      <c r="P383" s="57"/>
      <c r="Q383" s="65"/>
    </row>
    <row r="384">
      <c r="O384" s="65"/>
      <c r="P384" s="57"/>
      <c r="Q384" s="65"/>
    </row>
    <row r="385">
      <c r="O385" s="65"/>
      <c r="P385" s="57"/>
      <c r="Q385" s="65"/>
    </row>
    <row r="386">
      <c r="O386" s="65"/>
      <c r="P386" s="57"/>
      <c r="Q386" s="65"/>
    </row>
    <row r="387">
      <c r="O387" s="65"/>
      <c r="P387" s="57"/>
      <c r="Q387" s="65"/>
    </row>
    <row r="388">
      <c r="O388" s="65"/>
      <c r="P388" s="57"/>
      <c r="Q388" s="65"/>
    </row>
    <row r="389">
      <c r="O389" s="65"/>
      <c r="P389" s="57"/>
      <c r="Q389" s="65"/>
    </row>
    <row r="390">
      <c r="O390" s="65"/>
      <c r="P390" s="57"/>
      <c r="Q390" s="65"/>
    </row>
    <row r="391">
      <c r="O391" s="65"/>
      <c r="P391" s="57"/>
      <c r="Q391" s="65"/>
    </row>
    <row r="392">
      <c r="O392" s="65"/>
      <c r="P392" s="57"/>
      <c r="Q392" s="65"/>
    </row>
    <row r="393">
      <c r="O393" s="65"/>
      <c r="P393" s="57"/>
      <c r="Q393" s="65"/>
    </row>
    <row r="394">
      <c r="O394" s="65"/>
      <c r="P394" s="57"/>
      <c r="Q394" s="65"/>
    </row>
    <row r="395">
      <c r="O395" s="65"/>
      <c r="P395" s="57"/>
      <c r="Q395" s="65"/>
    </row>
    <row r="396">
      <c r="O396" s="65"/>
      <c r="P396" s="57"/>
      <c r="Q396" s="65"/>
    </row>
    <row r="397">
      <c r="O397" s="65"/>
      <c r="P397" s="57"/>
      <c r="Q397" s="65"/>
    </row>
    <row r="398">
      <c r="O398" s="65"/>
      <c r="P398" s="57"/>
      <c r="Q398" s="65"/>
    </row>
    <row r="399">
      <c r="O399" s="65"/>
      <c r="P399" s="57"/>
      <c r="Q399" s="65"/>
    </row>
    <row r="400">
      <c r="O400" s="65"/>
      <c r="P400" s="57"/>
      <c r="Q400" s="65"/>
    </row>
    <row r="401">
      <c r="O401" s="65"/>
      <c r="P401" s="57"/>
      <c r="Q401" s="65"/>
    </row>
    <row r="402">
      <c r="O402" s="65"/>
      <c r="P402" s="57"/>
      <c r="Q402" s="65"/>
    </row>
    <row r="403">
      <c r="O403" s="65"/>
      <c r="P403" s="57"/>
      <c r="Q403" s="65"/>
    </row>
    <row r="404">
      <c r="O404" s="65"/>
      <c r="P404" s="57"/>
      <c r="Q404" s="65"/>
    </row>
    <row r="405">
      <c r="O405" s="65"/>
      <c r="P405" s="57"/>
      <c r="Q405" s="65"/>
    </row>
    <row r="406">
      <c r="O406" s="65"/>
      <c r="P406" s="57"/>
      <c r="Q406" s="65"/>
    </row>
    <row r="407">
      <c r="O407" s="65"/>
      <c r="P407" s="57"/>
      <c r="Q407" s="65"/>
    </row>
    <row r="408">
      <c r="O408" s="65"/>
      <c r="P408" s="57"/>
      <c r="Q408" s="65"/>
    </row>
    <row r="409">
      <c r="O409" s="65"/>
      <c r="P409" s="57"/>
      <c r="Q409" s="65"/>
    </row>
    <row r="410">
      <c r="O410" s="65"/>
      <c r="P410" s="57"/>
      <c r="Q410" s="65"/>
    </row>
    <row r="411">
      <c r="O411" s="65"/>
      <c r="P411" s="57"/>
      <c r="Q411" s="65"/>
    </row>
    <row r="412">
      <c r="O412" s="65"/>
      <c r="P412" s="57"/>
      <c r="Q412" s="65"/>
    </row>
    <row r="413">
      <c r="O413" s="65"/>
      <c r="P413" s="57"/>
      <c r="Q413" s="65"/>
    </row>
    <row r="414">
      <c r="O414" s="65"/>
      <c r="P414" s="57"/>
      <c r="Q414" s="65"/>
    </row>
    <row r="415">
      <c r="O415" s="65"/>
      <c r="P415" s="57"/>
      <c r="Q415" s="65"/>
    </row>
    <row r="416">
      <c r="O416" s="65"/>
      <c r="P416" s="57"/>
      <c r="Q416" s="65"/>
    </row>
    <row r="417">
      <c r="O417" s="65"/>
      <c r="P417" s="57"/>
      <c r="Q417" s="65"/>
    </row>
    <row r="418">
      <c r="O418" s="65"/>
      <c r="P418" s="57"/>
      <c r="Q418" s="65"/>
    </row>
    <row r="419">
      <c r="O419" s="65"/>
      <c r="P419" s="57"/>
      <c r="Q419" s="65"/>
    </row>
    <row r="420">
      <c r="O420" s="65"/>
      <c r="P420" s="57"/>
      <c r="Q420" s="65"/>
    </row>
    <row r="421">
      <c r="O421" s="65"/>
      <c r="P421" s="57"/>
      <c r="Q421" s="65"/>
    </row>
    <row r="422">
      <c r="O422" s="65"/>
      <c r="P422" s="57"/>
      <c r="Q422" s="65"/>
    </row>
    <row r="423">
      <c r="O423" s="65"/>
      <c r="P423" s="57"/>
      <c r="Q423" s="65"/>
    </row>
    <row r="424">
      <c r="O424" s="65"/>
      <c r="P424" s="57"/>
      <c r="Q424" s="65"/>
    </row>
    <row r="425">
      <c r="O425" s="65"/>
      <c r="P425" s="57"/>
      <c r="Q425" s="65"/>
    </row>
    <row r="426">
      <c r="O426" s="65"/>
      <c r="P426" s="57"/>
      <c r="Q426" s="65"/>
    </row>
    <row r="427">
      <c r="O427" s="65"/>
      <c r="P427" s="57"/>
      <c r="Q427" s="65"/>
    </row>
    <row r="428">
      <c r="O428" s="65"/>
      <c r="P428" s="57"/>
      <c r="Q428" s="65"/>
    </row>
    <row r="429">
      <c r="O429" s="65"/>
      <c r="P429" s="57"/>
      <c r="Q429" s="65"/>
    </row>
    <row r="430">
      <c r="O430" s="65"/>
      <c r="P430" s="57"/>
      <c r="Q430" s="65"/>
    </row>
    <row r="431">
      <c r="O431" s="65"/>
      <c r="P431" s="57"/>
      <c r="Q431" s="65"/>
    </row>
    <row r="432">
      <c r="O432" s="65"/>
      <c r="P432" s="57"/>
      <c r="Q432" s="65"/>
    </row>
    <row r="433">
      <c r="O433" s="65"/>
      <c r="P433" s="57"/>
      <c r="Q433" s="65"/>
    </row>
    <row r="434">
      <c r="O434" s="65"/>
      <c r="P434" s="57"/>
      <c r="Q434" s="65"/>
    </row>
    <row r="435">
      <c r="O435" s="65"/>
      <c r="P435" s="57"/>
      <c r="Q435" s="65"/>
    </row>
    <row r="436">
      <c r="O436" s="65"/>
      <c r="P436" s="57"/>
      <c r="Q436" s="65"/>
    </row>
    <row r="437">
      <c r="O437" s="65"/>
      <c r="P437" s="57"/>
      <c r="Q437" s="65"/>
    </row>
    <row r="438">
      <c r="O438" s="65"/>
      <c r="P438" s="57"/>
      <c r="Q438" s="65"/>
    </row>
    <row r="439">
      <c r="O439" s="65"/>
      <c r="P439" s="57"/>
      <c r="Q439" s="65"/>
    </row>
    <row r="440">
      <c r="O440" s="65"/>
      <c r="P440" s="57"/>
      <c r="Q440" s="65"/>
    </row>
    <row r="441">
      <c r="O441" s="65"/>
      <c r="P441" s="57"/>
      <c r="Q441" s="65"/>
    </row>
    <row r="442">
      <c r="O442" s="65"/>
      <c r="P442" s="57"/>
      <c r="Q442" s="65"/>
    </row>
    <row r="443">
      <c r="O443" s="65"/>
      <c r="P443" s="57"/>
      <c r="Q443" s="65"/>
    </row>
    <row r="444">
      <c r="O444" s="65"/>
      <c r="P444" s="57"/>
      <c r="Q444" s="65"/>
    </row>
    <row r="445">
      <c r="O445" s="65"/>
      <c r="P445" s="57"/>
      <c r="Q445" s="65"/>
    </row>
    <row r="446">
      <c r="O446" s="65"/>
      <c r="P446" s="57"/>
      <c r="Q446" s="65"/>
    </row>
    <row r="447">
      <c r="O447" s="65"/>
      <c r="P447" s="57"/>
      <c r="Q447" s="65"/>
    </row>
    <row r="448">
      <c r="O448" s="65"/>
      <c r="P448" s="57"/>
      <c r="Q448" s="65"/>
    </row>
    <row r="449">
      <c r="O449" s="65"/>
      <c r="P449" s="57"/>
      <c r="Q449" s="65"/>
    </row>
    <row r="450">
      <c r="O450" s="65"/>
      <c r="P450" s="57"/>
      <c r="Q450" s="65"/>
    </row>
    <row r="451">
      <c r="O451" s="65"/>
      <c r="P451" s="57"/>
      <c r="Q451" s="65"/>
    </row>
    <row r="452">
      <c r="O452" s="65"/>
      <c r="P452" s="57"/>
      <c r="Q452" s="65"/>
    </row>
    <row r="453">
      <c r="O453" s="65"/>
      <c r="P453" s="57"/>
      <c r="Q453" s="65"/>
    </row>
    <row r="454">
      <c r="O454" s="65"/>
      <c r="P454" s="57"/>
      <c r="Q454" s="65"/>
    </row>
    <row r="455">
      <c r="O455" s="65"/>
      <c r="P455" s="57"/>
      <c r="Q455" s="65"/>
    </row>
    <row r="456">
      <c r="O456" s="65"/>
      <c r="P456" s="57"/>
      <c r="Q456" s="65"/>
    </row>
    <row r="457">
      <c r="O457" s="65"/>
      <c r="P457" s="57"/>
      <c r="Q457" s="65"/>
    </row>
    <row r="458">
      <c r="O458" s="65"/>
      <c r="P458" s="57"/>
      <c r="Q458" s="65"/>
    </row>
    <row r="459">
      <c r="O459" s="65"/>
      <c r="P459" s="57"/>
      <c r="Q459" s="65"/>
    </row>
    <row r="460">
      <c r="O460" s="65"/>
      <c r="P460" s="57"/>
      <c r="Q460" s="65"/>
    </row>
    <row r="461">
      <c r="O461" s="65"/>
      <c r="P461" s="57"/>
      <c r="Q461" s="65"/>
    </row>
    <row r="462">
      <c r="O462" s="65"/>
      <c r="P462" s="57"/>
      <c r="Q462" s="65"/>
    </row>
    <row r="463">
      <c r="O463" s="65"/>
      <c r="P463" s="57"/>
      <c r="Q463" s="65"/>
    </row>
    <row r="464">
      <c r="O464" s="65"/>
      <c r="P464" s="57"/>
      <c r="Q464" s="65"/>
    </row>
    <row r="465">
      <c r="O465" s="65"/>
      <c r="P465" s="57"/>
      <c r="Q465" s="65"/>
    </row>
    <row r="466">
      <c r="O466" s="65"/>
      <c r="P466" s="57"/>
      <c r="Q466" s="65"/>
    </row>
    <row r="467">
      <c r="O467" s="65"/>
      <c r="P467" s="57"/>
      <c r="Q467" s="65"/>
    </row>
    <row r="468">
      <c r="O468" s="65"/>
      <c r="P468" s="57"/>
      <c r="Q468" s="65"/>
    </row>
    <row r="469">
      <c r="O469" s="65"/>
      <c r="P469" s="57"/>
      <c r="Q469" s="65"/>
    </row>
    <row r="470">
      <c r="O470" s="65"/>
      <c r="P470" s="57"/>
      <c r="Q470" s="65"/>
    </row>
    <row r="471">
      <c r="O471" s="65"/>
      <c r="P471" s="57"/>
      <c r="Q471" s="65"/>
    </row>
    <row r="472">
      <c r="O472" s="65"/>
      <c r="P472" s="57"/>
      <c r="Q472" s="65"/>
    </row>
    <row r="473">
      <c r="O473" s="65"/>
      <c r="P473" s="57"/>
      <c r="Q473" s="65"/>
    </row>
    <row r="474">
      <c r="O474" s="65"/>
      <c r="P474" s="57"/>
      <c r="Q474" s="65"/>
    </row>
    <row r="475">
      <c r="O475" s="65"/>
      <c r="P475" s="57"/>
      <c r="Q475" s="65"/>
    </row>
    <row r="476">
      <c r="O476" s="65"/>
      <c r="P476" s="57"/>
      <c r="Q476" s="65"/>
    </row>
    <row r="477">
      <c r="O477" s="65"/>
      <c r="P477" s="57"/>
      <c r="Q477" s="65"/>
    </row>
    <row r="478">
      <c r="O478" s="65"/>
      <c r="P478" s="57"/>
      <c r="Q478" s="65"/>
    </row>
    <row r="479">
      <c r="O479" s="65"/>
      <c r="P479" s="57"/>
      <c r="Q479" s="65"/>
    </row>
    <row r="480">
      <c r="O480" s="65"/>
      <c r="P480" s="57"/>
      <c r="Q480" s="65"/>
    </row>
    <row r="481">
      <c r="O481" s="65"/>
      <c r="P481" s="57"/>
      <c r="Q481" s="65"/>
    </row>
    <row r="482">
      <c r="O482" s="65"/>
      <c r="P482" s="57"/>
      <c r="Q482" s="65"/>
    </row>
    <row r="483">
      <c r="O483" s="65"/>
      <c r="P483" s="57"/>
      <c r="Q483" s="65"/>
    </row>
    <row r="484">
      <c r="O484" s="65"/>
      <c r="P484" s="57"/>
      <c r="Q484" s="65"/>
    </row>
    <row r="485">
      <c r="O485" s="65"/>
      <c r="P485" s="57"/>
      <c r="Q485" s="65"/>
    </row>
    <row r="486">
      <c r="O486" s="65"/>
      <c r="P486" s="57"/>
      <c r="Q486" s="65"/>
    </row>
    <row r="487">
      <c r="O487" s="65"/>
      <c r="P487" s="57"/>
      <c r="Q487" s="65"/>
    </row>
    <row r="488">
      <c r="O488" s="65"/>
      <c r="P488" s="57"/>
      <c r="Q488" s="65"/>
    </row>
    <row r="489">
      <c r="O489" s="65"/>
      <c r="P489" s="57"/>
      <c r="Q489" s="65"/>
    </row>
    <row r="490">
      <c r="O490" s="65"/>
      <c r="P490" s="57"/>
      <c r="Q490" s="65"/>
    </row>
    <row r="491">
      <c r="O491" s="65"/>
      <c r="P491" s="57"/>
      <c r="Q491" s="65"/>
    </row>
    <row r="492">
      <c r="O492" s="65"/>
      <c r="P492" s="57"/>
      <c r="Q492" s="65"/>
    </row>
    <row r="493">
      <c r="O493" s="65"/>
      <c r="P493" s="57"/>
      <c r="Q493" s="65"/>
    </row>
    <row r="494">
      <c r="O494" s="65"/>
      <c r="P494" s="57"/>
      <c r="Q494" s="65"/>
    </row>
    <row r="495">
      <c r="O495" s="65"/>
      <c r="P495" s="57"/>
      <c r="Q495" s="65"/>
    </row>
    <row r="496">
      <c r="O496" s="65"/>
      <c r="P496" s="57"/>
      <c r="Q496" s="65"/>
    </row>
    <row r="497">
      <c r="O497" s="65"/>
      <c r="P497" s="57"/>
      <c r="Q497" s="65"/>
    </row>
    <row r="498">
      <c r="O498" s="65"/>
      <c r="P498" s="57"/>
      <c r="Q498" s="65"/>
    </row>
    <row r="499">
      <c r="O499" s="65"/>
      <c r="P499" s="57"/>
      <c r="Q499" s="65"/>
    </row>
    <row r="500">
      <c r="O500" s="65"/>
      <c r="P500" s="57"/>
      <c r="Q500" s="65"/>
    </row>
    <row r="501">
      <c r="O501" s="65"/>
      <c r="P501" s="57"/>
      <c r="Q501" s="65"/>
    </row>
    <row r="502">
      <c r="O502" s="65"/>
      <c r="P502" s="57"/>
      <c r="Q502" s="65"/>
    </row>
    <row r="503">
      <c r="O503" s="65"/>
      <c r="P503" s="57"/>
      <c r="Q503" s="65"/>
    </row>
    <row r="504">
      <c r="O504" s="65"/>
      <c r="P504" s="57"/>
      <c r="Q504" s="65"/>
    </row>
    <row r="505">
      <c r="O505" s="65"/>
      <c r="P505" s="57"/>
      <c r="Q505" s="65"/>
    </row>
    <row r="506">
      <c r="O506" s="65"/>
      <c r="P506" s="57"/>
      <c r="Q506" s="65"/>
    </row>
    <row r="507">
      <c r="O507" s="65"/>
      <c r="P507" s="57"/>
      <c r="Q507" s="65"/>
    </row>
    <row r="508">
      <c r="O508" s="65"/>
      <c r="P508" s="57"/>
      <c r="Q508" s="65"/>
    </row>
    <row r="509">
      <c r="O509" s="65"/>
      <c r="P509" s="57"/>
      <c r="Q509" s="65"/>
    </row>
    <row r="510">
      <c r="O510" s="65"/>
      <c r="P510" s="57"/>
      <c r="Q510" s="65"/>
    </row>
    <row r="511">
      <c r="O511" s="65"/>
      <c r="P511" s="57"/>
      <c r="Q511" s="65"/>
    </row>
    <row r="512">
      <c r="O512" s="65"/>
      <c r="P512" s="57"/>
      <c r="Q512" s="65"/>
    </row>
    <row r="513">
      <c r="O513" s="65"/>
      <c r="P513" s="57"/>
      <c r="Q513" s="65"/>
    </row>
    <row r="514">
      <c r="O514" s="65"/>
      <c r="P514" s="57"/>
      <c r="Q514" s="65"/>
    </row>
    <row r="515">
      <c r="O515" s="65"/>
      <c r="P515" s="57"/>
      <c r="Q515" s="65"/>
    </row>
    <row r="516">
      <c r="O516" s="65"/>
      <c r="P516" s="57"/>
      <c r="Q516" s="65"/>
    </row>
    <row r="517">
      <c r="O517" s="65"/>
      <c r="P517" s="57"/>
      <c r="Q517" s="65"/>
    </row>
    <row r="518">
      <c r="O518" s="65"/>
      <c r="P518" s="57"/>
      <c r="Q518" s="65"/>
    </row>
    <row r="519">
      <c r="O519" s="65"/>
      <c r="P519" s="57"/>
      <c r="Q519" s="65"/>
    </row>
    <row r="520">
      <c r="O520" s="65"/>
      <c r="P520" s="57"/>
      <c r="Q520" s="65"/>
    </row>
    <row r="521">
      <c r="O521" s="65"/>
      <c r="P521" s="57"/>
      <c r="Q521" s="65"/>
    </row>
    <row r="522">
      <c r="O522" s="65"/>
      <c r="P522" s="57"/>
      <c r="Q522" s="65"/>
    </row>
    <row r="523">
      <c r="O523" s="65"/>
      <c r="P523" s="57"/>
      <c r="Q523" s="65"/>
    </row>
    <row r="524">
      <c r="O524" s="65"/>
      <c r="P524" s="57"/>
      <c r="Q524" s="65"/>
    </row>
    <row r="525">
      <c r="O525" s="65"/>
      <c r="P525" s="57"/>
      <c r="Q525" s="65"/>
    </row>
    <row r="526">
      <c r="O526" s="65"/>
      <c r="P526" s="57"/>
      <c r="Q526" s="65"/>
    </row>
    <row r="527">
      <c r="O527" s="65"/>
      <c r="P527" s="57"/>
      <c r="Q527" s="65"/>
    </row>
    <row r="528">
      <c r="O528" s="65"/>
      <c r="P528" s="57"/>
      <c r="Q528" s="65"/>
    </row>
    <row r="529">
      <c r="O529" s="65"/>
      <c r="P529" s="57"/>
      <c r="Q529" s="65"/>
    </row>
    <row r="530">
      <c r="O530" s="65"/>
      <c r="P530" s="57"/>
      <c r="Q530" s="65"/>
    </row>
    <row r="531">
      <c r="O531" s="65"/>
      <c r="P531" s="57"/>
      <c r="Q531" s="65"/>
    </row>
    <row r="532">
      <c r="O532" s="65"/>
      <c r="P532" s="57"/>
      <c r="Q532" s="65"/>
    </row>
    <row r="533">
      <c r="O533" s="65"/>
      <c r="P533" s="57"/>
      <c r="Q533" s="65"/>
    </row>
    <row r="534">
      <c r="O534" s="65"/>
      <c r="P534" s="57"/>
      <c r="Q534" s="65"/>
    </row>
    <row r="535">
      <c r="O535" s="65"/>
      <c r="P535" s="57"/>
      <c r="Q535" s="65"/>
    </row>
    <row r="536">
      <c r="O536" s="65"/>
      <c r="P536" s="57"/>
      <c r="Q536" s="65"/>
    </row>
    <row r="537">
      <c r="O537" s="65"/>
      <c r="P537" s="57"/>
      <c r="Q537" s="65"/>
    </row>
    <row r="538">
      <c r="O538" s="65"/>
      <c r="P538" s="57"/>
      <c r="Q538" s="65"/>
    </row>
    <row r="539">
      <c r="O539" s="65"/>
      <c r="P539" s="57"/>
      <c r="Q539" s="65"/>
    </row>
    <row r="540">
      <c r="O540" s="65"/>
      <c r="P540" s="57"/>
      <c r="Q540" s="65"/>
    </row>
    <row r="541">
      <c r="O541" s="65"/>
      <c r="P541" s="57"/>
      <c r="Q541" s="65"/>
    </row>
    <row r="542">
      <c r="O542" s="65"/>
      <c r="P542" s="57"/>
      <c r="Q542" s="65"/>
    </row>
    <row r="543">
      <c r="O543" s="65"/>
      <c r="P543" s="57"/>
      <c r="Q543" s="65"/>
    </row>
    <row r="544">
      <c r="O544" s="65"/>
      <c r="P544" s="57"/>
      <c r="Q544" s="65"/>
    </row>
    <row r="545">
      <c r="O545" s="65"/>
      <c r="P545" s="57"/>
      <c r="Q545" s="65"/>
    </row>
    <row r="546">
      <c r="O546" s="65"/>
      <c r="P546" s="57"/>
      <c r="Q546" s="65"/>
    </row>
    <row r="547">
      <c r="O547" s="65"/>
      <c r="P547" s="57"/>
      <c r="Q547" s="65"/>
    </row>
    <row r="548">
      <c r="O548" s="65"/>
      <c r="P548" s="57"/>
      <c r="Q548" s="65"/>
    </row>
    <row r="549">
      <c r="O549" s="65"/>
      <c r="P549" s="57"/>
      <c r="Q549" s="65"/>
    </row>
    <row r="550">
      <c r="O550" s="65"/>
      <c r="P550" s="57"/>
      <c r="Q550" s="65"/>
    </row>
    <row r="551">
      <c r="O551" s="65"/>
      <c r="P551" s="57"/>
      <c r="Q551" s="65"/>
    </row>
    <row r="552">
      <c r="O552" s="65"/>
      <c r="P552" s="57"/>
      <c r="Q552" s="65"/>
    </row>
    <row r="553">
      <c r="O553" s="65"/>
      <c r="P553" s="57"/>
      <c r="Q553" s="65"/>
    </row>
    <row r="554">
      <c r="O554" s="65"/>
      <c r="P554" s="57"/>
      <c r="Q554" s="65"/>
    </row>
    <row r="555">
      <c r="O555" s="65"/>
      <c r="P555" s="57"/>
      <c r="Q555" s="65"/>
    </row>
    <row r="556">
      <c r="O556" s="65"/>
      <c r="P556" s="57"/>
      <c r="Q556" s="65"/>
    </row>
    <row r="557">
      <c r="O557" s="65"/>
      <c r="P557" s="57"/>
      <c r="Q557" s="65"/>
    </row>
    <row r="558">
      <c r="O558" s="65"/>
      <c r="P558" s="57"/>
      <c r="Q558" s="65"/>
    </row>
    <row r="559">
      <c r="O559" s="65"/>
      <c r="P559" s="57"/>
      <c r="Q559" s="65"/>
    </row>
    <row r="560">
      <c r="O560" s="65"/>
      <c r="P560" s="57"/>
      <c r="Q560" s="65"/>
    </row>
    <row r="561">
      <c r="O561" s="65"/>
      <c r="P561" s="57"/>
      <c r="Q561" s="65"/>
    </row>
    <row r="562">
      <c r="O562" s="65"/>
      <c r="P562" s="57"/>
      <c r="Q562" s="65"/>
    </row>
    <row r="563">
      <c r="O563" s="65"/>
      <c r="P563" s="57"/>
      <c r="Q563" s="65"/>
    </row>
    <row r="564">
      <c r="O564" s="65"/>
      <c r="P564" s="57"/>
      <c r="Q564" s="65"/>
    </row>
    <row r="565">
      <c r="O565" s="65"/>
      <c r="P565" s="57"/>
      <c r="Q565" s="65"/>
    </row>
    <row r="566">
      <c r="O566" s="65"/>
      <c r="P566" s="57"/>
      <c r="Q566" s="65"/>
    </row>
    <row r="567">
      <c r="O567" s="65"/>
      <c r="P567" s="57"/>
      <c r="Q567" s="65"/>
    </row>
    <row r="568">
      <c r="O568" s="65"/>
      <c r="P568" s="57"/>
      <c r="Q568" s="65"/>
    </row>
    <row r="569">
      <c r="O569" s="65"/>
      <c r="P569" s="57"/>
      <c r="Q569" s="65"/>
    </row>
    <row r="570">
      <c r="O570" s="65"/>
      <c r="P570" s="57"/>
      <c r="Q570" s="65"/>
    </row>
    <row r="571">
      <c r="O571" s="65"/>
      <c r="P571" s="57"/>
      <c r="Q571" s="65"/>
    </row>
    <row r="572">
      <c r="O572" s="65"/>
      <c r="P572" s="57"/>
      <c r="Q572" s="65"/>
    </row>
    <row r="573">
      <c r="O573" s="65"/>
      <c r="P573" s="57"/>
      <c r="Q573" s="65"/>
    </row>
    <row r="574">
      <c r="O574" s="65"/>
      <c r="P574" s="57"/>
      <c r="Q574" s="65"/>
    </row>
    <row r="575">
      <c r="O575" s="65"/>
      <c r="P575" s="57"/>
      <c r="Q575" s="65"/>
    </row>
    <row r="576">
      <c r="O576" s="65"/>
      <c r="P576" s="57"/>
      <c r="Q576" s="65"/>
    </row>
    <row r="577">
      <c r="O577" s="65"/>
      <c r="P577" s="57"/>
      <c r="Q577" s="65"/>
    </row>
    <row r="578">
      <c r="O578" s="65"/>
      <c r="P578" s="57"/>
      <c r="Q578" s="65"/>
    </row>
    <row r="579">
      <c r="O579" s="65"/>
      <c r="P579" s="57"/>
      <c r="Q579" s="65"/>
    </row>
    <row r="580">
      <c r="O580" s="65"/>
      <c r="P580" s="57"/>
      <c r="Q580" s="65"/>
    </row>
    <row r="581">
      <c r="O581" s="65"/>
      <c r="P581" s="57"/>
      <c r="Q581" s="65"/>
    </row>
    <row r="582">
      <c r="O582" s="65"/>
      <c r="P582" s="57"/>
      <c r="Q582" s="65"/>
    </row>
    <row r="583">
      <c r="O583" s="65"/>
      <c r="P583" s="57"/>
      <c r="Q583" s="65"/>
    </row>
    <row r="584">
      <c r="O584" s="65"/>
      <c r="P584" s="57"/>
      <c r="Q584" s="65"/>
    </row>
    <row r="585">
      <c r="O585" s="65"/>
      <c r="P585" s="57"/>
      <c r="Q585" s="65"/>
    </row>
    <row r="586">
      <c r="O586" s="65"/>
      <c r="P586" s="57"/>
      <c r="Q586" s="65"/>
    </row>
    <row r="587">
      <c r="O587" s="65"/>
      <c r="P587" s="57"/>
      <c r="Q587" s="65"/>
    </row>
    <row r="588">
      <c r="O588" s="65"/>
      <c r="P588" s="57"/>
      <c r="Q588" s="65"/>
    </row>
    <row r="589">
      <c r="O589" s="65"/>
      <c r="P589" s="57"/>
      <c r="Q589" s="65"/>
    </row>
    <row r="590">
      <c r="O590" s="65"/>
      <c r="P590" s="57"/>
      <c r="Q590" s="65"/>
    </row>
    <row r="591">
      <c r="O591" s="65"/>
      <c r="P591" s="57"/>
      <c r="Q591" s="65"/>
    </row>
    <row r="592">
      <c r="O592" s="65"/>
      <c r="P592" s="57"/>
      <c r="Q592" s="65"/>
    </row>
    <row r="593">
      <c r="O593" s="65"/>
      <c r="P593" s="57"/>
      <c r="Q593" s="65"/>
    </row>
    <row r="594">
      <c r="O594" s="65"/>
      <c r="P594" s="57"/>
      <c r="Q594" s="65"/>
    </row>
    <row r="595">
      <c r="O595" s="65"/>
      <c r="P595" s="57"/>
      <c r="Q595" s="65"/>
    </row>
    <row r="596">
      <c r="O596" s="65"/>
      <c r="P596" s="57"/>
      <c r="Q596" s="65"/>
    </row>
    <row r="597">
      <c r="O597" s="65"/>
      <c r="P597" s="57"/>
      <c r="Q597" s="65"/>
    </row>
    <row r="598">
      <c r="O598" s="65"/>
      <c r="P598" s="57"/>
      <c r="Q598" s="65"/>
    </row>
    <row r="599">
      <c r="O599" s="65"/>
      <c r="P599" s="57"/>
      <c r="Q599" s="65"/>
    </row>
    <row r="600">
      <c r="O600" s="65"/>
      <c r="P600" s="57"/>
      <c r="Q600" s="65"/>
    </row>
    <row r="601">
      <c r="O601" s="65"/>
      <c r="P601" s="57"/>
      <c r="Q601" s="65"/>
    </row>
    <row r="602">
      <c r="O602" s="65"/>
      <c r="P602" s="57"/>
      <c r="Q602" s="65"/>
    </row>
    <row r="603">
      <c r="O603" s="65"/>
      <c r="P603" s="57"/>
      <c r="Q603" s="65"/>
    </row>
    <row r="604">
      <c r="O604" s="65"/>
      <c r="P604" s="57"/>
      <c r="Q604" s="65"/>
    </row>
    <row r="605">
      <c r="O605" s="65"/>
      <c r="P605" s="57"/>
      <c r="Q605" s="65"/>
    </row>
    <row r="606">
      <c r="O606" s="65"/>
      <c r="P606" s="57"/>
      <c r="Q606" s="65"/>
    </row>
    <row r="607">
      <c r="O607" s="65"/>
      <c r="P607" s="57"/>
      <c r="Q607" s="65"/>
    </row>
    <row r="608">
      <c r="O608" s="65"/>
      <c r="P608" s="57"/>
      <c r="Q608" s="65"/>
    </row>
    <row r="609">
      <c r="O609" s="65"/>
      <c r="P609" s="57"/>
      <c r="Q609" s="65"/>
    </row>
    <row r="610">
      <c r="O610" s="65"/>
      <c r="P610" s="57"/>
      <c r="Q610" s="65"/>
    </row>
    <row r="611">
      <c r="O611" s="65"/>
      <c r="P611" s="57"/>
      <c r="Q611" s="65"/>
    </row>
    <row r="612">
      <c r="O612" s="65"/>
      <c r="P612" s="57"/>
      <c r="Q612" s="65"/>
    </row>
    <row r="613">
      <c r="O613" s="65"/>
      <c r="P613" s="57"/>
      <c r="Q613" s="65"/>
    </row>
    <row r="614">
      <c r="O614" s="65"/>
      <c r="P614" s="57"/>
      <c r="Q614" s="65"/>
    </row>
    <row r="615">
      <c r="O615" s="65"/>
      <c r="P615" s="57"/>
      <c r="Q615" s="65"/>
    </row>
    <row r="616">
      <c r="O616" s="65"/>
      <c r="P616" s="57"/>
      <c r="Q616" s="65"/>
    </row>
    <row r="617">
      <c r="O617" s="65"/>
      <c r="P617" s="57"/>
      <c r="Q617" s="65"/>
    </row>
    <row r="618">
      <c r="O618" s="65"/>
      <c r="P618" s="57"/>
      <c r="Q618" s="65"/>
    </row>
    <row r="619">
      <c r="O619" s="65"/>
      <c r="P619" s="57"/>
      <c r="Q619" s="65"/>
    </row>
    <row r="620">
      <c r="O620" s="65"/>
      <c r="P620" s="57"/>
      <c r="Q620" s="65"/>
    </row>
    <row r="621">
      <c r="O621" s="65"/>
      <c r="P621" s="57"/>
      <c r="Q621" s="65"/>
    </row>
    <row r="622">
      <c r="O622" s="65"/>
      <c r="P622" s="57"/>
      <c r="Q622" s="65"/>
    </row>
    <row r="623">
      <c r="O623" s="65"/>
      <c r="P623" s="57"/>
      <c r="Q623" s="65"/>
    </row>
    <row r="624">
      <c r="O624" s="65"/>
      <c r="P624" s="57"/>
      <c r="Q624" s="65"/>
    </row>
    <row r="625">
      <c r="O625" s="65"/>
      <c r="P625" s="57"/>
      <c r="Q625" s="65"/>
    </row>
    <row r="626">
      <c r="O626" s="65"/>
      <c r="P626" s="57"/>
      <c r="Q626" s="65"/>
    </row>
    <row r="627">
      <c r="O627" s="65"/>
      <c r="P627" s="57"/>
      <c r="Q627" s="65"/>
    </row>
    <row r="628">
      <c r="O628" s="65"/>
      <c r="P628" s="57"/>
      <c r="Q628" s="65"/>
    </row>
    <row r="629">
      <c r="O629" s="65"/>
      <c r="P629" s="57"/>
      <c r="Q629" s="65"/>
    </row>
    <row r="630">
      <c r="O630" s="65"/>
      <c r="P630" s="57"/>
      <c r="Q630" s="65"/>
    </row>
    <row r="631">
      <c r="O631" s="65"/>
      <c r="P631" s="57"/>
      <c r="Q631" s="65"/>
    </row>
    <row r="632">
      <c r="O632" s="65"/>
      <c r="P632" s="57"/>
      <c r="Q632" s="65"/>
    </row>
    <row r="633">
      <c r="O633" s="65"/>
      <c r="P633" s="57"/>
      <c r="Q633" s="65"/>
    </row>
    <row r="634">
      <c r="O634" s="65"/>
      <c r="P634" s="57"/>
      <c r="Q634" s="65"/>
    </row>
    <row r="635">
      <c r="O635" s="65"/>
      <c r="P635" s="57"/>
      <c r="Q635" s="65"/>
    </row>
    <row r="636">
      <c r="O636" s="65"/>
      <c r="P636" s="57"/>
      <c r="Q636" s="65"/>
    </row>
    <row r="637">
      <c r="O637" s="65"/>
      <c r="P637" s="57"/>
      <c r="Q637" s="65"/>
    </row>
    <row r="638">
      <c r="O638" s="65"/>
      <c r="P638" s="57"/>
      <c r="Q638" s="65"/>
    </row>
    <row r="639">
      <c r="O639" s="65"/>
      <c r="P639" s="57"/>
      <c r="Q639" s="65"/>
    </row>
    <row r="640">
      <c r="O640" s="65"/>
      <c r="P640" s="57"/>
      <c r="Q640" s="65"/>
    </row>
    <row r="641">
      <c r="O641" s="65"/>
      <c r="P641" s="57"/>
      <c r="Q641" s="65"/>
    </row>
    <row r="642">
      <c r="O642" s="65"/>
      <c r="P642" s="57"/>
      <c r="Q642" s="65"/>
    </row>
    <row r="643">
      <c r="O643" s="65"/>
      <c r="P643" s="57"/>
      <c r="Q643" s="65"/>
    </row>
    <row r="644">
      <c r="O644" s="65"/>
      <c r="P644" s="57"/>
      <c r="Q644" s="65"/>
    </row>
    <row r="645">
      <c r="O645" s="65"/>
      <c r="P645" s="57"/>
      <c r="Q645" s="65"/>
    </row>
    <row r="646">
      <c r="O646" s="65"/>
      <c r="P646" s="57"/>
      <c r="Q646" s="65"/>
    </row>
    <row r="647">
      <c r="O647" s="65"/>
      <c r="P647" s="57"/>
      <c r="Q647" s="65"/>
    </row>
    <row r="648">
      <c r="O648" s="65"/>
      <c r="P648" s="57"/>
      <c r="Q648" s="65"/>
    </row>
    <row r="649">
      <c r="O649" s="65"/>
      <c r="P649" s="57"/>
      <c r="Q649" s="65"/>
    </row>
    <row r="650">
      <c r="O650" s="65"/>
      <c r="P650" s="57"/>
      <c r="Q650" s="65"/>
    </row>
    <row r="651">
      <c r="O651" s="65"/>
      <c r="P651" s="57"/>
      <c r="Q651" s="65"/>
    </row>
    <row r="652">
      <c r="O652" s="65"/>
      <c r="P652" s="57"/>
      <c r="Q652" s="65"/>
    </row>
    <row r="653">
      <c r="O653" s="65"/>
      <c r="P653" s="57"/>
      <c r="Q653" s="65"/>
    </row>
    <row r="654">
      <c r="O654" s="65"/>
      <c r="P654" s="57"/>
      <c r="Q654" s="65"/>
    </row>
    <row r="655">
      <c r="O655" s="65"/>
      <c r="P655" s="57"/>
      <c r="Q655" s="65"/>
    </row>
    <row r="656">
      <c r="O656" s="65"/>
      <c r="P656" s="57"/>
      <c r="Q656" s="65"/>
    </row>
    <row r="657">
      <c r="O657" s="65"/>
      <c r="P657" s="57"/>
      <c r="Q657" s="65"/>
    </row>
    <row r="658">
      <c r="O658" s="65"/>
      <c r="P658" s="57"/>
      <c r="Q658" s="65"/>
    </row>
    <row r="659">
      <c r="O659" s="65"/>
      <c r="P659" s="57"/>
      <c r="Q659" s="65"/>
    </row>
    <row r="660">
      <c r="O660" s="65"/>
      <c r="P660" s="57"/>
      <c r="Q660" s="65"/>
    </row>
    <row r="661">
      <c r="O661" s="65"/>
      <c r="P661" s="57"/>
      <c r="Q661" s="65"/>
    </row>
    <row r="662">
      <c r="O662" s="65"/>
      <c r="P662" s="57"/>
      <c r="Q662" s="65"/>
    </row>
    <row r="663">
      <c r="O663" s="65"/>
      <c r="P663" s="57"/>
      <c r="Q663" s="65"/>
    </row>
    <row r="664">
      <c r="O664" s="65"/>
      <c r="P664" s="57"/>
      <c r="Q664" s="65"/>
    </row>
    <row r="665">
      <c r="O665" s="65"/>
      <c r="P665" s="57"/>
      <c r="Q665" s="65"/>
    </row>
    <row r="666">
      <c r="O666" s="65"/>
      <c r="P666" s="57"/>
      <c r="Q666" s="65"/>
    </row>
    <row r="667">
      <c r="O667" s="65"/>
      <c r="P667" s="57"/>
      <c r="Q667" s="65"/>
    </row>
    <row r="668">
      <c r="O668" s="65"/>
      <c r="P668" s="57"/>
      <c r="Q668" s="65"/>
    </row>
    <row r="669">
      <c r="O669" s="65"/>
      <c r="P669" s="57"/>
      <c r="Q669" s="65"/>
    </row>
    <row r="670">
      <c r="O670" s="65"/>
      <c r="P670" s="57"/>
      <c r="Q670" s="65"/>
    </row>
    <row r="671">
      <c r="O671" s="65"/>
      <c r="P671" s="57"/>
      <c r="Q671" s="65"/>
    </row>
    <row r="672">
      <c r="O672" s="65"/>
      <c r="P672" s="57"/>
      <c r="Q672" s="65"/>
    </row>
    <row r="673">
      <c r="O673" s="65"/>
      <c r="P673" s="57"/>
      <c r="Q673" s="65"/>
    </row>
    <row r="674">
      <c r="O674" s="65"/>
      <c r="P674" s="57"/>
      <c r="Q674" s="65"/>
    </row>
    <row r="675">
      <c r="O675" s="65"/>
      <c r="P675" s="57"/>
      <c r="Q675" s="65"/>
    </row>
    <row r="676">
      <c r="O676" s="65"/>
      <c r="P676" s="57"/>
      <c r="Q676" s="65"/>
    </row>
    <row r="677">
      <c r="O677" s="65"/>
      <c r="P677" s="57"/>
      <c r="Q677" s="65"/>
    </row>
    <row r="678">
      <c r="O678" s="65"/>
      <c r="P678" s="57"/>
      <c r="Q678" s="65"/>
    </row>
    <row r="679">
      <c r="O679" s="65"/>
      <c r="P679" s="57"/>
      <c r="Q679" s="65"/>
    </row>
    <row r="680">
      <c r="O680" s="65"/>
      <c r="P680" s="57"/>
      <c r="Q680" s="65"/>
    </row>
    <row r="681">
      <c r="O681" s="65"/>
      <c r="P681" s="57"/>
      <c r="Q681" s="65"/>
    </row>
    <row r="682">
      <c r="O682" s="65"/>
      <c r="P682" s="57"/>
      <c r="Q682" s="65"/>
    </row>
    <row r="683">
      <c r="O683" s="65"/>
      <c r="P683" s="57"/>
      <c r="Q683" s="65"/>
    </row>
    <row r="684">
      <c r="O684" s="65"/>
      <c r="P684" s="57"/>
      <c r="Q684" s="65"/>
    </row>
    <row r="685">
      <c r="O685" s="65"/>
      <c r="P685" s="57"/>
      <c r="Q685" s="65"/>
    </row>
    <row r="686">
      <c r="O686" s="65"/>
      <c r="P686" s="57"/>
      <c r="Q686" s="65"/>
    </row>
    <row r="687">
      <c r="O687" s="65"/>
      <c r="P687" s="57"/>
      <c r="Q687" s="65"/>
    </row>
    <row r="688">
      <c r="O688" s="65"/>
      <c r="P688" s="57"/>
      <c r="Q688" s="65"/>
    </row>
    <row r="689">
      <c r="O689" s="65"/>
      <c r="P689" s="57"/>
      <c r="Q689" s="65"/>
    </row>
    <row r="690">
      <c r="O690" s="65"/>
      <c r="P690" s="57"/>
      <c r="Q690" s="65"/>
    </row>
    <row r="691">
      <c r="O691" s="65"/>
      <c r="P691" s="57"/>
      <c r="Q691" s="65"/>
    </row>
    <row r="692">
      <c r="O692" s="65"/>
      <c r="P692" s="57"/>
      <c r="Q692" s="65"/>
    </row>
    <row r="693">
      <c r="O693" s="65"/>
      <c r="P693" s="57"/>
      <c r="Q693" s="65"/>
    </row>
    <row r="694">
      <c r="O694" s="65"/>
      <c r="P694" s="57"/>
      <c r="Q694" s="65"/>
    </row>
    <row r="695">
      <c r="O695" s="65"/>
      <c r="P695" s="57"/>
      <c r="Q695" s="65"/>
    </row>
    <row r="696">
      <c r="O696" s="65"/>
      <c r="P696" s="57"/>
      <c r="Q696" s="65"/>
    </row>
    <row r="697">
      <c r="O697" s="65"/>
      <c r="P697" s="57"/>
      <c r="Q697" s="65"/>
    </row>
    <row r="698">
      <c r="O698" s="65"/>
      <c r="P698" s="57"/>
      <c r="Q698" s="65"/>
    </row>
    <row r="699">
      <c r="O699" s="65"/>
      <c r="P699" s="57"/>
      <c r="Q699" s="65"/>
    </row>
    <row r="700">
      <c r="O700" s="65"/>
      <c r="P700" s="57"/>
      <c r="Q700" s="65"/>
    </row>
    <row r="701">
      <c r="O701" s="65"/>
      <c r="P701" s="57"/>
      <c r="Q701" s="65"/>
    </row>
    <row r="702">
      <c r="O702" s="65"/>
      <c r="P702" s="57"/>
      <c r="Q702" s="65"/>
    </row>
    <row r="703">
      <c r="O703" s="65"/>
      <c r="P703" s="57"/>
      <c r="Q703" s="65"/>
    </row>
    <row r="704">
      <c r="O704" s="65"/>
      <c r="P704" s="57"/>
      <c r="Q704" s="65"/>
    </row>
    <row r="705">
      <c r="O705" s="65"/>
      <c r="P705" s="57"/>
      <c r="Q705" s="65"/>
    </row>
    <row r="706">
      <c r="O706" s="65"/>
      <c r="P706" s="57"/>
      <c r="Q706" s="65"/>
    </row>
    <row r="707">
      <c r="O707" s="65"/>
      <c r="P707" s="57"/>
      <c r="Q707" s="65"/>
    </row>
    <row r="708">
      <c r="O708" s="65"/>
      <c r="P708" s="57"/>
      <c r="Q708" s="65"/>
    </row>
    <row r="709">
      <c r="O709" s="65"/>
      <c r="P709" s="57"/>
      <c r="Q709" s="65"/>
    </row>
    <row r="710">
      <c r="O710" s="65"/>
      <c r="P710" s="57"/>
      <c r="Q710" s="65"/>
    </row>
    <row r="711">
      <c r="O711" s="65"/>
      <c r="P711" s="57"/>
      <c r="Q711" s="65"/>
    </row>
    <row r="712">
      <c r="O712" s="65"/>
      <c r="P712" s="57"/>
      <c r="Q712" s="65"/>
    </row>
    <row r="713">
      <c r="O713" s="65"/>
      <c r="P713" s="57"/>
      <c r="Q713" s="65"/>
    </row>
    <row r="714">
      <c r="O714" s="65"/>
      <c r="P714" s="57"/>
      <c r="Q714" s="65"/>
    </row>
    <row r="715">
      <c r="O715" s="65"/>
      <c r="P715" s="57"/>
      <c r="Q715" s="65"/>
    </row>
    <row r="716">
      <c r="O716" s="65"/>
      <c r="P716" s="57"/>
      <c r="Q716" s="65"/>
    </row>
    <row r="717">
      <c r="O717" s="65"/>
      <c r="P717" s="57"/>
      <c r="Q717" s="65"/>
    </row>
    <row r="718">
      <c r="O718" s="65"/>
      <c r="P718" s="57"/>
      <c r="Q718" s="65"/>
    </row>
    <row r="719">
      <c r="O719" s="65"/>
      <c r="P719" s="57"/>
      <c r="Q719" s="65"/>
    </row>
    <row r="720">
      <c r="O720" s="65"/>
      <c r="P720" s="57"/>
      <c r="Q720" s="65"/>
    </row>
    <row r="721">
      <c r="O721" s="65"/>
      <c r="P721" s="57"/>
      <c r="Q721" s="65"/>
    </row>
    <row r="722">
      <c r="O722" s="65"/>
      <c r="P722" s="57"/>
      <c r="Q722" s="65"/>
    </row>
    <row r="723">
      <c r="O723" s="65"/>
      <c r="P723" s="57"/>
      <c r="Q723" s="65"/>
    </row>
    <row r="724">
      <c r="O724" s="65"/>
      <c r="P724" s="57"/>
      <c r="Q724" s="65"/>
    </row>
    <row r="725">
      <c r="O725" s="65"/>
      <c r="P725" s="57"/>
      <c r="Q725" s="65"/>
    </row>
    <row r="726">
      <c r="O726" s="65"/>
      <c r="P726" s="57"/>
      <c r="Q726" s="65"/>
    </row>
    <row r="727">
      <c r="O727" s="65"/>
      <c r="P727" s="57"/>
      <c r="Q727" s="65"/>
    </row>
    <row r="728">
      <c r="O728" s="65"/>
      <c r="P728" s="57"/>
      <c r="Q728" s="65"/>
    </row>
    <row r="729">
      <c r="O729" s="65"/>
      <c r="P729" s="57"/>
      <c r="Q729" s="65"/>
    </row>
    <row r="730">
      <c r="O730" s="65"/>
      <c r="P730" s="57"/>
      <c r="Q730" s="65"/>
    </row>
    <row r="731">
      <c r="O731" s="65"/>
      <c r="P731" s="57"/>
      <c r="Q731" s="65"/>
    </row>
    <row r="732">
      <c r="O732" s="65"/>
      <c r="P732" s="57"/>
      <c r="Q732" s="65"/>
    </row>
    <row r="733">
      <c r="O733" s="65"/>
      <c r="P733" s="57"/>
      <c r="Q733" s="65"/>
    </row>
    <row r="734">
      <c r="O734" s="65"/>
      <c r="P734" s="57"/>
      <c r="Q734" s="65"/>
    </row>
    <row r="735">
      <c r="O735" s="65"/>
      <c r="P735" s="57"/>
      <c r="Q735" s="65"/>
    </row>
    <row r="736">
      <c r="O736" s="65"/>
      <c r="P736" s="57"/>
      <c r="Q736" s="65"/>
    </row>
    <row r="737">
      <c r="O737" s="65"/>
      <c r="P737" s="57"/>
      <c r="Q737" s="65"/>
    </row>
    <row r="738">
      <c r="O738" s="65"/>
      <c r="P738" s="57"/>
      <c r="Q738" s="65"/>
    </row>
    <row r="739">
      <c r="O739" s="65"/>
      <c r="P739" s="57"/>
      <c r="Q739" s="65"/>
    </row>
    <row r="740">
      <c r="O740" s="65"/>
      <c r="P740" s="57"/>
      <c r="Q740" s="65"/>
    </row>
    <row r="741">
      <c r="O741" s="65"/>
      <c r="P741" s="57"/>
      <c r="Q741" s="65"/>
    </row>
    <row r="742">
      <c r="O742" s="65"/>
      <c r="P742" s="57"/>
      <c r="Q742" s="65"/>
    </row>
    <row r="743">
      <c r="O743" s="65"/>
      <c r="P743" s="57"/>
      <c r="Q743" s="65"/>
    </row>
    <row r="744">
      <c r="O744" s="65"/>
      <c r="P744" s="57"/>
      <c r="Q744" s="65"/>
    </row>
    <row r="745">
      <c r="O745" s="65"/>
      <c r="P745" s="57"/>
      <c r="Q745" s="65"/>
    </row>
    <row r="746">
      <c r="O746" s="65"/>
      <c r="P746" s="57"/>
      <c r="Q746" s="65"/>
    </row>
    <row r="747">
      <c r="O747" s="65"/>
      <c r="P747" s="57"/>
      <c r="Q747" s="65"/>
    </row>
    <row r="748">
      <c r="O748" s="65"/>
      <c r="P748" s="57"/>
      <c r="Q748" s="65"/>
    </row>
    <row r="749">
      <c r="O749" s="65"/>
      <c r="P749" s="57"/>
      <c r="Q749" s="65"/>
    </row>
    <row r="750">
      <c r="O750" s="65"/>
      <c r="P750" s="57"/>
      <c r="Q750" s="65"/>
    </row>
    <row r="751">
      <c r="O751" s="65"/>
      <c r="P751" s="57"/>
      <c r="Q751" s="65"/>
    </row>
    <row r="752">
      <c r="O752" s="65"/>
      <c r="P752" s="57"/>
      <c r="Q752" s="65"/>
    </row>
    <row r="753">
      <c r="O753" s="65"/>
      <c r="P753" s="57"/>
      <c r="Q753" s="65"/>
    </row>
    <row r="754">
      <c r="O754" s="65"/>
      <c r="P754" s="57"/>
      <c r="Q754" s="65"/>
    </row>
    <row r="755">
      <c r="O755" s="65"/>
      <c r="P755" s="57"/>
      <c r="Q755" s="65"/>
    </row>
    <row r="756">
      <c r="O756" s="65"/>
      <c r="P756" s="57"/>
      <c r="Q756" s="65"/>
    </row>
    <row r="757">
      <c r="O757" s="65"/>
      <c r="P757" s="57"/>
      <c r="Q757" s="65"/>
    </row>
    <row r="758">
      <c r="O758" s="65"/>
      <c r="P758" s="57"/>
      <c r="Q758" s="65"/>
    </row>
    <row r="759">
      <c r="O759" s="65"/>
      <c r="P759" s="57"/>
      <c r="Q759" s="65"/>
    </row>
    <row r="760">
      <c r="O760" s="65"/>
      <c r="P760" s="57"/>
      <c r="Q760" s="65"/>
    </row>
    <row r="761">
      <c r="O761" s="65"/>
      <c r="P761" s="57"/>
      <c r="Q761" s="65"/>
    </row>
    <row r="762">
      <c r="O762" s="65"/>
      <c r="P762" s="57"/>
      <c r="Q762" s="65"/>
    </row>
    <row r="763">
      <c r="O763" s="65"/>
      <c r="P763" s="57"/>
      <c r="Q763" s="65"/>
    </row>
    <row r="764">
      <c r="O764" s="65"/>
      <c r="P764" s="57"/>
      <c r="Q764" s="65"/>
    </row>
    <row r="765">
      <c r="O765" s="65"/>
      <c r="P765" s="57"/>
      <c r="Q765" s="65"/>
    </row>
    <row r="766">
      <c r="O766" s="65"/>
      <c r="P766" s="57"/>
      <c r="Q766" s="65"/>
    </row>
    <row r="767">
      <c r="O767" s="65"/>
      <c r="P767" s="57"/>
      <c r="Q767" s="65"/>
    </row>
    <row r="768">
      <c r="O768" s="65"/>
      <c r="P768" s="57"/>
      <c r="Q768" s="65"/>
    </row>
    <row r="769">
      <c r="O769" s="65"/>
      <c r="P769" s="57"/>
      <c r="Q769" s="65"/>
    </row>
    <row r="770">
      <c r="O770" s="65"/>
      <c r="P770" s="57"/>
      <c r="Q770" s="65"/>
    </row>
    <row r="771">
      <c r="O771" s="65"/>
      <c r="P771" s="57"/>
      <c r="Q771" s="65"/>
    </row>
    <row r="772">
      <c r="O772" s="65"/>
      <c r="P772" s="57"/>
      <c r="Q772" s="65"/>
    </row>
    <row r="773">
      <c r="O773" s="65"/>
      <c r="P773" s="57"/>
      <c r="Q773" s="65"/>
    </row>
    <row r="774">
      <c r="O774" s="65"/>
      <c r="P774" s="57"/>
      <c r="Q774" s="65"/>
    </row>
    <row r="775">
      <c r="O775" s="65"/>
      <c r="P775" s="57"/>
      <c r="Q775" s="65"/>
    </row>
    <row r="776">
      <c r="O776" s="65"/>
      <c r="P776" s="57"/>
      <c r="Q776" s="65"/>
    </row>
    <row r="777">
      <c r="O777" s="65"/>
      <c r="P777" s="57"/>
      <c r="Q777" s="65"/>
    </row>
    <row r="778">
      <c r="O778" s="65"/>
      <c r="P778" s="57"/>
      <c r="Q778" s="65"/>
    </row>
    <row r="779">
      <c r="O779" s="65"/>
      <c r="P779" s="57"/>
      <c r="Q779" s="65"/>
    </row>
    <row r="780">
      <c r="O780" s="65"/>
      <c r="P780" s="57"/>
      <c r="Q780" s="65"/>
    </row>
    <row r="781">
      <c r="O781" s="65"/>
      <c r="P781" s="57"/>
      <c r="Q781" s="65"/>
    </row>
    <row r="782">
      <c r="O782" s="65"/>
      <c r="P782" s="57"/>
      <c r="Q782" s="65"/>
    </row>
    <row r="783">
      <c r="O783" s="65"/>
      <c r="P783" s="57"/>
      <c r="Q783" s="65"/>
    </row>
    <row r="784">
      <c r="O784" s="65"/>
      <c r="P784" s="57"/>
      <c r="Q784" s="65"/>
    </row>
    <row r="785">
      <c r="O785" s="65"/>
      <c r="P785" s="57"/>
      <c r="Q785" s="65"/>
    </row>
    <row r="786">
      <c r="O786" s="65"/>
      <c r="P786" s="57"/>
      <c r="Q786" s="65"/>
    </row>
    <row r="787">
      <c r="O787" s="65"/>
      <c r="P787" s="57"/>
      <c r="Q787" s="65"/>
    </row>
    <row r="788">
      <c r="O788" s="65"/>
      <c r="P788" s="57"/>
      <c r="Q788" s="65"/>
    </row>
    <row r="789">
      <c r="O789" s="65"/>
      <c r="P789" s="57"/>
      <c r="Q789" s="65"/>
    </row>
    <row r="790">
      <c r="O790" s="65"/>
      <c r="P790" s="57"/>
      <c r="Q790" s="65"/>
    </row>
    <row r="791">
      <c r="O791" s="65"/>
      <c r="P791" s="57"/>
      <c r="Q791" s="65"/>
    </row>
    <row r="792">
      <c r="O792" s="65"/>
      <c r="P792" s="57"/>
      <c r="Q792" s="65"/>
    </row>
    <row r="793">
      <c r="O793" s="65"/>
      <c r="P793" s="57"/>
      <c r="Q793" s="65"/>
    </row>
    <row r="794">
      <c r="O794" s="65"/>
      <c r="P794" s="57"/>
      <c r="Q794" s="65"/>
    </row>
    <row r="795">
      <c r="O795" s="65"/>
      <c r="P795" s="57"/>
      <c r="Q795" s="65"/>
    </row>
    <row r="796">
      <c r="O796" s="65"/>
      <c r="P796" s="57"/>
      <c r="Q796" s="65"/>
    </row>
    <row r="797">
      <c r="O797" s="65"/>
      <c r="P797" s="57"/>
      <c r="Q797" s="65"/>
    </row>
    <row r="798">
      <c r="O798" s="65"/>
      <c r="P798" s="57"/>
      <c r="Q798" s="65"/>
    </row>
    <row r="799">
      <c r="O799" s="65"/>
      <c r="P799" s="57"/>
      <c r="Q799" s="65"/>
    </row>
    <row r="800">
      <c r="O800" s="65"/>
      <c r="P800" s="57"/>
      <c r="Q800" s="65"/>
    </row>
    <row r="801">
      <c r="O801" s="65"/>
      <c r="P801" s="57"/>
      <c r="Q801" s="65"/>
    </row>
    <row r="802">
      <c r="O802" s="65"/>
      <c r="P802" s="57"/>
      <c r="Q802" s="65"/>
    </row>
    <row r="803">
      <c r="O803" s="65"/>
      <c r="P803" s="57"/>
      <c r="Q803" s="65"/>
    </row>
    <row r="804">
      <c r="O804" s="65"/>
      <c r="P804" s="57"/>
      <c r="Q804" s="65"/>
    </row>
    <row r="805">
      <c r="O805" s="65"/>
      <c r="P805" s="57"/>
      <c r="Q805" s="65"/>
    </row>
    <row r="806">
      <c r="O806" s="65"/>
      <c r="P806" s="57"/>
      <c r="Q806" s="65"/>
    </row>
    <row r="807">
      <c r="O807" s="65"/>
      <c r="P807" s="57"/>
      <c r="Q807" s="65"/>
    </row>
    <row r="808">
      <c r="O808" s="65"/>
      <c r="P808" s="57"/>
      <c r="Q808" s="65"/>
    </row>
    <row r="809">
      <c r="O809" s="65"/>
      <c r="P809" s="57"/>
      <c r="Q809" s="65"/>
    </row>
    <row r="810">
      <c r="O810" s="65"/>
      <c r="P810" s="57"/>
      <c r="Q810" s="65"/>
    </row>
    <row r="811">
      <c r="O811" s="65"/>
      <c r="P811" s="57"/>
      <c r="Q811" s="65"/>
    </row>
    <row r="812">
      <c r="O812" s="65"/>
      <c r="P812" s="57"/>
      <c r="Q812" s="65"/>
    </row>
    <row r="813">
      <c r="O813" s="65"/>
      <c r="P813" s="57"/>
      <c r="Q813" s="65"/>
    </row>
    <row r="814">
      <c r="O814" s="65"/>
      <c r="P814" s="57"/>
      <c r="Q814" s="65"/>
    </row>
    <row r="815">
      <c r="O815" s="65"/>
      <c r="P815" s="57"/>
      <c r="Q815" s="65"/>
    </row>
    <row r="816">
      <c r="O816" s="65"/>
      <c r="P816" s="57"/>
      <c r="Q816" s="65"/>
    </row>
    <row r="817">
      <c r="O817" s="65"/>
      <c r="P817" s="57"/>
      <c r="Q817" s="65"/>
    </row>
    <row r="818">
      <c r="O818" s="65"/>
      <c r="P818" s="57"/>
      <c r="Q818" s="65"/>
    </row>
    <row r="819">
      <c r="O819" s="65"/>
      <c r="P819" s="57"/>
      <c r="Q819" s="65"/>
    </row>
    <row r="820">
      <c r="O820" s="65"/>
      <c r="P820" s="57"/>
      <c r="Q820" s="65"/>
    </row>
    <row r="821">
      <c r="O821" s="65"/>
      <c r="P821" s="57"/>
      <c r="Q821" s="65"/>
    </row>
    <row r="822">
      <c r="O822" s="65"/>
      <c r="P822" s="57"/>
      <c r="Q822" s="65"/>
    </row>
    <row r="823">
      <c r="O823" s="65"/>
      <c r="P823" s="57"/>
      <c r="Q823" s="65"/>
    </row>
    <row r="824">
      <c r="O824" s="65"/>
      <c r="P824" s="57"/>
      <c r="Q824" s="65"/>
    </row>
    <row r="825">
      <c r="O825" s="65"/>
      <c r="P825" s="57"/>
      <c r="Q825" s="65"/>
    </row>
    <row r="826">
      <c r="O826" s="65"/>
      <c r="P826" s="57"/>
      <c r="Q826" s="65"/>
    </row>
    <row r="827">
      <c r="O827" s="65"/>
      <c r="P827" s="57"/>
      <c r="Q827" s="65"/>
    </row>
    <row r="828">
      <c r="O828" s="65"/>
      <c r="P828" s="57"/>
      <c r="Q828" s="65"/>
    </row>
    <row r="829">
      <c r="O829" s="65"/>
      <c r="P829" s="57"/>
      <c r="Q829" s="65"/>
    </row>
    <row r="830">
      <c r="O830" s="65"/>
      <c r="P830" s="57"/>
      <c r="Q830" s="65"/>
    </row>
    <row r="831">
      <c r="O831" s="65"/>
      <c r="P831" s="57"/>
      <c r="Q831" s="65"/>
    </row>
    <row r="832">
      <c r="O832" s="65"/>
      <c r="P832" s="57"/>
      <c r="Q832" s="65"/>
    </row>
    <row r="833">
      <c r="O833" s="65"/>
      <c r="P833" s="57"/>
      <c r="Q833" s="65"/>
    </row>
    <row r="834">
      <c r="O834" s="65"/>
      <c r="P834" s="57"/>
      <c r="Q834" s="65"/>
    </row>
    <row r="835">
      <c r="O835" s="65"/>
      <c r="P835" s="57"/>
      <c r="Q835" s="65"/>
    </row>
    <row r="836">
      <c r="O836" s="65"/>
      <c r="P836" s="57"/>
      <c r="Q836" s="65"/>
    </row>
    <row r="837">
      <c r="O837" s="65"/>
      <c r="P837" s="57"/>
      <c r="Q837" s="65"/>
    </row>
    <row r="838">
      <c r="O838" s="65"/>
      <c r="P838" s="57"/>
      <c r="Q838" s="65"/>
    </row>
    <row r="839">
      <c r="O839" s="65"/>
      <c r="P839" s="57"/>
      <c r="Q839" s="65"/>
    </row>
    <row r="840">
      <c r="O840" s="65"/>
      <c r="P840" s="57"/>
      <c r="Q840" s="65"/>
    </row>
    <row r="841">
      <c r="O841" s="65"/>
      <c r="P841" s="57"/>
      <c r="Q841" s="65"/>
    </row>
    <row r="842">
      <c r="O842" s="65"/>
      <c r="P842" s="57"/>
      <c r="Q842" s="65"/>
    </row>
    <row r="843">
      <c r="O843" s="65"/>
      <c r="P843" s="57"/>
      <c r="Q843" s="65"/>
    </row>
    <row r="844">
      <c r="O844" s="65"/>
      <c r="P844" s="57"/>
      <c r="Q844" s="65"/>
    </row>
    <row r="845">
      <c r="O845" s="65"/>
      <c r="P845" s="57"/>
      <c r="Q845" s="65"/>
    </row>
    <row r="846">
      <c r="O846" s="65"/>
      <c r="P846" s="57"/>
      <c r="Q846" s="65"/>
    </row>
    <row r="847">
      <c r="O847" s="65"/>
      <c r="P847" s="57"/>
      <c r="Q847" s="65"/>
    </row>
    <row r="848">
      <c r="O848" s="65"/>
      <c r="P848" s="57"/>
      <c r="Q848" s="65"/>
    </row>
    <row r="849">
      <c r="O849" s="65"/>
      <c r="P849" s="57"/>
      <c r="Q849" s="65"/>
    </row>
    <row r="850">
      <c r="O850" s="65"/>
      <c r="P850" s="57"/>
      <c r="Q850" s="65"/>
    </row>
    <row r="851">
      <c r="O851" s="65"/>
      <c r="P851" s="57"/>
      <c r="Q851" s="65"/>
    </row>
    <row r="852">
      <c r="O852" s="65"/>
      <c r="P852" s="57"/>
      <c r="Q852" s="65"/>
    </row>
    <row r="853">
      <c r="O853" s="65"/>
      <c r="P853" s="57"/>
      <c r="Q853" s="65"/>
    </row>
    <row r="854">
      <c r="O854" s="65"/>
      <c r="P854" s="57"/>
      <c r="Q854" s="65"/>
    </row>
    <row r="855">
      <c r="O855" s="65"/>
      <c r="P855" s="57"/>
      <c r="Q855" s="65"/>
    </row>
    <row r="856">
      <c r="O856" s="65"/>
      <c r="P856" s="57"/>
      <c r="Q856" s="65"/>
    </row>
    <row r="857">
      <c r="O857" s="65"/>
      <c r="P857" s="57"/>
      <c r="Q857" s="65"/>
    </row>
    <row r="858">
      <c r="O858" s="65"/>
      <c r="P858" s="57"/>
      <c r="Q858" s="65"/>
    </row>
    <row r="859">
      <c r="O859" s="65"/>
      <c r="P859" s="57"/>
      <c r="Q859" s="65"/>
    </row>
    <row r="860">
      <c r="O860" s="65"/>
      <c r="P860" s="57"/>
      <c r="Q860" s="65"/>
    </row>
    <row r="861">
      <c r="O861" s="65"/>
      <c r="P861" s="57"/>
      <c r="Q861" s="65"/>
    </row>
    <row r="862">
      <c r="O862" s="65"/>
      <c r="P862" s="57"/>
      <c r="Q862" s="65"/>
    </row>
    <row r="863">
      <c r="O863" s="65"/>
      <c r="P863" s="57"/>
      <c r="Q863" s="65"/>
    </row>
    <row r="864">
      <c r="O864" s="65"/>
      <c r="P864" s="57"/>
      <c r="Q864" s="65"/>
    </row>
    <row r="865">
      <c r="O865" s="65"/>
      <c r="P865" s="57"/>
      <c r="Q865" s="65"/>
    </row>
    <row r="866">
      <c r="O866" s="65"/>
      <c r="P866" s="57"/>
      <c r="Q866" s="65"/>
    </row>
    <row r="867">
      <c r="O867" s="65"/>
      <c r="P867" s="57"/>
      <c r="Q867" s="65"/>
    </row>
    <row r="868">
      <c r="O868" s="65"/>
      <c r="P868" s="57"/>
      <c r="Q868" s="65"/>
    </row>
    <row r="869">
      <c r="O869" s="65"/>
      <c r="P869" s="57"/>
      <c r="Q869" s="65"/>
    </row>
    <row r="870">
      <c r="O870" s="65"/>
      <c r="P870" s="57"/>
      <c r="Q870" s="65"/>
    </row>
    <row r="871">
      <c r="O871" s="65"/>
      <c r="P871" s="57"/>
      <c r="Q871" s="65"/>
    </row>
    <row r="872">
      <c r="O872" s="65"/>
      <c r="P872" s="57"/>
      <c r="Q872" s="65"/>
    </row>
    <row r="873">
      <c r="O873" s="65"/>
      <c r="P873" s="57"/>
      <c r="Q873" s="65"/>
    </row>
    <row r="874">
      <c r="O874" s="65"/>
      <c r="P874" s="57"/>
      <c r="Q874" s="65"/>
    </row>
    <row r="875">
      <c r="O875" s="65"/>
      <c r="P875" s="57"/>
      <c r="Q875" s="65"/>
    </row>
    <row r="876">
      <c r="O876" s="65"/>
      <c r="P876" s="57"/>
      <c r="Q876" s="65"/>
    </row>
    <row r="877">
      <c r="O877" s="65"/>
      <c r="P877" s="57"/>
      <c r="Q877" s="65"/>
    </row>
    <row r="878">
      <c r="O878" s="65"/>
      <c r="P878" s="57"/>
      <c r="Q878" s="65"/>
    </row>
    <row r="879">
      <c r="O879" s="65"/>
      <c r="P879" s="57"/>
      <c r="Q879" s="65"/>
    </row>
    <row r="880">
      <c r="O880" s="65"/>
      <c r="P880" s="57"/>
      <c r="Q880" s="65"/>
    </row>
    <row r="881">
      <c r="O881" s="65"/>
      <c r="P881" s="57"/>
      <c r="Q881" s="65"/>
    </row>
    <row r="882">
      <c r="O882" s="65"/>
      <c r="P882" s="57"/>
      <c r="Q882" s="65"/>
    </row>
    <row r="883">
      <c r="O883" s="65"/>
      <c r="P883" s="57"/>
      <c r="Q883" s="65"/>
    </row>
    <row r="884">
      <c r="O884" s="65"/>
      <c r="P884" s="57"/>
      <c r="Q884" s="65"/>
    </row>
    <row r="885">
      <c r="O885" s="65"/>
      <c r="P885" s="57"/>
      <c r="Q885" s="65"/>
    </row>
    <row r="886">
      <c r="O886" s="65"/>
      <c r="P886" s="57"/>
      <c r="Q886" s="65"/>
    </row>
    <row r="887">
      <c r="O887" s="65"/>
      <c r="P887" s="57"/>
      <c r="Q887" s="65"/>
    </row>
    <row r="888">
      <c r="O888" s="65"/>
      <c r="P888" s="57"/>
      <c r="Q888" s="65"/>
    </row>
    <row r="889">
      <c r="O889" s="65"/>
      <c r="P889" s="57"/>
      <c r="Q889" s="65"/>
    </row>
    <row r="890">
      <c r="O890" s="65"/>
      <c r="P890" s="57"/>
      <c r="Q890" s="65"/>
    </row>
    <row r="891">
      <c r="O891" s="65"/>
      <c r="P891" s="57"/>
      <c r="Q891" s="65"/>
    </row>
    <row r="892">
      <c r="O892" s="65"/>
      <c r="P892" s="57"/>
      <c r="Q892" s="65"/>
    </row>
    <row r="893">
      <c r="O893" s="65"/>
      <c r="P893" s="57"/>
      <c r="Q893" s="65"/>
    </row>
    <row r="894">
      <c r="O894" s="65"/>
      <c r="P894" s="57"/>
      <c r="Q894" s="65"/>
    </row>
    <row r="895">
      <c r="O895" s="65"/>
      <c r="P895" s="57"/>
      <c r="Q895" s="65"/>
    </row>
    <row r="896">
      <c r="O896" s="65"/>
      <c r="P896" s="57"/>
      <c r="Q896" s="65"/>
    </row>
    <row r="897">
      <c r="O897" s="65"/>
      <c r="P897" s="57"/>
      <c r="Q897" s="65"/>
    </row>
    <row r="898">
      <c r="O898" s="65"/>
      <c r="P898" s="57"/>
      <c r="Q898" s="65"/>
    </row>
    <row r="899">
      <c r="O899" s="65"/>
      <c r="P899" s="57"/>
      <c r="Q899" s="65"/>
    </row>
    <row r="900">
      <c r="O900" s="65"/>
      <c r="P900" s="57"/>
      <c r="Q900" s="65"/>
    </row>
    <row r="901">
      <c r="O901" s="65"/>
      <c r="P901" s="57"/>
      <c r="Q901" s="65"/>
    </row>
    <row r="902">
      <c r="O902" s="65"/>
      <c r="P902" s="57"/>
      <c r="Q902" s="65"/>
    </row>
    <row r="903">
      <c r="O903" s="65"/>
      <c r="P903" s="57"/>
      <c r="Q903" s="65"/>
    </row>
    <row r="904">
      <c r="O904" s="65"/>
      <c r="P904" s="57"/>
      <c r="Q904" s="65"/>
    </row>
    <row r="905">
      <c r="O905" s="65"/>
      <c r="P905" s="57"/>
      <c r="Q905" s="65"/>
    </row>
    <row r="906">
      <c r="O906" s="65"/>
      <c r="P906" s="57"/>
      <c r="Q906" s="65"/>
    </row>
    <row r="907">
      <c r="O907" s="65"/>
      <c r="P907" s="57"/>
      <c r="Q907" s="65"/>
    </row>
    <row r="908">
      <c r="O908" s="65"/>
      <c r="P908" s="57"/>
      <c r="Q908" s="65"/>
    </row>
    <row r="909">
      <c r="O909" s="65"/>
      <c r="P909" s="57"/>
      <c r="Q909" s="65"/>
    </row>
    <row r="910">
      <c r="O910" s="65"/>
      <c r="P910" s="57"/>
      <c r="Q910" s="65"/>
    </row>
    <row r="911">
      <c r="O911" s="65"/>
      <c r="P911" s="57"/>
      <c r="Q911" s="65"/>
    </row>
    <row r="912">
      <c r="O912" s="65"/>
      <c r="P912" s="57"/>
      <c r="Q912" s="65"/>
    </row>
    <row r="913">
      <c r="O913" s="65"/>
      <c r="P913" s="57"/>
      <c r="Q913" s="65"/>
    </row>
    <row r="914">
      <c r="O914" s="65"/>
      <c r="P914" s="57"/>
      <c r="Q914" s="65"/>
    </row>
    <row r="915">
      <c r="O915" s="65"/>
      <c r="P915" s="57"/>
      <c r="Q915" s="65"/>
    </row>
    <row r="916">
      <c r="O916" s="65"/>
      <c r="P916" s="57"/>
      <c r="Q916" s="65"/>
    </row>
    <row r="917">
      <c r="O917" s="65"/>
      <c r="P917" s="57"/>
      <c r="Q917" s="65"/>
    </row>
    <row r="918">
      <c r="O918" s="65"/>
      <c r="P918" s="57"/>
      <c r="Q918" s="65"/>
    </row>
    <row r="919">
      <c r="O919" s="65"/>
      <c r="P919" s="57"/>
      <c r="Q919" s="65"/>
    </row>
    <row r="920">
      <c r="O920" s="65"/>
      <c r="P920" s="57"/>
      <c r="Q920" s="65"/>
    </row>
    <row r="921">
      <c r="O921" s="65"/>
      <c r="P921" s="57"/>
      <c r="Q921" s="65"/>
    </row>
    <row r="922">
      <c r="O922" s="65"/>
      <c r="P922" s="57"/>
      <c r="Q922" s="65"/>
    </row>
    <row r="923">
      <c r="O923" s="65"/>
      <c r="P923" s="57"/>
      <c r="Q923" s="65"/>
    </row>
    <row r="924">
      <c r="O924" s="65"/>
      <c r="P924" s="57"/>
      <c r="Q924" s="65"/>
    </row>
    <row r="925">
      <c r="O925" s="65"/>
      <c r="P925" s="57"/>
      <c r="Q925" s="65"/>
    </row>
    <row r="926">
      <c r="O926" s="65"/>
      <c r="P926" s="57"/>
      <c r="Q926" s="65"/>
    </row>
    <row r="927">
      <c r="O927" s="65"/>
      <c r="P927" s="57"/>
      <c r="Q927" s="65"/>
    </row>
    <row r="928">
      <c r="O928" s="65"/>
      <c r="P928" s="57"/>
      <c r="Q928" s="65"/>
    </row>
    <row r="929">
      <c r="O929" s="65"/>
      <c r="P929" s="57"/>
      <c r="Q929" s="65"/>
    </row>
    <row r="930">
      <c r="O930" s="65"/>
      <c r="P930" s="57"/>
      <c r="Q930" s="65"/>
    </row>
    <row r="931">
      <c r="O931" s="65"/>
      <c r="P931" s="57"/>
      <c r="Q931" s="65"/>
    </row>
    <row r="932">
      <c r="O932" s="65"/>
      <c r="P932" s="57"/>
      <c r="Q932" s="65"/>
    </row>
    <row r="933">
      <c r="O933" s="65"/>
      <c r="P933" s="57"/>
      <c r="Q933" s="65"/>
    </row>
    <row r="934">
      <c r="O934" s="65"/>
      <c r="P934" s="57"/>
      <c r="Q934" s="65"/>
    </row>
    <row r="935">
      <c r="O935" s="65"/>
      <c r="P935" s="57"/>
      <c r="Q935" s="65"/>
    </row>
    <row r="936">
      <c r="O936" s="65"/>
      <c r="P936" s="57"/>
      <c r="Q936" s="65"/>
    </row>
    <row r="937">
      <c r="O937" s="65"/>
      <c r="P937" s="57"/>
      <c r="Q937" s="65"/>
    </row>
    <row r="938">
      <c r="O938" s="65"/>
      <c r="P938" s="57"/>
      <c r="Q938" s="65"/>
    </row>
    <row r="939">
      <c r="O939" s="65"/>
      <c r="P939" s="57"/>
      <c r="Q939" s="65"/>
    </row>
    <row r="940">
      <c r="O940" s="65"/>
      <c r="P940" s="57"/>
      <c r="Q940" s="65"/>
    </row>
    <row r="941">
      <c r="O941" s="65"/>
      <c r="P941" s="57"/>
      <c r="Q941" s="65"/>
    </row>
    <row r="942">
      <c r="O942" s="65"/>
      <c r="P942" s="57"/>
      <c r="Q942" s="65"/>
    </row>
    <row r="943">
      <c r="O943" s="65"/>
      <c r="P943" s="57"/>
      <c r="Q943" s="65"/>
    </row>
    <row r="944">
      <c r="O944" s="65"/>
      <c r="P944" s="57"/>
      <c r="Q944" s="65"/>
    </row>
    <row r="945">
      <c r="O945" s="65"/>
      <c r="P945" s="57"/>
      <c r="Q945" s="65"/>
    </row>
    <row r="946">
      <c r="O946" s="65"/>
      <c r="P946" s="57"/>
      <c r="Q946" s="65"/>
    </row>
    <row r="947">
      <c r="O947" s="65"/>
      <c r="P947" s="57"/>
      <c r="Q947" s="65"/>
    </row>
    <row r="948">
      <c r="O948" s="65"/>
      <c r="P948" s="57"/>
      <c r="Q948" s="65"/>
    </row>
    <row r="949">
      <c r="O949" s="65"/>
      <c r="P949" s="57"/>
      <c r="Q949" s="65"/>
    </row>
    <row r="950">
      <c r="O950" s="65"/>
      <c r="P950" s="57"/>
      <c r="Q950" s="65"/>
    </row>
    <row r="951">
      <c r="O951" s="65"/>
      <c r="P951" s="57"/>
      <c r="Q951" s="65"/>
    </row>
    <row r="952">
      <c r="O952" s="65"/>
      <c r="P952" s="57"/>
      <c r="Q952" s="65"/>
    </row>
    <row r="953">
      <c r="O953" s="65"/>
      <c r="P953" s="57"/>
      <c r="Q953" s="65"/>
    </row>
    <row r="954">
      <c r="O954" s="65"/>
      <c r="P954" s="57"/>
      <c r="Q954" s="65"/>
    </row>
    <row r="955">
      <c r="O955" s="65"/>
      <c r="P955" s="57"/>
      <c r="Q955" s="65"/>
    </row>
    <row r="956">
      <c r="O956" s="65"/>
      <c r="P956" s="57"/>
      <c r="Q956" s="65"/>
    </row>
    <row r="957">
      <c r="O957" s="65"/>
      <c r="P957" s="57"/>
      <c r="Q957" s="65"/>
    </row>
    <row r="958">
      <c r="O958" s="65"/>
      <c r="P958" s="57"/>
      <c r="Q958" s="65"/>
    </row>
    <row r="959">
      <c r="O959" s="65"/>
      <c r="P959" s="57"/>
      <c r="Q959" s="65"/>
    </row>
    <row r="960">
      <c r="O960" s="65"/>
      <c r="P960" s="57"/>
      <c r="Q960" s="65"/>
    </row>
  </sheetData>
  <mergeCells count="983">
    <mergeCell ref="G4:J4"/>
    <mergeCell ref="K4:N4"/>
    <mergeCell ref="G5:H5"/>
    <mergeCell ref="I5:J5"/>
    <mergeCell ref="K5:L5"/>
    <mergeCell ref="M5:N5"/>
    <mergeCell ref="B1:H1"/>
    <mergeCell ref="J1:N1"/>
    <mergeCell ref="B2:H2"/>
    <mergeCell ref="J2:N2"/>
    <mergeCell ref="A3:N3"/>
    <mergeCell ref="A4:A5"/>
    <mergeCell ref="B4:F4"/>
    <mergeCell ref="K7:L7"/>
    <mergeCell ref="M7:N7"/>
    <mergeCell ref="B5:C5"/>
    <mergeCell ref="D5:F5"/>
    <mergeCell ref="B6:C6"/>
    <mergeCell ref="B7:C7"/>
    <mergeCell ref="D7:F7"/>
    <mergeCell ref="G7:H7"/>
    <mergeCell ref="I7:J7"/>
    <mergeCell ref="I9:J9"/>
    <mergeCell ref="K9:L9"/>
    <mergeCell ref="B8:C8"/>
    <mergeCell ref="D8:F8"/>
    <mergeCell ref="G8:H8"/>
    <mergeCell ref="I8:J8"/>
    <mergeCell ref="K8:L8"/>
    <mergeCell ref="M8:N8"/>
    <mergeCell ref="B9:C9"/>
    <mergeCell ref="M9:N9"/>
    <mergeCell ref="D9:F9"/>
    <mergeCell ref="G9:H9"/>
    <mergeCell ref="D10:F10"/>
    <mergeCell ref="G10:H10"/>
    <mergeCell ref="I10:J10"/>
    <mergeCell ref="K10:L10"/>
    <mergeCell ref="M10:N10"/>
    <mergeCell ref="B10:C10"/>
    <mergeCell ref="B11:C11"/>
    <mergeCell ref="D11:F11"/>
    <mergeCell ref="G11:H11"/>
    <mergeCell ref="I11:J11"/>
    <mergeCell ref="K11:L11"/>
    <mergeCell ref="M11:N11"/>
    <mergeCell ref="I13:J13"/>
    <mergeCell ref="K13:L13"/>
    <mergeCell ref="I14:J14"/>
    <mergeCell ref="K14:L14"/>
    <mergeCell ref="M14:N14"/>
    <mergeCell ref="I15:J15"/>
    <mergeCell ref="K15:L15"/>
    <mergeCell ref="M15:N15"/>
    <mergeCell ref="B12:C12"/>
    <mergeCell ref="D12:F12"/>
    <mergeCell ref="G12:H12"/>
    <mergeCell ref="I12:J12"/>
    <mergeCell ref="K12:L12"/>
    <mergeCell ref="M12:N12"/>
    <mergeCell ref="B13:C13"/>
    <mergeCell ref="M13:N13"/>
    <mergeCell ref="D13:F13"/>
    <mergeCell ref="G13:H13"/>
    <mergeCell ref="B14:C14"/>
    <mergeCell ref="D14:F14"/>
    <mergeCell ref="G14:H14"/>
    <mergeCell ref="D15:F15"/>
    <mergeCell ref="G15:H15"/>
    <mergeCell ref="B15:C15"/>
    <mergeCell ref="B16:C16"/>
    <mergeCell ref="D16:F16"/>
    <mergeCell ref="G16:H16"/>
    <mergeCell ref="I16:J16"/>
    <mergeCell ref="K16:L16"/>
    <mergeCell ref="M16:N16"/>
    <mergeCell ref="B17:C17"/>
    <mergeCell ref="D17:F17"/>
    <mergeCell ref="G17:H17"/>
    <mergeCell ref="I17:J17"/>
    <mergeCell ref="K17:L17"/>
    <mergeCell ref="M17:N17"/>
    <mergeCell ref="B18:C18"/>
    <mergeCell ref="M18:N18"/>
    <mergeCell ref="D18:F18"/>
    <mergeCell ref="G18:H18"/>
    <mergeCell ref="B19:C19"/>
    <mergeCell ref="D19:F19"/>
    <mergeCell ref="G19:H19"/>
    <mergeCell ref="B20:C20"/>
    <mergeCell ref="G20:H20"/>
    <mergeCell ref="M20:N20"/>
    <mergeCell ref="J23:N23"/>
    <mergeCell ref="J24:N24"/>
    <mergeCell ref="I18:J18"/>
    <mergeCell ref="K18:L18"/>
    <mergeCell ref="I19:J19"/>
    <mergeCell ref="K19:L19"/>
    <mergeCell ref="M19:N19"/>
    <mergeCell ref="I20:J20"/>
    <mergeCell ref="K20:L20"/>
    <mergeCell ref="D20:F20"/>
    <mergeCell ref="B23:H23"/>
    <mergeCell ref="B24:H24"/>
    <mergeCell ref="A25:N25"/>
    <mergeCell ref="B26:F26"/>
    <mergeCell ref="G26:J26"/>
    <mergeCell ref="K26:N26"/>
    <mergeCell ref="A26:A27"/>
    <mergeCell ref="B27:C27"/>
    <mergeCell ref="D27:F27"/>
    <mergeCell ref="G27:H27"/>
    <mergeCell ref="I27:J27"/>
    <mergeCell ref="K27:L27"/>
    <mergeCell ref="M27:N27"/>
    <mergeCell ref="I30:J30"/>
    <mergeCell ref="K30:L30"/>
    <mergeCell ref="B29:C29"/>
    <mergeCell ref="D29:F29"/>
    <mergeCell ref="G29:H29"/>
    <mergeCell ref="I29:J29"/>
    <mergeCell ref="K29:L29"/>
    <mergeCell ref="M29:N29"/>
    <mergeCell ref="B30:C30"/>
    <mergeCell ref="M30:N30"/>
    <mergeCell ref="D30:F30"/>
    <mergeCell ref="G30:H30"/>
    <mergeCell ref="D31:F31"/>
    <mergeCell ref="G31:H31"/>
    <mergeCell ref="I31:J31"/>
    <mergeCell ref="K31:L31"/>
    <mergeCell ref="M31:N31"/>
    <mergeCell ref="B31:C31"/>
    <mergeCell ref="B32:C32"/>
    <mergeCell ref="D32:F32"/>
    <mergeCell ref="G32:H32"/>
    <mergeCell ref="I32:J32"/>
    <mergeCell ref="K32:L32"/>
    <mergeCell ref="M32:N32"/>
    <mergeCell ref="I34:J34"/>
    <mergeCell ref="K34:L34"/>
    <mergeCell ref="I35:J35"/>
    <mergeCell ref="K35:L35"/>
    <mergeCell ref="M35:N35"/>
    <mergeCell ref="I36:J36"/>
    <mergeCell ref="K36:L36"/>
    <mergeCell ref="M36:N36"/>
    <mergeCell ref="B33:C33"/>
    <mergeCell ref="D33:F33"/>
    <mergeCell ref="G33:H33"/>
    <mergeCell ref="I33:J33"/>
    <mergeCell ref="K33:L33"/>
    <mergeCell ref="M33:N33"/>
    <mergeCell ref="B34:C34"/>
    <mergeCell ref="M34:N34"/>
    <mergeCell ref="D34:F34"/>
    <mergeCell ref="G34:H34"/>
    <mergeCell ref="B35:C35"/>
    <mergeCell ref="D35:F35"/>
    <mergeCell ref="G35:H35"/>
    <mergeCell ref="D36:F36"/>
    <mergeCell ref="G36:H36"/>
    <mergeCell ref="B36:C36"/>
    <mergeCell ref="B37:C37"/>
    <mergeCell ref="D37:F37"/>
    <mergeCell ref="G37:H37"/>
    <mergeCell ref="I37:J37"/>
    <mergeCell ref="K37:L37"/>
    <mergeCell ref="M37:N37"/>
    <mergeCell ref="B51:C51"/>
    <mergeCell ref="D51:F51"/>
    <mergeCell ref="B47:H47"/>
    <mergeCell ref="B48:H48"/>
    <mergeCell ref="A49:N49"/>
    <mergeCell ref="A50:A51"/>
    <mergeCell ref="B50:F50"/>
    <mergeCell ref="G50:J50"/>
    <mergeCell ref="K50:N50"/>
    <mergeCell ref="D53:F53"/>
    <mergeCell ref="G53:H53"/>
    <mergeCell ref="K53:L53"/>
    <mergeCell ref="M53:N53"/>
    <mergeCell ref="G51:H51"/>
    <mergeCell ref="I51:J51"/>
    <mergeCell ref="B52:C52"/>
    <mergeCell ref="D52:F52"/>
    <mergeCell ref="G52:H52"/>
    <mergeCell ref="I52:J52"/>
    <mergeCell ref="I53:J53"/>
    <mergeCell ref="B38:C38"/>
    <mergeCell ref="D38:F38"/>
    <mergeCell ref="G38:H38"/>
    <mergeCell ref="I38:J38"/>
    <mergeCell ref="K38:L38"/>
    <mergeCell ref="M38:N38"/>
    <mergeCell ref="B39:C39"/>
    <mergeCell ref="M39:N39"/>
    <mergeCell ref="B41:C41"/>
    <mergeCell ref="B42:C42"/>
    <mergeCell ref="D42:F42"/>
    <mergeCell ref="G42:H42"/>
    <mergeCell ref="I42:J42"/>
    <mergeCell ref="K42:L42"/>
    <mergeCell ref="M42:N42"/>
    <mergeCell ref="M41:N41"/>
    <mergeCell ref="J47:N47"/>
    <mergeCell ref="J48:N48"/>
    <mergeCell ref="I39:J39"/>
    <mergeCell ref="K39:L39"/>
    <mergeCell ref="I40:J40"/>
    <mergeCell ref="K40:L40"/>
    <mergeCell ref="M40:N40"/>
    <mergeCell ref="I41:J41"/>
    <mergeCell ref="K41:L41"/>
    <mergeCell ref="D39:F39"/>
    <mergeCell ref="G39:H39"/>
    <mergeCell ref="B40:C40"/>
    <mergeCell ref="D40:F40"/>
    <mergeCell ref="G40:H40"/>
    <mergeCell ref="D41:F41"/>
    <mergeCell ref="G41:H41"/>
    <mergeCell ref="K51:L51"/>
    <mergeCell ref="M51:N51"/>
    <mergeCell ref="K52:L52"/>
    <mergeCell ref="M52:N52"/>
    <mergeCell ref="B53:C53"/>
    <mergeCell ref="B54:C54"/>
    <mergeCell ref="D54:F54"/>
    <mergeCell ref="G54:H54"/>
    <mergeCell ref="I54:J54"/>
    <mergeCell ref="K54:L54"/>
    <mergeCell ref="M54:N54"/>
    <mergeCell ref="D61:F61"/>
    <mergeCell ref="G61:H61"/>
    <mergeCell ref="B62:C62"/>
    <mergeCell ref="D62:F62"/>
    <mergeCell ref="G62:H62"/>
    <mergeCell ref="D63:F63"/>
    <mergeCell ref="G63:H63"/>
    <mergeCell ref="B63:C63"/>
    <mergeCell ref="B64:C64"/>
    <mergeCell ref="D64:F64"/>
    <mergeCell ref="G64:H64"/>
    <mergeCell ref="I64:J64"/>
    <mergeCell ref="K64:L64"/>
    <mergeCell ref="M64:N64"/>
    <mergeCell ref="B65:C65"/>
    <mergeCell ref="D65:F65"/>
    <mergeCell ref="G65:H65"/>
    <mergeCell ref="I65:J65"/>
    <mergeCell ref="K65:L65"/>
    <mergeCell ref="M65:N65"/>
    <mergeCell ref="J67:N67"/>
    <mergeCell ref="B67:H67"/>
    <mergeCell ref="B68:H68"/>
    <mergeCell ref="J68:N68"/>
    <mergeCell ref="A69:N69"/>
    <mergeCell ref="B70:F70"/>
    <mergeCell ref="G70:J70"/>
    <mergeCell ref="K70:N70"/>
    <mergeCell ref="I56:J56"/>
    <mergeCell ref="K56:L56"/>
    <mergeCell ref="I57:J57"/>
    <mergeCell ref="K57:L57"/>
    <mergeCell ref="M57:N57"/>
    <mergeCell ref="I58:J58"/>
    <mergeCell ref="K58:L58"/>
    <mergeCell ref="M58:N58"/>
    <mergeCell ref="B55:C55"/>
    <mergeCell ref="D55:F55"/>
    <mergeCell ref="G55:H55"/>
    <mergeCell ref="I55:J55"/>
    <mergeCell ref="K55:L55"/>
    <mergeCell ref="M55:N55"/>
    <mergeCell ref="B56:C56"/>
    <mergeCell ref="M56:N56"/>
    <mergeCell ref="D56:F56"/>
    <mergeCell ref="G56:H56"/>
    <mergeCell ref="B57:C57"/>
    <mergeCell ref="D57:F57"/>
    <mergeCell ref="G57:H57"/>
    <mergeCell ref="D58:F58"/>
    <mergeCell ref="G58:H58"/>
    <mergeCell ref="B58:C58"/>
    <mergeCell ref="B59:C59"/>
    <mergeCell ref="D59:F59"/>
    <mergeCell ref="G59:H59"/>
    <mergeCell ref="I59:J59"/>
    <mergeCell ref="K59:L59"/>
    <mergeCell ref="M59:N59"/>
    <mergeCell ref="I61:J61"/>
    <mergeCell ref="K61:L61"/>
    <mergeCell ref="I62:J62"/>
    <mergeCell ref="K62:L62"/>
    <mergeCell ref="M62:N62"/>
    <mergeCell ref="I63:J63"/>
    <mergeCell ref="K63:L63"/>
    <mergeCell ref="M63:N63"/>
    <mergeCell ref="B60:C60"/>
    <mergeCell ref="D60:F60"/>
    <mergeCell ref="G60:H60"/>
    <mergeCell ref="I60:J60"/>
    <mergeCell ref="K60:L60"/>
    <mergeCell ref="M60:N60"/>
    <mergeCell ref="B61:C61"/>
    <mergeCell ref="M61:N61"/>
    <mergeCell ref="A70:A71"/>
    <mergeCell ref="B71:C71"/>
    <mergeCell ref="D71:F71"/>
    <mergeCell ref="G71:H71"/>
    <mergeCell ref="I71:J71"/>
    <mergeCell ref="K71:L71"/>
    <mergeCell ref="M71:N71"/>
    <mergeCell ref="D83:F83"/>
    <mergeCell ref="G83:H83"/>
    <mergeCell ref="B82:C82"/>
    <mergeCell ref="D82:F82"/>
    <mergeCell ref="G82:H82"/>
    <mergeCell ref="I82:J82"/>
    <mergeCell ref="K82:L82"/>
    <mergeCell ref="M82:N82"/>
    <mergeCell ref="B83:C83"/>
    <mergeCell ref="M83:N83"/>
    <mergeCell ref="I83:J83"/>
    <mergeCell ref="K83:L83"/>
    <mergeCell ref="D84:F84"/>
    <mergeCell ref="G84:H84"/>
    <mergeCell ref="I84:J84"/>
    <mergeCell ref="K84:L84"/>
    <mergeCell ref="M84:N84"/>
    <mergeCell ref="B84:C84"/>
    <mergeCell ref="B85:C85"/>
    <mergeCell ref="D85:F85"/>
    <mergeCell ref="G85:H85"/>
    <mergeCell ref="I85:J85"/>
    <mergeCell ref="K85:L85"/>
    <mergeCell ref="M85:N85"/>
    <mergeCell ref="B90:C90"/>
    <mergeCell ref="D90:F90"/>
    <mergeCell ref="K90:L90"/>
    <mergeCell ref="M90:N90"/>
    <mergeCell ref="B87:H87"/>
    <mergeCell ref="J87:N87"/>
    <mergeCell ref="A88:N88"/>
    <mergeCell ref="A89:A90"/>
    <mergeCell ref="B89:F89"/>
    <mergeCell ref="G89:J89"/>
    <mergeCell ref="K89:N89"/>
    <mergeCell ref="G90:H90"/>
    <mergeCell ref="I90:J90"/>
    <mergeCell ref="D91:F91"/>
    <mergeCell ref="G91:H91"/>
    <mergeCell ref="I91:J91"/>
    <mergeCell ref="K91:L91"/>
    <mergeCell ref="M91:N91"/>
    <mergeCell ref="B91:C91"/>
    <mergeCell ref="B92:C92"/>
    <mergeCell ref="D92:F92"/>
    <mergeCell ref="G92:H92"/>
    <mergeCell ref="I92:J92"/>
    <mergeCell ref="K92:L92"/>
    <mergeCell ref="M92:N92"/>
    <mergeCell ref="D94:F94"/>
    <mergeCell ref="G94:H94"/>
    <mergeCell ref="B93:C93"/>
    <mergeCell ref="D93:F93"/>
    <mergeCell ref="G93:H93"/>
    <mergeCell ref="I93:J93"/>
    <mergeCell ref="K93:L93"/>
    <mergeCell ref="M93:N93"/>
    <mergeCell ref="B94:C94"/>
    <mergeCell ref="M94:N94"/>
    <mergeCell ref="I94:J94"/>
    <mergeCell ref="K94:L94"/>
    <mergeCell ref="D95:F95"/>
    <mergeCell ref="G95:H95"/>
    <mergeCell ref="I95:J95"/>
    <mergeCell ref="K95:L95"/>
    <mergeCell ref="M95:N95"/>
    <mergeCell ref="B95:C95"/>
    <mergeCell ref="B96:C96"/>
    <mergeCell ref="D96:F96"/>
    <mergeCell ref="G96:H96"/>
    <mergeCell ref="I96:J96"/>
    <mergeCell ref="K96:L96"/>
    <mergeCell ref="M96:N96"/>
    <mergeCell ref="D98:F98"/>
    <mergeCell ref="G98:H98"/>
    <mergeCell ref="B97:C97"/>
    <mergeCell ref="D97:F97"/>
    <mergeCell ref="G97:H97"/>
    <mergeCell ref="I97:J97"/>
    <mergeCell ref="K97:L97"/>
    <mergeCell ref="M97:N97"/>
    <mergeCell ref="B98:C98"/>
    <mergeCell ref="M98:N98"/>
    <mergeCell ref="I98:J98"/>
    <mergeCell ref="K98:L98"/>
    <mergeCell ref="D99:F99"/>
    <mergeCell ref="G99:H99"/>
    <mergeCell ref="I99:J99"/>
    <mergeCell ref="K99:L99"/>
    <mergeCell ref="M99:N99"/>
    <mergeCell ref="B99:C99"/>
    <mergeCell ref="B100:C100"/>
    <mergeCell ref="D100:F100"/>
    <mergeCell ref="G100:H100"/>
    <mergeCell ref="I100:J100"/>
    <mergeCell ref="K100:L100"/>
    <mergeCell ref="M100:N100"/>
    <mergeCell ref="D102:F102"/>
    <mergeCell ref="G102:H102"/>
    <mergeCell ref="B101:C101"/>
    <mergeCell ref="D101:F101"/>
    <mergeCell ref="G101:H101"/>
    <mergeCell ref="I101:J101"/>
    <mergeCell ref="K101:L101"/>
    <mergeCell ref="M101:N101"/>
    <mergeCell ref="B102:C102"/>
    <mergeCell ref="M102:N102"/>
    <mergeCell ref="I102:J102"/>
    <mergeCell ref="K102:L102"/>
    <mergeCell ref="D103:F103"/>
    <mergeCell ref="G103:H103"/>
    <mergeCell ref="I103:J103"/>
    <mergeCell ref="K103:L103"/>
    <mergeCell ref="M103:N103"/>
    <mergeCell ref="B103:C103"/>
    <mergeCell ref="B104:C104"/>
    <mergeCell ref="D104:F104"/>
    <mergeCell ref="G104:H104"/>
    <mergeCell ref="I104:J104"/>
    <mergeCell ref="K104:L104"/>
    <mergeCell ref="M104:N104"/>
    <mergeCell ref="B110:C110"/>
    <mergeCell ref="D110:F110"/>
    <mergeCell ref="B107:H107"/>
    <mergeCell ref="J107:N107"/>
    <mergeCell ref="A108:N108"/>
    <mergeCell ref="A109:A110"/>
    <mergeCell ref="B109:F109"/>
    <mergeCell ref="G109:J109"/>
    <mergeCell ref="K109:N109"/>
    <mergeCell ref="G130:J130"/>
    <mergeCell ref="K130:N130"/>
    <mergeCell ref="G131:H131"/>
    <mergeCell ref="I131:J131"/>
    <mergeCell ref="K131:L131"/>
    <mergeCell ref="M131:N131"/>
    <mergeCell ref="I125:J125"/>
    <mergeCell ref="K125:L125"/>
    <mergeCell ref="B128:H128"/>
    <mergeCell ref="J128:N128"/>
    <mergeCell ref="A129:N129"/>
    <mergeCell ref="A130:A131"/>
    <mergeCell ref="B130:F130"/>
    <mergeCell ref="I115:J115"/>
    <mergeCell ref="K115:L115"/>
    <mergeCell ref="I116:J116"/>
    <mergeCell ref="K116:L116"/>
    <mergeCell ref="M116:N116"/>
    <mergeCell ref="I117:J117"/>
    <mergeCell ref="K117:L117"/>
    <mergeCell ref="M117:N117"/>
    <mergeCell ref="B114:C114"/>
    <mergeCell ref="D114:F114"/>
    <mergeCell ref="G114:H114"/>
    <mergeCell ref="I114:J114"/>
    <mergeCell ref="K114:L114"/>
    <mergeCell ref="M114:N114"/>
    <mergeCell ref="B115:C115"/>
    <mergeCell ref="M115:N115"/>
    <mergeCell ref="D115:F115"/>
    <mergeCell ref="G115:H115"/>
    <mergeCell ref="B116:C116"/>
    <mergeCell ref="D116:F116"/>
    <mergeCell ref="G116:H116"/>
    <mergeCell ref="D117:F117"/>
    <mergeCell ref="G117:H117"/>
    <mergeCell ref="B117:C117"/>
    <mergeCell ref="B118:C118"/>
    <mergeCell ref="D118:F118"/>
    <mergeCell ref="G118:H118"/>
    <mergeCell ref="I118:J118"/>
    <mergeCell ref="K118:L118"/>
    <mergeCell ref="M118:N118"/>
    <mergeCell ref="I120:J120"/>
    <mergeCell ref="K120:L120"/>
    <mergeCell ref="I121:J121"/>
    <mergeCell ref="K121:L121"/>
    <mergeCell ref="M121:N121"/>
    <mergeCell ref="I122:J122"/>
    <mergeCell ref="K122:L122"/>
    <mergeCell ref="M122:N122"/>
    <mergeCell ref="B119:C119"/>
    <mergeCell ref="D119:F119"/>
    <mergeCell ref="G119:H119"/>
    <mergeCell ref="I119:J119"/>
    <mergeCell ref="K119:L119"/>
    <mergeCell ref="M119:N119"/>
    <mergeCell ref="B120:C120"/>
    <mergeCell ref="M120:N120"/>
    <mergeCell ref="I135:J135"/>
    <mergeCell ref="K135:L135"/>
    <mergeCell ref="M135:N135"/>
    <mergeCell ref="D78:F78"/>
    <mergeCell ref="G78:H78"/>
    <mergeCell ref="B79:C79"/>
    <mergeCell ref="D79:F79"/>
    <mergeCell ref="G79:H79"/>
    <mergeCell ref="D80:F80"/>
    <mergeCell ref="G80:H80"/>
    <mergeCell ref="B80:C80"/>
    <mergeCell ref="B81:C81"/>
    <mergeCell ref="D81:F81"/>
    <mergeCell ref="G81:H81"/>
    <mergeCell ref="I81:J81"/>
    <mergeCell ref="K81:L81"/>
    <mergeCell ref="M81:N81"/>
    <mergeCell ref="I112:J112"/>
    <mergeCell ref="K112:L112"/>
    <mergeCell ref="G110:H110"/>
    <mergeCell ref="I110:J110"/>
    <mergeCell ref="K110:L110"/>
    <mergeCell ref="M110:N110"/>
    <mergeCell ref="D112:F112"/>
    <mergeCell ref="G112:H112"/>
    <mergeCell ref="M112:N112"/>
    <mergeCell ref="I73:J73"/>
    <mergeCell ref="K73:L73"/>
    <mergeCell ref="I74:J74"/>
    <mergeCell ref="K74:L74"/>
    <mergeCell ref="M74:N74"/>
    <mergeCell ref="I75:J75"/>
    <mergeCell ref="K75:L75"/>
    <mergeCell ref="M75:N75"/>
    <mergeCell ref="B72:C72"/>
    <mergeCell ref="D72:F72"/>
    <mergeCell ref="G72:H72"/>
    <mergeCell ref="I72:J72"/>
    <mergeCell ref="K72:L72"/>
    <mergeCell ref="M72:N72"/>
    <mergeCell ref="B73:C73"/>
    <mergeCell ref="M73:N73"/>
    <mergeCell ref="D73:F73"/>
    <mergeCell ref="G73:H73"/>
    <mergeCell ref="B74:C74"/>
    <mergeCell ref="D74:F74"/>
    <mergeCell ref="G74:H74"/>
    <mergeCell ref="D75:F75"/>
    <mergeCell ref="G75:H75"/>
    <mergeCell ref="B75:C75"/>
    <mergeCell ref="B76:C76"/>
    <mergeCell ref="D76:F76"/>
    <mergeCell ref="G76:H76"/>
    <mergeCell ref="I76:J76"/>
    <mergeCell ref="K76:L76"/>
    <mergeCell ref="M76:N76"/>
    <mergeCell ref="I78:J78"/>
    <mergeCell ref="K78:L78"/>
    <mergeCell ref="I79:J79"/>
    <mergeCell ref="K79:L79"/>
    <mergeCell ref="M79:N79"/>
    <mergeCell ref="I80:J80"/>
    <mergeCell ref="K80:L80"/>
    <mergeCell ref="M80:N80"/>
    <mergeCell ref="B77:C77"/>
    <mergeCell ref="D77:F77"/>
    <mergeCell ref="G77:H77"/>
    <mergeCell ref="I77:J77"/>
    <mergeCell ref="K77:L77"/>
    <mergeCell ref="M77:N77"/>
    <mergeCell ref="B78:C78"/>
    <mergeCell ref="M78:N78"/>
    <mergeCell ref="B112:C112"/>
    <mergeCell ref="B113:C113"/>
    <mergeCell ref="D113:F113"/>
    <mergeCell ref="G113:H113"/>
    <mergeCell ref="I113:J113"/>
    <mergeCell ref="K113:L113"/>
    <mergeCell ref="M113:N113"/>
    <mergeCell ref="D120:F120"/>
    <mergeCell ref="G120:H120"/>
    <mergeCell ref="B121:C121"/>
    <mergeCell ref="D121:F121"/>
    <mergeCell ref="G121:H121"/>
    <mergeCell ref="D122:F122"/>
    <mergeCell ref="G122:H122"/>
    <mergeCell ref="B122:C122"/>
    <mergeCell ref="B123:C123"/>
    <mergeCell ref="D123:F123"/>
    <mergeCell ref="G123:H123"/>
    <mergeCell ref="I123:J123"/>
    <mergeCell ref="K123:L123"/>
    <mergeCell ref="M123:N123"/>
    <mergeCell ref="D125:F125"/>
    <mergeCell ref="G125:H125"/>
    <mergeCell ref="B124:C124"/>
    <mergeCell ref="D124:F124"/>
    <mergeCell ref="G124:H124"/>
    <mergeCell ref="I124:J124"/>
    <mergeCell ref="K124:L124"/>
    <mergeCell ref="M124:N124"/>
    <mergeCell ref="B125:C125"/>
    <mergeCell ref="M125:N125"/>
    <mergeCell ref="B131:C131"/>
    <mergeCell ref="D131:F131"/>
    <mergeCell ref="D132:F132"/>
    <mergeCell ref="G132:H132"/>
    <mergeCell ref="I132:J132"/>
    <mergeCell ref="K132:L132"/>
    <mergeCell ref="M132:N132"/>
    <mergeCell ref="B132:C132"/>
    <mergeCell ref="B133:C133"/>
    <mergeCell ref="D133:F133"/>
    <mergeCell ref="G133:H133"/>
    <mergeCell ref="I133:J133"/>
    <mergeCell ref="K133:L133"/>
    <mergeCell ref="M133:N133"/>
    <mergeCell ref="B134:C134"/>
    <mergeCell ref="D134:F134"/>
    <mergeCell ref="G134:H134"/>
    <mergeCell ref="I134:J134"/>
    <mergeCell ref="K134:L134"/>
    <mergeCell ref="M134:N134"/>
    <mergeCell ref="B135:C135"/>
    <mergeCell ref="D135:F135"/>
    <mergeCell ref="G135:H135"/>
    <mergeCell ref="D136:F136"/>
    <mergeCell ref="G136:H136"/>
    <mergeCell ref="I136:J136"/>
    <mergeCell ref="K136:L136"/>
    <mergeCell ref="M136:N136"/>
    <mergeCell ref="B136:C136"/>
    <mergeCell ref="B137:C137"/>
    <mergeCell ref="D137:F137"/>
    <mergeCell ref="G137:H137"/>
    <mergeCell ref="I137:J137"/>
    <mergeCell ref="K137:L137"/>
    <mergeCell ref="M137:N137"/>
    <mergeCell ref="I139:J139"/>
    <mergeCell ref="K139:L139"/>
    <mergeCell ref="I140:J140"/>
    <mergeCell ref="K140:L140"/>
    <mergeCell ref="M140:N140"/>
    <mergeCell ref="I141:J141"/>
    <mergeCell ref="K141:L141"/>
    <mergeCell ref="M141:N141"/>
    <mergeCell ref="B138:C138"/>
    <mergeCell ref="D138:F138"/>
    <mergeCell ref="G138:H138"/>
    <mergeCell ref="I138:J138"/>
    <mergeCell ref="K138:L138"/>
    <mergeCell ref="M138:N138"/>
    <mergeCell ref="B139:C139"/>
    <mergeCell ref="M139:N139"/>
    <mergeCell ref="D139:F139"/>
    <mergeCell ref="G139:H139"/>
    <mergeCell ref="B140:C140"/>
    <mergeCell ref="D140:F140"/>
    <mergeCell ref="G140:H140"/>
    <mergeCell ref="D141:F141"/>
    <mergeCell ref="G141:H141"/>
    <mergeCell ref="B141:C141"/>
    <mergeCell ref="B142:C142"/>
    <mergeCell ref="D142:F142"/>
    <mergeCell ref="G142:H142"/>
    <mergeCell ref="I142:J142"/>
    <mergeCell ref="K142:L142"/>
    <mergeCell ref="M142:N142"/>
    <mergeCell ref="K154:L154"/>
    <mergeCell ref="M154:N154"/>
    <mergeCell ref="K155:L155"/>
    <mergeCell ref="M155:N155"/>
    <mergeCell ref="K156:L156"/>
    <mergeCell ref="M156:N156"/>
    <mergeCell ref="G154:H154"/>
    <mergeCell ref="I154:J154"/>
    <mergeCell ref="D155:F155"/>
    <mergeCell ref="G155:H155"/>
    <mergeCell ref="I155:J155"/>
    <mergeCell ref="G156:H156"/>
    <mergeCell ref="I156:J156"/>
    <mergeCell ref="D156:F156"/>
    <mergeCell ref="D157:F157"/>
    <mergeCell ref="G157:H157"/>
    <mergeCell ref="I157:J157"/>
    <mergeCell ref="K157:L157"/>
    <mergeCell ref="M157:N157"/>
    <mergeCell ref="B157:C157"/>
    <mergeCell ref="B158:C158"/>
    <mergeCell ref="D158:F158"/>
    <mergeCell ref="G158:H158"/>
    <mergeCell ref="I158:J158"/>
    <mergeCell ref="K158:L158"/>
    <mergeCell ref="M158:N158"/>
    <mergeCell ref="D159:F159"/>
    <mergeCell ref="G159:H159"/>
    <mergeCell ref="I159:J159"/>
    <mergeCell ref="K159:L159"/>
    <mergeCell ref="M159:N159"/>
    <mergeCell ref="B159:C159"/>
    <mergeCell ref="B160:C160"/>
    <mergeCell ref="D160:F160"/>
    <mergeCell ref="G160:H160"/>
    <mergeCell ref="I160:J160"/>
    <mergeCell ref="K160:L160"/>
    <mergeCell ref="M160:N160"/>
    <mergeCell ref="I144:J144"/>
    <mergeCell ref="K144:L144"/>
    <mergeCell ref="I145:J145"/>
    <mergeCell ref="K145:L145"/>
    <mergeCell ref="M145:N145"/>
    <mergeCell ref="J148:N148"/>
    <mergeCell ref="J149:N149"/>
    <mergeCell ref="B143:C143"/>
    <mergeCell ref="D143:F143"/>
    <mergeCell ref="G143:H143"/>
    <mergeCell ref="I143:J143"/>
    <mergeCell ref="K143:L143"/>
    <mergeCell ref="M143:N143"/>
    <mergeCell ref="B144:C144"/>
    <mergeCell ref="M144:N144"/>
    <mergeCell ref="D144:F144"/>
    <mergeCell ref="G144:H144"/>
    <mergeCell ref="D145:F145"/>
    <mergeCell ref="G145:H145"/>
    <mergeCell ref="B148:H148"/>
    <mergeCell ref="B149:H149"/>
    <mergeCell ref="A150:N150"/>
    <mergeCell ref="B151:F151"/>
    <mergeCell ref="G151:J151"/>
    <mergeCell ref="K151:N151"/>
    <mergeCell ref="G152:H152"/>
    <mergeCell ref="I152:J152"/>
    <mergeCell ref="K152:L152"/>
    <mergeCell ref="M152:N152"/>
    <mergeCell ref="D152:F152"/>
    <mergeCell ref="D153:F153"/>
    <mergeCell ref="G153:H153"/>
    <mergeCell ref="I153:J153"/>
    <mergeCell ref="K153:L153"/>
    <mergeCell ref="M153:N153"/>
    <mergeCell ref="D154:F154"/>
    <mergeCell ref="B145:C145"/>
    <mergeCell ref="A151:A152"/>
    <mergeCell ref="B152:C152"/>
    <mergeCell ref="B153:C153"/>
    <mergeCell ref="B154:C154"/>
    <mergeCell ref="B155:C155"/>
    <mergeCell ref="B156:C156"/>
    <mergeCell ref="I162:J162"/>
    <mergeCell ref="K162:L162"/>
    <mergeCell ref="B161:C161"/>
    <mergeCell ref="D161:F161"/>
    <mergeCell ref="G161:H161"/>
    <mergeCell ref="I161:J161"/>
    <mergeCell ref="K161:L161"/>
    <mergeCell ref="M161:N161"/>
    <mergeCell ref="B162:C162"/>
    <mergeCell ref="M162:N162"/>
    <mergeCell ref="D162:F162"/>
    <mergeCell ref="G162:H162"/>
    <mergeCell ref="D163:F163"/>
    <mergeCell ref="G163:H163"/>
    <mergeCell ref="I163:J163"/>
    <mergeCell ref="K163:L163"/>
    <mergeCell ref="M163:N163"/>
    <mergeCell ref="B163:C163"/>
    <mergeCell ref="B164:C164"/>
    <mergeCell ref="D164:F164"/>
    <mergeCell ref="G164:H164"/>
    <mergeCell ref="I164:J164"/>
    <mergeCell ref="K164:L164"/>
    <mergeCell ref="M164:N164"/>
    <mergeCell ref="I166:J166"/>
    <mergeCell ref="K166:L166"/>
    <mergeCell ref="J169:N169"/>
    <mergeCell ref="B165:C165"/>
    <mergeCell ref="D165:F165"/>
    <mergeCell ref="G165:H165"/>
    <mergeCell ref="I165:J165"/>
    <mergeCell ref="K165:L165"/>
    <mergeCell ref="M165:N165"/>
    <mergeCell ref="B166:C166"/>
    <mergeCell ref="M166:N166"/>
    <mergeCell ref="D166:F166"/>
    <mergeCell ref="G166:H166"/>
    <mergeCell ref="B169:H169"/>
    <mergeCell ref="A170:N170"/>
    <mergeCell ref="B171:F171"/>
    <mergeCell ref="G171:J171"/>
    <mergeCell ref="K171:N171"/>
    <mergeCell ref="A171:A172"/>
    <mergeCell ref="B172:C172"/>
    <mergeCell ref="D172:F172"/>
    <mergeCell ref="G172:H172"/>
    <mergeCell ref="I172:J172"/>
    <mergeCell ref="K172:L172"/>
    <mergeCell ref="M172:N172"/>
    <mergeCell ref="D185:F185"/>
    <mergeCell ref="G185:H185"/>
    <mergeCell ref="B184:C184"/>
    <mergeCell ref="D184:F184"/>
    <mergeCell ref="G184:H184"/>
    <mergeCell ref="I184:J184"/>
    <mergeCell ref="K184:L184"/>
    <mergeCell ref="M184:N184"/>
    <mergeCell ref="B185:C185"/>
    <mergeCell ref="M185:N185"/>
    <mergeCell ref="I185:J185"/>
    <mergeCell ref="K185:L185"/>
    <mergeCell ref="D186:F186"/>
    <mergeCell ref="G186:H186"/>
    <mergeCell ref="I186:J186"/>
    <mergeCell ref="K186:L186"/>
    <mergeCell ref="M186:N186"/>
    <mergeCell ref="B186:C186"/>
    <mergeCell ref="B187:C187"/>
    <mergeCell ref="D187:F187"/>
    <mergeCell ref="G187:H187"/>
    <mergeCell ref="I187:J187"/>
    <mergeCell ref="K187:L187"/>
    <mergeCell ref="M187:N187"/>
    <mergeCell ref="D180:F180"/>
    <mergeCell ref="G180:H180"/>
    <mergeCell ref="B181:C181"/>
    <mergeCell ref="D181:F181"/>
    <mergeCell ref="G181:H181"/>
    <mergeCell ref="D182:F182"/>
    <mergeCell ref="G182:H182"/>
    <mergeCell ref="B182:C182"/>
    <mergeCell ref="B183:C183"/>
    <mergeCell ref="D183:F183"/>
    <mergeCell ref="G183:H183"/>
    <mergeCell ref="I183:J183"/>
    <mergeCell ref="K183:L183"/>
    <mergeCell ref="M183:N183"/>
    <mergeCell ref="K207:L207"/>
    <mergeCell ref="M207:N207"/>
    <mergeCell ref="I206:J206"/>
    <mergeCell ref="K206:L206"/>
    <mergeCell ref="M206:N206"/>
    <mergeCell ref="B207:C207"/>
    <mergeCell ref="D207:F207"/>
    <mergeCell ref="G207:H207"/>
    <mergeCell ref="I207:J207"/>
    <mergeCell ref="I175:J175"/>
    <mergeCell ref="K175:L175"/>
    <mergeCell ref="I176:J176"/>
    <mergeCell ref="K176:L176"/>
    <mergeCell ref="M176:N176"/>
    <mergeCell ref="I177:J177"/>
    <mergeCell ref="K177:L177"/>
    <mergeCell ref="M177:N177"/>
    <mergeCell ref="B174:C174"/>
    <mergeCell ref="D174:F174"/>
    <mergeCell ref="G174:H174"/>
    <mergeCell ref="I174:J174"/>
    <mergeCell ref="K174:L174"/>
    <mergeCell ref="M174:N174"/>
    <mergeCell ref="B175:C175"/>
    <mergeCell ref="M175:N175"/>
    <mergeCell ref="D175:F175"/>
    <mergeCell ref="G175:H175"/>
    <mergeCell ref="B176:C176"/>
    <mergeCell ref="D176:F176"/>
    <mergeCell ref="G176:H176"/>
    <mergeCell ref="D177:F177"/>
    <mergeCell ref="G177:H177"/>
    <mergeCell ref="B177:C177"/>
    <mergeCell ref="B178:C178"/>
    <mergeCell ref="D178:F178"/>
    <mergeCell ref="G178:H178"/>
    <mergeCell ref="I178:J178"/>
    <mergeCell ref="K178:L178"/>
    <mergeCell ref="M178:N178"/>
    <mergeCell ref="I180:J180"/>
    <mergeCell ref="K180:L180"/>
    <mergeCell ref="I181:J181"/>
    <mergeCell ref="K181:L181"/>
    <mergeCell ref="M181:N181"/>
    <mergeCell ref="I182:J182"/>
    <mergeCell ref="K182:L182"/>
    <mergeCell ref="M182:N182"/>
    <mergeCell ref="B179:C179"/>
    <mergeCell ref="D179:F179"/>
    <mergeCell ref="G179:H179"/>
    <mergeCell ref="I179:J179"/>
    <mergeCell ref="K179:L179"/>
    <mergeCell ref="M179:N179"/>
    <mergeCell ref="B180:C180"/>
    <mergeCell ref="M180:N180"/>
    <mergeCell ref="B208:C208"/>
    <mergeCell ref="D208:F208"/>
    <mergeCell ref="G208:H208"/>
    <mergeCell ref="I208:J208"/>
    <mergeCell ref="K208:L208"/>
    <mergeCell ref="M208:N208"/>
    <mergeCell ref="G193:J193"/>
    <mergeCell ref="K193:N193"/>
    <mergeCell ref="G194:H194"/>
    <mergeCell ref="I194:J194"/>
    <mergeCell ref="K194:L194"/>
    <mergeCell ref="M194:N194"/>
    <mergeCell ref="B190:H190"/>
    <mergeCell ref="J190:N190"/>
    <mergeCell ref="B191:H191"/>
    <mergeCell ref="J191:N191"/>
    <mergeCell ref="A192:N192"/>
    <mergeCell ref="A193:A194"/>
    <mergeCell ref="B193:F193"/>
    <mergeCell ref="B194:C194"/>
    <mergeCell ref="D194:F194"/>
    <mergeCell ref="D195:F195"/>
    <mergeCell ref="G195:H195"/>
    <mergeCell ref="I195:J195"/>
    <mergeCell ref="K195:L195"/>
    <mergeCell ref="M195:N195"/>
    <mergeCell ref="B195:C195"/>
    <mergeCell ref="B196:C196"/>
    <mergeCell ref="D196:F196"/>
    <mergeCell ref="G196:H196"/>
    <mergeCell ref="I196:J196"/>
    <mergeCell ref="K196:L196"/>
    <mergeCell ref="M196:N196"/>
    <mergeCell ref="D198:F198"/>
    <mergeCell ref="G198:H198"/>
    <mergeCell ref="B197:C197"/>
    <mergeCell ref="D197:F197"/>
    <mergeCell ref="G197:H197"/>
    <mergeCell ref="I197:J197"/>
    <mergeCell ref="K197:L197"/>
    <mergeCell ref="M197:N197"/>
    <mergeCell ref="B198:C198"/>
    <mergeCell ref="M198:N198"/>
    <mergeCell ref="I198:J198"/>
    <mergeCell ref="K198:L198"/>
    <mergeCell ref="D199:F199"/>
    <mergeCell ref="G199:H199"/>
    <mergeCell ref="I199:J199"/>
    <mergeCell ref="K199:L199"/>
    <mergeCell ref="M199:N199"/>
    <mergeCell ref="B199:C199"/>
    <mergeCell ref="B200:C200"/>
    <mergeCell ref="D200:F200"/>
    <mergeCell ref="G200:H200"/>
    <mergeCell ref="I200:J200"/>
    <mergeCell ref="K200:L200"/>
    <mergeCell ref="M200:N200"/>
    <mergeCell ref="D202:F202"/>
    <mergeCell ref="G202:H202"/>
    <mergeCell ref="B201:C201"/>
    <mergeCell ref="D201:F201"/>
    <mergeCell ref="G201:H201"/>
    <mergeCell ref="I201:J201"/>
    <mergeCell ref="K201:L201"/>
    <mergeCell ref="M201:N201"/>
    <mergeCell ref="B202:C202"/>
    <mergeCell ref="M202:N202"/>
    <mergeCell ref="I202:J202"/>
    <mergeCell ref="K202:L202"/>
    <mergeCell ref="D203:F203"/>
    <mergeCell ref="G203:H203"/>
    <mergeCell ref="I203:J203"/>
    <mergeCell ref="K203:L203"/>
    <mergeCell ref="M203:N203"/>
    <mergeCell ref="B203:C203"/>
    <mergeCell ref="B204:C204"/>
    <mergeCell ref="D204:F204"/>
    <mergeCell ref="G204:H204"/>
    <mergeCell ref="I204:J204"/>
    <mergeCell ref="K204:L204"/>
    <mergeCell ref="M204:N204"/>
    <mergeCell ref="D206:F206"/>
    <mergeCell ref="G206:H206"/>
    <mergeCell ref="B205:C205"/>
    <mergeCell ref="D205:F205"/>
    <mergeCell ref="G205:H205"/>
    <mergeCell ref="I205:J205"/>
    <mergeCell ref="K205:L205"/>
    <mergeCell ref="M205:N205"/>
    <mergeCell ref="B206:C20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5.5"/>
    <col customWidth="1" min="3" max="3" width="4.13"/>
    <col customWidth="1" min="4" max="4" width="4.25"/>
    <col customWidth="1" min="5" max="5" width="4.13"/>
    <col customWidth="1" min="6" max="6" width="3.25"/>
    <col customWidth="1" min="7" max="7" width="4.0"/>
    <col customWidth="1" min="8" max="8" width="3.0"/>
    <col customWidth="1" min="9" max="9" width="8.63"/>
    <col customWidth="1" min="10" max="10" width="0.38"/>
    <col customWidth="1" min="11" max="11" width="5.25"/>
    <col customWidth="1" min="12" max="12" width="2.5"/>
    <col customWidth="1" min="13" max="13" width="8.5"/>
    <col customWidth="1" min="14" max="14" width="0.38"/>
    <col customWidth="1" min="15" max="15" width="8.75"/>
    <col customWidth="1" min="16" max="16" width="10.25"/>
    <col customWidth="1" min="17" max="17" width="9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1" t="s">
        <v>2</v>
      </c>
      <c r="J1" s="10" t="s">
        <v>3</v>
      </c>
      <c r="K1" s="3"/>
      <c r="L1" s="3"/>
      <c r="M1" s="3"/>
      <c r="N1" s="4"/>
      <c r="O1" s="65"/>
      <c r="P1" s="57"/>
      <c r="Q1" s="65"/>
    </row>
    <row r="2">
      <c r="A2" s="1" t="s">
        <v>4</v>
      </c>
      <c r="B2" s="9" t="s">
        <v>231</v>
      </c>
      <c r="C2" s="3"/>
      <c r="D2" s="3"/>
      <c r="E2" s="3"/>
      <c r="F2" s="3"/>
      <c r="G2" s="3"/>
      <c r="H2" s="4"/>
      <c r="I2" s="1" t="s">
        <v>6</v>
      </c>
      <c r="J2" s="10">
        <v>2.0</v>
      </c>
      <c r="K2" s="3"/>
      <c r="L2" s="3"/>
      <c r="M2" s="3"/>
      <c r="N2" s="4"/>
      <c r="O2" s="65"/>
      <c r="P2" s="57"/>
      <c r="Q2" s="65"/>
    </row>
    <row r="3">
      <c r="A3" s="11" t="s">
        <v>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65"/>
      <c r="P3" s="58"/>
      <c r="Q3" s="65"/>
    </row>
    <row r="4">
      <c r="A4" s="15" t="s">
        <v>11</v>
      </c>
      <c r="B4" s="2" t="s">
        <v>12</v>
      </c>
      <c r="C4" s="3"/>
      <c r="D4" s="3"/>
      <c r="E4" s="3"/>
      <c r="F4" s="4"/>
      <c r="G4" s="2" t="s">
        <v>13</v>
      </c>
      <c r="H4" s="3"/>
      <c r="I4" s="3"/>
      <c r="J4" s="4"/>
      <c r="K4" s="10" t="s">
        <v>14</v>
      </c>
      <c r="L4" s="3"/>
      <c r="M4" s="3"/>
      <c r="N4" s="4"/>
      <c r="O4" s="65"/>
      <c r="P4" s="58"/>
      <c r="Q4" s="65"/>
    </row>
    <row r="5">
      <c r="A5" s="16"/>
      <c r="B5" s="17" t="s">
        <v>15</v>
      </c>
      <c r="C5" s="4"/>
      <c r="D5" s="17" t="s">
        <v>16</v>
      </c>
      <c r="E5" s="3"/>
      <c r="F5" s="4"/>
      <c r="G5" s="17" t="s">
        <v>15</v>
      </c>
      <c r="H5" s="4"/>
      <c r="I5" s="17" t="s">
        <v>16</v>
      </c>
      <c r="J5" s="4"/>
      <c r="K5" s="17" t="s">
        <v>15</v>
      </c>
      <c r="L5" s="4"/>
      <c r="M5" s="17" t="s">
        <v>16</v>
      </c>
      <c r="N5" s="4"/>
      <c r="O5" s="14" t="s">
        <v>8</v>
      </c>
      <c r="P5" s="108" t="s">
        <v>9</v>
      </c>
      <c r="Q5" s="97" t="s">
        <v>10</v>
      </c>
    </row>
    <row r="6">
      <c r="A6" s="18" t="s">
        <v>232</v>
      </c>
      <c r="B6" s="20">
        <v>0.32222222222222224</v>
      </c>
      <c r="C6" s="4"/>
      <c r="D6" s="19"/>
      <c r="E6" s="3"/>
      <c r="F6" s="4"/>
      <c r="G6" s="19"/>
      <c r="H6" s="4"/>
      <c r="I6" s="19"/>
      <c r="J6" s="4"/>
      <c r="K6" s="20">
        <v>0.8263888888888888</v>
      </c>
      <c r="L6" s="4"/>
      <c r="M6" s="19"/>
      <c r="N6" s="4"/>
      <c r="O6" s="65">
        <f>K6-B6</f>
        <v>0.5041666667</v>
      </c>
      <c r="P6" s="58">
        <v>0.375</v>
      </c>
      <c r="Q6" s="65">
        <f t="shared" ref="Q6:Q7" si="1">O6-P6</f>
        <v>0.1291666667</v>
      </c>
    </row>
    <row r="7">
      <c r="A7" s="22" t="s">
        <v>233</v>
      </c>
      <c r="B7" s="20">
        <v>0.3458333333333333</v>
      </c>
      <c r="C7" s="4"/>
      <c r="D7" s="20">
        <v>0.7194444444444444</v>
      </c>
      <c r="E7" s="3"/>
      <c r="F7" s="4"/>
      <c r="G7" s="19"/>
      <c r="H7" s="4"/>
      <c r="I7" s="93"/>
      <c r="J7" s="4"/>
      <c r="K7" s="19"/>
      <c r="L7" s="4"/>
      <c r="M7" s="19"/>
      <c r="N7" s="4"/>
      <c r="O7" s="65">
        <f>D7-B7</f>
        <v>0.3736111111</v>
      </c>
      <c r="P7" s="58">
        <v>0.375</v>
      </c>
      <c r="Q7" s="65">
        <f t="shared" si="1"/>
        <v>-0.001388888889</v>
      </c>
    </row>
    <row r="8">
      <c r="A8" s="22" t="s">
        <v>234</v>
      </c>
      <c r="B8" s="19"/>
      <c r="C8" s="4"/>
      <c r="D8" s="93"/>
      <c r="E8" s="3"/>
      <c r="F8" s="4"/>
      <c r="G8" s="19"/>
      <c r="H8" s="4"/>
      <c r="I8" s="19"/>
      <c r="J8" s="4"/>
      <c r="K8" s="19"/>
      <c r="L8" s="4"/>
      <c r="M8" s="93"/>
      <c r="N8" s="4"/>
      <c r="O8" s="65"/>
      <c r="P8" s="58"/>
      <c r="Q8" s="65"/>
    </row>
    <row r="9">
      <c r="A9" s="18" t="s">
        <v>235</v>
      </c>
      <c r="B9" s="20">
        <v>0.4097222222222222</v>
      </c>
      <c r="C9" s="4"/>
      <c r="D9" s="19"/>
      <c r="E9" s="3"/>
      <c r="F9" s="4"/>
      <c r="G9" s="19"/>
      <c r="H9" s="4"/>
      <c r="I9" s="93"/>
      <c r="J9" s="4"/>
      <c r="K9" s="20">
        <v>0.8270833333333333</v>
      </c>
      <c r="L9" s="4"/>
      <c r="M9" s="19"/>
      <c r="N9" s="4"/>
      <c r="O9" s="65">
        <f>K9-B9</f>
        <v>0.4173611111</v>
      </c>
      <c r="P9" s="58">
        <v>0.375</v>
      </c>
      <c r="Q9" s="65">
        <f t="shared" ref="Q9:Q13" si="2">O9-P9</f>
        <v>0.04236111111</v>
      </c>
    </row>
    <row r="10">
      <c r="A10" s="18" t="s">
        <v>236</v>
      </c>
      <c r="B10" s="19"/>
      <c r="C10" s="4"/>
      <c r="D10" s="20">
        <v>0.4423611111111111</v>
      </c>
      <c r="E10" s="3"/>
      <c r="F10" s="4"/>
      <c r="G10" s="19"/>
      <c r="H10" s="4"/>
      <c r="I10" s="19"/>
      <c r="J10" s="4"/>
      <c r="K10" s="20">
        <v>0.7722222222222223</v>
      </c>
      <c r="L10" s="4"/>
      <c r="M10" s="93"/>
      <c r="N10" s="4"/>
      <c r="O10" s="65">
        <f>K10-D10</f>
        <v>0.3298611111</v>
      </c>
      <c r="P10" s="58">
        <v>0.375</v>
      </c>
      <c r="Q10" s="65">
        <f t="shared" si="2"/>
        <v>-0.04513888889</v>
      </c>
    </row>
    <row r="11">
      <c r="A11" s="18" t="s">
        <v>237</v>
      </c>
      <c r="B11" s="20">
        <v>0.3819444444444444</v>
      </c>
      <c r="C11" s="4"/>
      <c r="D11" s="93"/>
      <c r="E11" s="3"/>
      <c r="F11" s="4"/>
      <c r="G11" s="19"/>
      <c r="H11" s="4"/>
      <c r="I11" s="19"/>
      <c r="J11" s="4"/>
      <c r="K11" s="19"/>
      <c r="L11" s="4"/>
      <c r="M11" s="20">
        <v>0.89375</v>
      </c>
      <c r="N11" s="4"/>
      <c r="O11" s="65">
        <f>M11-B11</f>
        <v>0.5118055556</v>
      </c>
      <c r="P11" s="58">
        <v>0.375</v>
      </c>
      <c r="Q11" s="65">
        <f t="shared" si="2"/>
        <v>0.1368055556</v>
      </c>
    </row>
    <row r="12">
      <c r="A12" s="18" t="s">
        <v>238</v>
      </c>
      <c r="B12" s="19"/>
      <c r="C12" s="4"/>
      <c r="D12" s="20">
        <v>0.4409722222222222</v>
      </c>
      <c r="E12" s="3"/>
      <c r="F12" s="4"/>
      <c r="G12" s="19"/>
      <c r="H12" s="4"/>
      <c r="I12" s="20">
        <v>0.7625</v>
      </c>
      <c r="J12" s="4"/>
      <c r="K12" s="19"/>
      <c r="L12" s="4"/>
      <c r="M12" s="19"/>
      <c r="N12" s="4"/>
      <c r="O12" s="65">
        <f>I12-D12</f>
        <v>0.3215277778</v>
      </c>
      <c r="P12" s="58">
        <v>0.375</v>
      </c>
      <c r="Q12" s="65">
        <f t="shared" si="2"/>
        <v>-0.05347222222</v>
      </c>
    </row>
    <row r="13">
      <c r="A13" s="18" t="s">
        <v>239</v>
      </c>
      <c r="B13" s="19"/>
      <c r="C13" s="4"/>
      <c r="D13" s="20">
        <v>0.45</v>
      </c>
      <c r="E13" s="3"/>
      <c r="F13" s="4"/>
      <c r="G13" s="19"/>
      <c r="H13" s="4"/>
      <c r="I13" s="19"/>
      <c r="J13" s="4"/>
      <c r="K13" s="19"/>
      <c r="L13" s="4"/>
      <c r="M13" s="20">
        <v>0.8625</v>
      </c>
      <c r="N13" s="4"/>
      <c r="O13" s="65">
        <f>M13-D13</f>
        <v>0.4125</v>
      </c>
      <c r="P13" s="58">
        <v>0.375</v>
      </c>
      <c r="Q13" s="65">
        <f t="shared" si="2"/>
        <v>0.0375</v>
      </c>
    </row>
    <row r="14">
      <c r="A14" s="22" t="s">
        <v>240</v>
      </c>
      <c r="B14" s="93"/>
      <c r="C14" s="4"/>
      <c r="D14" s="19"/>
      <c r="E14" s="3"/>
      <c r="F14" s="4"/>
      <c r="G14" s="19"/>
      <c r="H14" s="4"/>
      <c r="I14" s="19"/>
      <c r="J14" s="4"/>
      <c r="K14" s="93"/>
      <c r="L14" s="4"/>
      <c r="M14" s="19"/>
      <c r="N14" s="4"/>
      <c r="O14" s="65"/>
      <c r="P14" s="58"/>
      <c r="Q14" s="65"/>
    </row>
    <row r="15">
      <c r="A15" s="22" t="s">
        <v>241</v>
      </c>
      <c r="B15" s="19"/>
      <c r="C15" s="4"/>
      <c r="D15" s="93"/>
      <c r="E15" s="3"/>
      <c r="F15" s="4"/>
      <c r="G15" s="19"/>
      <c r="H15" s="4"/>
      <c r="I15" s="19"/>
      <c r="J15" s="4"/>
      <c r="K15" s="19"/>
      <c r="L15" s="4"/>
      <c r="M15" s="93"/>
      <c r="N15" s="4"/>
      <c r="O15" s="65"/>
      <c r="P15" s="58"/>
      <c r="Q15" s="65"/>
    </row>
    <row r="16">
      <c r="A16" s="18" t="s">
        <v>242</v>
      </c>
      <c r="B16" s="20">
        <v>0.40555555555555556</v>
      </c>
      <c r="C16" s="4"/>
      <c r="D16" s="19"/>
      <c r="E16" s="3"/>
      <c r="F16" s="4"/>
      <c r="G16" s="19"/>
      <c r="H16" s="4"/>
      <c r="I16" s="19"/>
      <c r="J16" s="4"/>
      <c r="K16" s="20">
        <v>0.8055555555555556</v>
      </c>
      <c r="L16" s="4"/>
      <c r="M16" s="19"/>
      <c r="N16" s="4"/>
      <c r="O16" s="65">
        <f>K16-B16</f>
        <v>0.4</v>
      </c>
      <c r="P16" s="58">
        <v>0.375</v>
      </c>
      <c r="Q16" s="65">
        <f t="shared" ref="Q16:Q21" si="3">O16-P16</f>
        <v>0.025</v>
      </c>
    </row>
    <row r="17">
      <c r="A17" s="18" t="s">
        <v>243</v>
      </c>
      <c r="B17" s="20">
        <v>0.3875</v>
      </c>
      <c r="C17" s="4"/>
      <c r="D17" s="19"/>
      <c r="E17" s="3"/>
      <c r="F17" s="4"/>
      <c r="G17" s="19"/>
      <c r="H17" s="4"/>
      <c r="I17" s="20">
        <v>0.7347222222222223</v>
      </c>
      <c r="J17" s="4"/>
      <c r="K17" s="19"/>
      <c r="L17" s="4"/>
      <c r="M17" s="19"/>
      <c r="N17" s="4"/>
      <c r="O17" s="65">
        <f>I17-B17</f>
        <v>0.3472222222</v>
      </c>
      <c r="P17" s="58">
        <v>0.375</v>
      </c>
      <c r="Q17" s="65">
        <f t="shared" si="3"/>
        <v>-0.02777777778</v>
      </c>
    </row>
    <row r="18">
      <c r="A18" s="18" t="s">
        <v>244</v>
      </c>
      <c r="B18" s="19"/>
      <c r="C18" s="4"/>
      <c r="D18" s="20">
        <v>0.4409722222222222</v>
      </c>
      <c r="E18" s="3"/>
      <c r="F18" s="4"/>
      <c r="G18" s="19"/>
      <c r="H18" s="4"/>
      <c r="I18" s="19"/>
      <c r="J18" s="4"/>
      <c r="K18" s="20">
        <v>0.8173611111111111</v>
      </c>
      <c r="L18" s="4"/>
      <c r="M18" s="19"/>
      <c r="N18" s="4"/>
      <c r="O18" s="65">
        <f>K18-D18</f>
        <v>0.3763888889</v>
      </c>
      <c r="P18" s="58">
        <v>0.375</v>
      </c>
      <c r="Q18" s="65">
        <f t="shared" si="3"/>
        <v>0.001388888889</v>
      </c>
    </row>
    <row r="19">
      <c r="A19" s="18" t="s">
        <v>245</v>
      </c>
      <c r="B19" s="109"/>
      <c r="C19" s="4"/>
      <c r="D19" s="110"/>
      <c r="E19" s="3"/>
      <c r="F19" s="3"/>
      <c r="G19" s="111"/>
      <c r="H19" s="4"/>
      <c r="I19" s="112"/>
      <c r="J19" s="3"/>
      <c r="K19" s="110"/>
      <c r="L19" s="3"/>
      <c r="M19" s="110"/>
      <c r="N19" s="4"/>
      <c r="O19" s="65"/>
      <c r="P19" s="58">
        <v>0.375</v>
      </c>
      <c r="Q19" s="65">
        <f t="shared" si="3"/>
        <v>-0.375</v>
      </c>
    </row>
    <row r="20">
      <c r="A20" s="18" t="s">
        <v>246</v>
      </c>
      <c r="B20" s="113"/>
      <c r="C20" s="4"/>
      <c r="D20" s="20">
        <v>0.4534722222222222</v>
      </c>
      <c r="E20" s="3"/>
      <c r="F20" s="4"/>
      <c r="G20" s="113"/>
      <c r="H20" s="4"/>
      <c r="I20" s="113"/>
      <c r="J20" s="4"/>
      <c r="K20" s="20">
        <v>0.79375</v>
      </c>
      <c r="L20" s="4"/>
      <c r="M20" s="113"/>
      <c r="N20" s="4"/>
      <c r="O20" s="65">
        <f>K20-D20</f>
        <v>0.3402777778</v>
      </c>
      <c r="P20" s="58">
        <v>0.375</v>
      </c>
      <c r="Q20" s="65">
        <f t="shared" si="3"/>
        <v>-0.03472222222</v>
      </c>
    </row>
    <row r="21">
      <c r="A21" s="22" t="s">
        <v>207</v>
      </c>
      <c r="B21" s="20">
        <v>0.40625</v>
      </c>
      <c r="C21" s="4"/>
      <c r="D21" s="113"/>
      <c r="E21" s="3"/>
      <c r="F21" s="4"/>
      <c r="G21" s="113"/>
      <c r="H21" s="4"/>
      <c r="I21" s="113"/>
      <c r="J21" s="4"/>
      <c r="K21" s="113"/>
      <c r="L21" s="4"/>
      <c r="M21" s="113"/>
      <c r="N21" s="4"/>
      <c r="O21" s="69"/>
      <c r="P21" s="58">
        <v>0.375</v>
      </c>
      <c r="Q21" s="65">
        <f t="shared" si="3"/>
        <v>-0.375</v>
      </c>
    </row>
    <row r="22">
      <c r="M22" s="114" t="s">
        <v>10</v>
      </c>
      <c r="O22" s="65"/>
      <c r="P22" s="57"/>
      <c r="Q22" s="66">
        <f>Q6+Q9+Q11+O16</f>
        <v>0.7083333333</v>
      </c>
    </row>
    <row r="23">
      <c r="O23" s="65"/>
      <c r="P23" s="57"/>
      <c r="Q23" s="65"/>
    </row>
    <row r="24">
      <c r="A24" s="1" t="s">
        <v>0</v>
      </c>
      <c r="B24" s="2" t="s">
        <v>1</v>
      </c>
      <c r="C24" s="3"/>
      <c r="D24" s="3"/>
      <c r="E24" s="3"/>
      <c r="F24" s="3"/>
      <c r="G24" s="3"/>
      <c r="H24" s="4"/>
      <c r="I24" s="1" t="s">
        <v>2</v>
      </c>
      <c r="J24" s="10" t="s">
        <v>33</v>
      </c>
      <c r="K24" s="3"/>
      <c r="L24" s="3"/>
      <c r="M24" s="3"/>
      <c r="N24" s="4"/>
      <c r="O24" s="65"/>
      <c r="P24" s="57"/>
      <c r="Q24" s="65"/>
    </row>
    <row r="25">
      <c r="A25" s="1" t="s">
        <v>4</v>
      </c>
      <c r="B25" s="9" t="s">
        <v>231</v>
      </c>
      <c r="C25" s="3"/>
      <c r="D25" s="3"/>
      <c r="E25" s="3"/>
      <c r="F25" s="3"/>
      <c r="G25" s="3"/>
      <c r="H25" s="4"/>
      <c r="I25" s="1" t="s">
        <v>6</v>
      </c>
      <c r="J25" s="10">
        <v>6.0</v>
      </c>
      <c r="K25" s="3"/>
      <c r="L25" s="3"/>
      <c r="M25" s="3"/>
      <c r="N25" s="4"/>
      <c r="O25" s="65"/>
      <c r="P25" s="57"/>
      <c r="Q25" s="65"/>
    </row>
    <row r="26">
      <c r="A26" s="11" t="s">
        <v>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  <c r="O26" s="65"/>
      <c r="P26" s="57"/>
      <c r="Q26" s="65"/>
    </row>
    <row r="27">
      <c r="A27" s="115"/>
      <c r="B27" s="17" t="s">
        <v>15</v>
      </c>
      <c r="C27" s="4"/>
      <c r="D27" s="17" t="s">
        <v>16</v>
      </c>
      <c r="E27" s="3"/>
      <c r="F27" s="4"/>
      <c r="G27" s="17" t="s">
        <v>15</v>
      </c>
      <c r="H27" s="4"/>
      <c r="I27" s="17" t="s">
        <v>16</v>
      </c>
      <c r="J27" s="4"/>
      <c r="K27" s="17" t="s">
        <v>15</v>
      </c>
      <c r="L27" s="4"/>
      <c r="M27" s="17" t="s">
        <v>16</v>
      </c>
      <c r="N27" s="4"/>
      <c r="O27" s="14" t="s">
        <v>8</v>
      </c>
      <c r="P27" s="108" t="s">
        <v>9</v>
      </c>
      <c r="Q27" s="97" t="s">
        <v>10</v>
      </c>
    </row>
    <row r="28">
      <c r="A28" s="18" t="s">
        <v>232</v>
      </c>
      <c r="B28" s="20">
        <v>0.21388888888888888</v>
      </c>
      <c r="C28" s="4"/>
      <c r="D28" s="19"/>
      <c r="E28" s="3"/>
      <c r="F28" s="4"/>
      <c r="G28" s="19"/>
      <c r="H28" s="4"/>
      <c r="I28" s="19"/>
      <c r="J28" s="4"/>
      <c r="K28" s="19"/>
      <c r="L28" s="4"/>
      <c r="M28" s="20">
        <v>0.8888888888888888</v>
      </c>
      <c r="N28" s="4"/>
      <c r="O28" s="65">
        <f>M28-B28</f>
        <v>0.675</v>
      </c>
      <c r="P28" s="58">
        <v>0.3541666666666667</v>
      </c>
      <c r="Q28" s="65">
        <f>O28-P28</f>
        <v>0.3208333333</v>
      </c>
    </row>
    <row r="29">
      <c r="A29" s="22" t="s">
        <v>233</v>
      </c>
      <c r="B29" s="20">
        <v>0.22847222222222222</v>
      </c>
      <c r="C29" s="4"/>
      <c r="D29" s="20">
        <v>0.7826388888888889</v>
      </c>
      <c r="E29" s="3"/>
      <c r="F29" s="4"/>
      <c r="G29" s="19"/>
      <c r="H29" s="4"/>
      <c r="I29" s="19"/>
      <c r="J29" s="4"/>
      <c r="K29" s="19"/>
      <c r="L29" s="4"/>
      <c r="M29" s="19"/>
      <c r="N29" s="4"/>
      <c r="O29" s="65">
        <f>D29-B29</f>
        <v>0.5541666667</v>
      </c>
      <c r="P29" s="58">
        <v>0.3541666666666667</v>
      </c>
      <c r="Q29" s="62" t="s">
        <v>228</v>
      </c>
    </row>
    <row r="30">
      <c r="A30" s="22" t="s">
        <v>234</v>
      </c>
      <c r="B30" s="19"/>
      <c r="C30" s="4"/>
      <c r="D30" s="19"/>
      <c r="E30" s="3"/>
      <c r="F30" s="4"/>
      <c r="G30" s="19"/>
      <c r="H30" s="4"/>
      <c r="I30" s="19"/>
      <c r="J30" s="4"/>
      <c r="K30" s="19"/>
      <c r="L30" s="4"/>
      <c r="M30" s="19"/>
      <c r="N30" s="4"/>
      <c r="O30" s="65"/>
      <c r="P30" s="57"/>
      <c r="Q30" s="65"/>
    </row>
    <row r="31">
      <c r="A31" s="18" t="s">
        <v>235</v>
      </c>
      <c r="B31" s="20">
        <v>0.20833333333333334</v>
      </c>
      <c r="C31" s="4"/>
      <c r="D31" s="19"/>
      <c r="E31" s="3"/>
      <c r="F31" s="4"/>
      <c r="G31" s="19"/>
      <c r="H31" s="4"/>
      <c r="I31" s="19"/>
      <c r="J31" s="4"/>
      <c r="K31" s="19"/>
      <c r="L31" s="4"/>
      <c r="M31" s="20">
        <v>0.8881944444444444</v>
      </c>
      <c r="N31" s="4"/>
      <c r="O31" s="65">
        <f>M31-B31</f>
        <v>0.6798611111</v>
      </c>
      <c r="P31" s="58">
        <v>0.3541666666666667</v>
      </c>
      <c r="Q31" s="65">
        <f t="shared" ref="Q31:Q34" si="4">O31-P31</f>
        <v>0.3256944444</v>
      </c>
    </row>
    <row r="32">
      <c r="A32" s="18" t="s">
        <v>236</v>
      </c>
      <c r="B32" s="20">
        <v>0.22361111111111112</v>
      </c>
      <c r="C32" s="4"/>
      <c r="D32" s="19"/>
      <c r="E32" s="3"/>
      <c r="F32" s="4"/>
      <c r="G32" s="19"/>
      <c r="H32" s="4"/>
      <c r="I32" s="20">
        <v>0.7604166666666666</v>
      </c>
      <c r="J32" s="4"/>
      <c r="K32" s="19"/>
      <c r="L32" s="4"/>
      <c r="M32" s="19"/>
      <c r="N32" s="4"/>
      <c r="O32" s="65">
        <f>I32-B32</f>
        <v>0.5368055556</v>
      </c>
      <c r="P32" s="58">
        <v>0.3541666666666667</v>
      </c>
      <c r="Q32" s="65">
        <f t="shared" si="4"/>
        <v>0.1826388889</v>
      </c>
    </row>
    <row r="33">
      <c r="A33" s="18" t="s">
        <v>237</v>
      </c>
      <c r="B33" s="20">
        <v>0.22569444444444445</v>
      </c>
      <c r="C33" s="4"/>
      <c r="D33" s="19"/>
      <c r="E33" s="3"/>
      <c r="F33" s="4"/>
      <c r="G33" s="19"/>
      <c r="H33" s="4"/>
      <c r="I33" s="19"/>
      <c r="J33" s="4"/>
      <c r="K33" s="19"/>
      <c r="L33" s="4"/>
      <c r="M33" s="20">
        <v>0.8861111111111111</v>
      </c>
      <c r="N33" s="4"/>
      <c r="O33" s="65">
        <f>M33-B33</f>
        <v>0.6604166667</v>
      </c>
      <c r="P33" s="58">
        <v>0.3541666666666667</v>
      </c>
      <c r="Q33" s="65">
        <f t="shared" si="4"/>
        <v>0.30625</v>
      </c>
    </row>
    <row r="34">
      <c r="A34" s="18" t="s">
        <v>238</v>
      </c>
      <c r="B34" s="20">
        <v>0.21944444444444444</v>
      </c>
      <c r="C34" s="4"/>
      <c r="D34" s="19"/>
      <c r="E34" s="3"/>
      <c r="F34" s="4"/>
      <c r="G34" s="19"/>
      <c r="H34" s="4"/>
      <c r="I34" s="20">
        <v>0.7576388888888889</v>
      </c>
      <c r="J34" s="4"/>
      <c r="K34" s="19"/>
      <c r="L34" s="4"/>
      <c r="M34" s="19"/>
      <c r="N34" s="4"/>
      <c r="O34" s="65">
        <f>I34-B34</f>
        <v>0.5381944444</v>
      </c>
      <c r="P34" s="58">
        <v>0.3541666666666667</v>
      </c>
      <c r="Q34" s="65">
        <f t="shared" si="4"/>
        <v>0.1840277778</v>
      </c>
    </row>
    <row r="35">
      <c r="A35" s="18" t="s">
        <v>239</v>
      </c>
      <c r="B35" s="23"/>
      <c r="C35" s="4"/>
      <c r="D35" s="24"/>
      <c r="E35" s="3"/>
      <c r="F35" s="3"/>
      <c r="G35" s="25"/>
      <c r="H35" s="3"/>
      <c r="I35" s="26"/>
      <c r="J35" s="3"/>
      <c r="K35" s="24"/>
      <c r="L35" s="3"/>
      <c r="M35" s="24"/>
      <c r="N35" s="4"/>
      <c r="O35" s="65"/>
      <c r="P35" s="57"/>
      <c r="Q35" s="65"/>
    </row>
    <row r="36">
      <c r="A36" s="22" t="s">
        <v>240</v>
      </c>
      <c r="B36" s="20">
        <v>0.21180555555555555</v>
      </c>
      <c r="C36" s="4"/>
      <c r="D36" s="20">
        <v>0.7041666666666667</v>
      </c>
      <c r="E36" s="3"/>
      <c r="F36" s="4"/>
      <c r="G36" s="19"/>
      <c r="H36" s="4"/>
      <c r="I36" s="19"/>
      <c r="J36" s="4"/>
      <c r="K36" s="19"/>
      <c r="L36" s="4"/>
      <c r="M36" s="19"/>
      <c r="N36" s="4"/>
      <c r="O36" s="65">
        <f t="shared" ref="O36:O37" si="5">D36-B36</f>
        <v>0.4923611111</v>
      </c>
      <c r="P36" s="58">
        <v>0.3541666666666667</v>
      </c>
      <c r="Q36" s="62" t="s">
        <v>228</v>
      </c>
    </row>
    <row r="37">
      <c r="A37" s="22" t="s">
        <v>241</v>
      </c>
      <c r="B37" s="20">
        <v>0.39861111111111114</v>
      </c>
      <c r="C37" s="4"/>
      <c r="D37" s="20">
        <v>0.7402777777777778</v>
      </c>
      <c r="E37" s="3"/>
      <c r="F37" s="4"/>
      <c r="G37" s="19"/>
      <c r="H37" s="4"/>
      <c r="I37" s="19"/>
      <c r="J37" s="4"/>
      <c r="K37" s="19"/>
      <c r="L37" s="4"/>
      <c r="M37" s="19"/>
      <c r="N37" s="4"/>
      <c r="O37" s="65">
        <f t="shared" si="5"/>
        <v>0.3416666667</v>
      </c>
      <c r="P37" s="58">
        <v>0.3541666666666667</v>
      </c>
      <c r="Q37" s="62" t="s">
        <v>228</v>
      </c>
    </row>
    <row r="38">
      <c r="A38" s="18" t="s">
        <v>242</v>
      </c>
      <c r="B38" s="20">
        <v>0.2013888888888889</v>
      </c>
      <c r="C38" s="4"/>
      <c r="D38" s="19"/>
      <c r="E38" s="3"/>
      <c r="F38" s="4"/>
      <c r="G38" s="19"/>
      <c r="H38" s="4"/>
      <c r="I38" s="20">
        <v>0.7472222222222222</v>
      </c>
      <c r="J38" s="4"/>
      <c r="K38" s="19"/>
      <c r="L38" s="4"/>
      <c r="M38" s="19"/>
      <c r="N38" s="4"/>
      <c r="O38" s="65">
        <f t="shared" ref="O38:O39" si="6">I38-B38</f>
        <v>0.5458333333</v>
      </c>
      <c r="P38" s="58">
        <v>0.3541666666666667</v>
      </c>
      <c r="Q38" s="65">
        <f t="shared" ref="Q38:Q41" si="7">O38-P38</f>
        <v>0.1916666667</v>
      </c>
    </row>
    <row r="39">
      <c r="A39" s="18" t="s">
        <v>243</v>
      </c>
      <c r="B39" s="20">
        <v>0.21666666666666667</v>
      </c>
      <c r="C39" s="4"/>
      <c r="D39" s="19"/>
      <c r="E39" s="3"/>
      <c r="F39" s="4"/>
      <c r="G39" s="19"/>
      <c r="H39" s="4"/>
      <c r="I39" s="20">
        <v>0.6993055555555555</v>
      </c>
      <c r="J39" s="4"/>
      <c r="K39" s="19"/>
      <c r="L39" s="4"/>
      <c r="M39" s="19"/>
      <c r="N39" s="4"/>
      <c r="O39" s="65">
        <f t="shared" si="6"/>
        <v>0.4826388889</v>
      </c>
      <c r="P39" s="58">
        <v>0.3541666666666667</v>
      </c>
      <c r="Q39" s="65">
        <f t="shared" si="7"/>
        <v>0.1284722222</v>
      </c>
    </row>
    <row r="40">
      <c r="A40" s="18" t="s">
        <v>244</v>
      </c>
      <c r="B40" s="20">
        <v>0.22013888888888888</v>
      </c>
      <c r="C40" s="4"/>
      <c r="D40" s="19"/>
      <c r="E40" s="3"/>
      <c r="F40" s="4"/>
      <c r="G40" s="19"/>
      <c r="H40" s="4"/>
      <c r="I40" s="19"/>
      <c r="J40" s="4"/>
      <c r="K40" s="20">
        <v>0.7729166666666667</v>
      </c>
      <c r="L40" s="4"/>
      <c r="M40" s="19"/>
      <c r="N40" s="4"/>
      <c r="O40" s="65">
        <f>K40-B40</f>
        <v>0.5527777778</v>
      </c>
      <c r="P40" s="58">
        <v>0.3541666666666667</v>
      </c>
      <c r="Q40" s="65">
        <f t="shared" si="7"/>
        <v>0.1986111111</v>
      </c>
    </row>
    <row r="41">
      <c r="A41" s="18" t="s">
        <v>245</v>
      </c>
      <c r="B41" s="20">
        <v>0.22152777777777777</v>
      </c>
      <c r="C41" s="4"/>
      <c r="D41" s="19"/>
      <c r="E41" s="3"/>
      <c r="F41" s="4"/>
      <c r="G41" s="19"/>
      <c r="H41" s="4"/>
      <c r="I41" s="20">
        <v>0.6986111111111111</v>
      </c>
      <c r="J41" s="4"/>
      <c r="K41" s="19"/>
      <c r="L41" s="4"/>
      <c r="M41" s="19"/>
      <c r="N41" s="4"/>
      <c r="O41" s="65">
        <f>I41-B41</f>
        <v>0.4770833333</v>
      </c>
      <c r="P41" s="58">
        <v>0.3541666666666667</v>
      </c>
      <c r="Q41" s="65">
        <f t="shared" si="7"/>
        <v>0.1229166667</v>
      </c>
    </row>
    <row r="42">
      <c r="A42" s="18" t="s">
        <v>246</v>
      </c>
      <c r="B42" s="23"/>
      <c r="C42" s="4"/>
      <c r="D42" s="24"/>
      <c r="E42" s="3"/>
      <c r="F42" s="3"/>
      <c r="G42" s="25"/>
      <c r="H42" s="3"/>
      <c r="I42" s="26"/>
      <c r="J42" s="3"/>
      <c r="K42" s="24"/>
      <c r="L42" s="3"/>
      <c r="M42" s="24"/>
      <c r="N42" s="4"/>
      <c r="O42" s="65"/>
      <c r="P42" s="57"/>
      <c r="Q42" s="65"/>
    </row>
    <row r="43">
      <c r="A43" s="22" t="s">
        <v>207</v>
      </c>
      <c r="B43" s="19"/>
      <c r="C43" s="4"/>
      <c r="D43" s="19"/>
      <c r="E43" s="3"/>
      <c r="F43" s="4"/>
      <c r="G43" s="19"/>
      <c r="H43" s="4"/>
      <c r="I43" s="19"/>
      <c r="J43" s="4"/>
      <c r="K43" s="19"/>
      <c r="L43" s="4"/>
      <c r="M43" s="19"/>
      <c r="N43" s="4"/>
      <c r="O43" s="65"/>
      <c r="P43" s="57"/>
      <c r="Q43" s="65"/>
    </row>
    <row r="44">
      <c r="M44" s="48" t="s">
        <v>229</v>
      </c>
      <c r="O44" s="65"/>
      <c r="P44" s="57"/>
      <c r="Q44" s="65">
        <f>Q28+Q31+Q32+Q33+Q34+Q38+Q39+Q40+Q41</f>
        <v>1.961111111</v>
      </c>
    </row>
    <row r="45">
      <c r="M45" s="48" t="s">
        <v>228</v>
      </c>
      <c r="O45" s="65"/>
      <c r="P45" s="57"/>
      <c r="Q45" s="65">
        <f>O29+O36+O37</f>
        <v>1.388194444</v>
      </c>
    </row>
    <row r="46">
      <c r="M46" s="48" t="s">
        <v>204</v>
      </c>
      <c r="O46" s="65"/>
      <c r="P46" s="57"/>
      <c r="Q46" s="65">
        <f>Q44+Q45</f>
        <v>3.349305556</v>
      </c>
    </row>
    <row r="47">
      <c r="O47" s="65"/>
      <c r="P47" s="57"/>
      <c r="Q47" s="65"/>
    </row>
    <row r="48">
      <c r="O48" s="65"/>
      <c r="P48" s="57"/>
      <c r="Q48" s="65"/>
    </row>
    <row r="49">
      <c r="A49" s="1" t="s">
        <v>0</v>
      </c>
      <c r="B49" s="2" t="s">
        <v>1</v>
      </c>
      <c r="C49" s="3"/>
      <c r="D49" s="3"/>
      <c r="E49" s="3"/>
      <c r="F49" s="3"/>
      <c r="G49" s="3"/>
      <c r="H49" s="4"/>
      <c r="I49" s="1" t="s">
        <v>2</v>
      </c>
      <c r="J49" s="10" t="s">
        <v>34</v>
      </c>
      <c r="K49" s="3"/>
      <c r="L49" s="3"/>
      <c r="M49" s="3"/>
      <c r="N49" s="4"/>
      <c r="O49" s="65"/>
      <c r="P49" s="57"/>
      <c r="Q49" s="65"/>
    </row>
    <row r="50">
      <c r="A50" s="1" t="s">
        <v>4</v>
      </c>
      <c r="B50" s="9" t="s">
        <v>231</v>
      </c>
      <c r="C50" s="3"/>
      <c r="D50" s="3"/>
      <c r="E50" s="3"/>
      <c r="F50" s="3"/>
      <c r="G50" s="3"/>
      <c r="H50" s="4"/>
      <c r="I50" s="1" t="s">
        <v>6</v>
      </c>
      <c r="J50" s="10">
        <v>7.0</v>
      </c>
      <c r="K50" s="3"/>
      <c r="L50" s="3"/>
      <c r="M50" s="3"/>
      <c r="N50" s="4"/>
      <c r="O50" s="65"/>
      <c r="P50" s="57"/>
      <c r="Q50" s="65"/>
    </row>
    <row r="51">
      <c r="A51" s="11" t="s">
        <v>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4"/>
      <c r="O51" s="65"/>
      <c r="P51" s="57"/>
      <c r="Q51" s="65"/>
    </row>
    <row r="52">
      <c r="A52" s="15" t="s">
        <v>11</v>
      </c>
      <c r="B52" s="2" t="s">
        <v>12</v>
      </c>
      <c r="C52" s="3"/>
      <c r="D52" s="3"/>
      <c r="E52" s="3"/>
      <c r="F52" s="4"/>
      <c r="G52" s="2" t="s">
        <v>13</v>
      </c>
      <c r="H52" s="3"/>
      <c r="I52" s="3"/>
      <c r="J52" s="3"/>
      <c r="K52" s="10" t="s">
        <v>14</v>
      </c>
      <c r="L52" s="3"/>
      <c r="M52" s="3"/>
      <c r="N52" s="4"/>
      <c r="O52" s="65"/>
      <c r="P52" s="57"/>
      <c r="Q52" s="65"/>
    </row>
    <row r="53">
      <c r="A53" s="16"/>
      <c r="B53" s="17" t="s">
        <v>15</v>
      </c>
      <c r="C53" s="4"/>
      <c r="D53" s="17" t="s">
        <v>16</v>
      </c>
      <c r="E53" s="3"/>
      <c r="F53" s="4"/>
      <c r="G53" s="17" t="s">
        <v>15</v>
      </c>
      <c r="H53" s="4"/>
      <c r="I53" s="17" t="s">
        <v>16</v>
      </c>
      <c r="J53" s="4"/>
      <c r="K53" s="17" t="s">
        <v>15</v>
      </c>
      <c r="L53" s="4"/>
      <c r="M53" s="17" t="s">
        <v>16</v>
      </c>
      <c r="N53" s="4"/>
      <c r="O53" s="14" t="s">
        <v>8</v>
      </c>
      <c r="P53" s="108" t="s">
        <v>9</v>
      </c>
      <c r="Q53" s="97" t="s">
        <v>10</v>
      </c>
    </row>
    <row r="54">
      <c r="A54" s="18" t="s">
        <v>232</v>
      </c>
      <c r="B54" s="20">
        <v>0.27152777777777776</v>
      </c>
      <c r="C54" s="4"/>
      <c r="D54" s="19"/>
      <c r="E54" s="3"/>
      <c r="F54" s="4"/>
      <c r="G54" s="20">
        <v>0.5631944444444444</v>
      </c>
      <c r="H54" s="4"/>
      <c r="I54" s="19"/>
      <c r="J54" s="4"/>
      <c r="K54" s="19"/>
      <c r="L54" s="4"/>
      <c r="M54" s="19"/>
      <c r="N54" s="4"/>
      <c r="O54" s="65">
        <f>G54-B54</f>
        <v>0.2916666667</v>
      </c>
      <c r="P54" s="58">
        <v>0.3541666666666667</v>
      </c>
      <c r="Q54" s="65"/>
    </row>
    <row r="55">
      <c r="A55" s="22" t="s">
        <v>233</v>
      </c>
      <c r="B55" s="19"/>
      <c r="C55" s="4"/>
      <c r="D55" s="19"/>
      <c r="E55" s="3"/>
      <c r="F55" s="4"/>
      <c r="G55" s="19"/>
      <c r="H55" s="4"/>
      <c r="I55" s="19"/>
      <c r="J55" s="4"/>
      <c r="K55" s="19"/>
      <c r="L55" s="4"/>
      <c r="M55" s="19"/>
      <c r="N55" s="4"/>
      <c r="O55" s="65"/>
      <c r="P55" s="57"/>
      <c r="Q55" s="65"/>
    </row>
    <row r="56">
      <c r="A56" s="22" t="s">
        <v>234</v>
      </c>
      <c r="B56" s="19"/>
      <c r="C56" s="4"/>
      <c r="D56" s="19"/>
      <c r="E56" s="3"/>
      <c r="F56" s="4"/>
      <c r="G56" s="19"/>
      <c r="H56" s="4"/>
      <c r="I56" s="19"/>
      <c r="J56" s="4"/>
      <c r="K56" s="19"/>
      <c r="L56" s="4"/>
      <c r="M56" s="19"/>
      <c r="N56" s="4"/>
      <c r="O56" s="65"/>
      <c r="P56" s="57"/>
      <c r="Q56" s="65"/>
    </row>
    <row r="57">
      <c r="A57" s="18" t="s">
        <v>235</v>
      </c>
      <c r="B57" s="23"/>
      <c r="C57" s="4"/>
      <c r="D57" s="24"/>
      <c r="E57" s="3"/>
      <c r="F57" s="3"/>
      <c r="G57" s="25"/>
      <c r="H57" s="3"/>
      <c r="I57" s="26"/>
      <c r="J57" s="3"/>
      <c r="K57" s="24"/>
      <c r="L57" s="3"/>
      <c r="M57" s="24"/>
      <c r="N57" s="4"/>
      <c r="O57" s="65"/>
      <c r="P57" s="62" t="s">
        <v>247</v>
      </c>
      <c r="Q57" s="65"/>
    </row>
    <row r="58">
      <c r="A58" s="18" t="s">
        <v>236</v>
      </c>
      <c r="B58" s="23"/>
      <c r="C58" s="4"/>
      <c r="D58" s="24"/>
      <c r="E58" s="3"/>
      <c r="F58" s="3"/>
      <c r="G58" s="25"/>
      <c r="H58" s="3"/>
      <c r="I58" s="26"/>
      <c r="J58" s="3"/>
      <c r="K58" s="24"/>
      <c r="L58" s="3"/>
      <c r="M58" s="24"/>
      <c r="N58" s="4"/>
      <c r="O58" s="65"/>
      <c r="P58" s="62" t="s">
        <v>247</v>
      </c>
      <c r="Q58" s="65"/>
    </row>
    <row r="59">
      <c r="A59" s="18" t="s">
        <v>237</v>
      </c>
      <c r="B59" s="19"/>
      <c r="C59" s="4"/>
      <c r="D59" s="20">
        <v>0.5131944444444444</v>
      </c>
      <c r="E59" s="3"/>
      <c r="F59" s="4"/>
      <c r="G59" s="19"/>
      <c r="H59" s="4"/>
      <c r="I59" s="19"/>
      <c r="J59" s="4"/>
      <c r="K59" s="19"/>
      <c r="L59" s="4"/>
      <c r="M59" s="20">
        <v>0.8840277777777777</v>
      </c>
      <c r="N59" s="4"/>
      <c r="O59" s="65">
        <f>M59-D59</f>
        <v>0.3708333333</v>
      </c>
      <c r="P59" s="58">
        <v>0.3541666666666667</v>
      </c>
      <c r="Q59" s="65"/>
    </row>
    <row r="60">
      <c r="A60" s="18" t="s">
        <v>238</v>
      </c>
      <c r="B60" s="20">
        <v>0.3993055555555556</v>
      </c>
      <c r="C60" s="4"/>
      <c r="D60" s="19"/>
      <c r="E60" s="3"/>
      <c r="F60" s="4"/>
      <c r="G60" s="19"/>
      <c r="H60" s="4"/>
      <c r="I60" s="20">
        <v>0.7611111111111111</v>
      </c>
      <c r="J60" s="4"/>
      <c r="K60" s="19"/>
      <c r="L60" s="4"/>
      <c r="M60" s="19"/>
      <c r="N60" s="4"/>
      <c r="O60" s="65">
        <f t="shared" ref="O60:O61" si="8">I60-B60</f>
        <v>0.3618055556</v>
      </c>
      <c r="P60" s="58">
        <v>0.3541666666666667</v>
      </c>
      <c r="Q60" s="65"/>
    </row>
    <row r="61">
      <c r="A61" s="18" t="s">
        <v>239</v>
      </c>
      <c r="B61" s="20">
        <v>0.38263888888888886</v>
      </c>
      <c r="C61" s="4"/>
      <c r="D61" s="19"/>
      <c r="E61" s="3"/>
      <c r="F61" s="4"/>
      <c r="G61" s="19"/>
      <c r="H61" s="4"/>
      <c r="I61" s="20">
        <v>0.7479166666666667</v>
      </c>
      <c r="J61" s="4"/>
      <c r="K61" s="19"/>
      <c r="L61" s="4"/>
      <c r="M61" s="19"/>
      <c r="N61" s="4"/>
      <c r="O61" s="65">
        <f t="shared" si="8"/>
        <v>0.3652777778</v>
      </c>
      <c r="P61" s="58">
        <v>0.3541666666666667</v>
      </c>
      <c r="Q61" s="65"/>
    </row>
    <row r="62">
      <c r="A62" s="22" t="s">
        <v>240</v>
      </c>
      <c r="B62" s="19"/>
      <c r="C62" s="4"/>
      <c r="D62" s="19"/>
      <c r="E62" s="3"/>
      <c r="F62" s="4"/>
      <c r="G62" s="19"/>
      <c r="H62" s="4"/>
      <c r="I62" s="19"/>
      <c r="J62" s="4"/>
      <c r="K62" s="19"/>
      <c r="L62" s="4"/>
      <c r="M62" s="19"/>
      <c r="N62" s="4"/>
      <c r="O62" s="65"/>
      <c r="P62" s="57"/>
      <c r="Q62" s="65"/>
    </row>
    <row r="63">
      <c r="A63" s="22" t="s">
        <v>241</v>
      </c>
      <c r="B63" s="19"/>
      <c r="C63" s="4"/>
      <c r="D63" s="19"/>
      <c r="E63" s="3"/>
      <c r="F63" s="4"/>
      <c r="G63" s="19"/>
      <c r="H63" s="4"/>
      <c r="I63" s="19"/>
      <c r="J63" s="4"/>
      <c r="K63" s="19"/>
      <c r="L63" s="4"/>
      <c r="M63" s="19"/>
      <c r="N63" s="4"/>
      <c r="O63" s="65"/>
      <c r="P63" s="57"/>
      <c r="Q63" s="65"/>
    </row>
    <row r="64">
      <c r="A64" s="18" t="s">
        <v>242</v>
      </c>
      <c r="B64" s="20">
        <v>0.3159722222222222</v>
      </c>
      <c r="C64" s="4"/>
      <c r="D64" s="19"/>
      <c r="E64" s="3"/>
      <c r="F64" s="4"/>
      <c r="G64" s="19"/>
      <c r="H64" s="4"/>
      <c r="I64" s="20">
        <v>0.6909722222222222</v>
      </c>
      <c r="J64" s="4"/>
      <c r="K64" s="19"/>
      <c r="L64" s="4"/>
      <c r="M64" s="19"/>
      <c r="N64" s="4"/>
      <c r="O64" s="65">
        <f t="shared" ref="O64:O65" si="9">I64-B64</f>
        <v>0.375</v>
      </c>
      <c r="P64" s="58">
        <v>0.3541666666666667</v>
      </c>
      <c r="Q64" s="65"/>
    </row>
    <row r="65">
      <c r="A65" s="18" t="s">
        <v>243</v>
      </c>
      <c r="B65" s="20">
        <v>0.4013888888888889</v>
      </c>
      <c r="C65" s="4"/>
      <c r="D65" s="19"/>
      <c r="E65" s="3"/>
      <c r="F65" s="4"/>
      <c r="G65" s="19"/>
      <c r="H65" s="4"/>
      <c r="I65" s="20">
        <v>0.7354166666666667</v>
      </c>
      <c r="J65" s="4"/>
      <c r="K65" s="19"/>
      <c r="L65" s="4"/>
      <c r="M65" s="19"/>
      <c r="N65" s="4"/>
      <c r="O65" s="65">
        <f t="shared" si="9"/>
        <v>0.3340277778</v>
      </c>
      <c r="P65" s="58">
        <v>0.3541666666666667</v>
      </c>
      <c r="Q65" s="65"/>
    </row>
    <row r="66">
      <c r="A66" s="18" t="s">
        <v>244</v>
      </c>
      <c r="B66" s="20">
        <v>0.38819444444444445</v>
      </c>
      <c r="C66" s="4"/>
      <c r="D66" s="19"/>
      <c r="E66" s="3"/>
      <c r="F66" s="4"/>
      <c r="G66" s="19"/>
      <c r="H66" s="4"/>
      <c r="I66" s="19"/>
      <c r="J66" s="4"/>
      <c r="K66" s="20">
        <v>0.8111111111111111</v>
      </c>
      <c r="L66" s="4"/>
      <c r="M66" s="19"/>
      <c r="N66" s="4"/>
      <c r="O66" s="65">
        <f>K66-B66</f>
        <v>0.4229166667</v>
      </c>
      <c r="P66" s="58">
        <v>0.3541666666666667</v>
      </c>
      <c r="Q66" s="65"/>
    </row>
    <row r="67">
      <c r="A67" s="18" t="s">
        <v>245</v>
      </c>
      <c r="B67" s="20">
        <v>0.38055555555555554</v>
      </c>
      <c r="C67" s="4"/>
      <c r="D67" s="19"/>
      <c r="E67" s="3"/>
      <c r="F67" s="4"/>
      <c r="G67" s="19"/>
      <c r="H67" s="4"/>
      <c r="I67" s="20">
        <v>0.7027777777777777</v>
      </c>
      <c r="J67" s="4"/>
      <c r="K67" s="19"/>
      <c r="L67" s="4"/>
      <c r="M67" s="19"/>
      <c r="N67" s="4"/>
      <c r="O67" s="65">
        <f>I67-B67</f>
        <v>0.3222222222</v>
      </c>
      <c r="P67" s="58">
        <v>0.3541666666666667</v>
      </c>
      <c r="Q67" s="65"/>
    </row>
    <row r="68">
      <c r="A68" s="18" t="s">
        <v>246</v>
      </c>
      <c r="B68" s="19"/>
      <c r="C68" s="4"/>
      <c r="D68" s="20">
        <v>0.42291666666666666</v>
      </c>
      <c r="E68" s="3"/>
      <c r="F68" s="4"/>
      <c r="G68" s="19"/>
      <c r="H68" s="4"/>
      <c r="I68" s="19"/>
      <c r="J68" s="4"/>
      <c r="K68" s="20">
        <v>0.7798611111111111</v>
      </c>
      <c r="L68" s="4"/>
      <c r="M68" s="19"/>
      <c r="N68" s="4"/>
      <c r="O68" s="65">
        <f>K68-D68</f>
        <v>0.3569444444</v>
      </c>
      <c r="P68" s="58">
        <v>0.3541666666666667</v>
      </c>
      <c r="Q68" s="65"/>
    </row>
    <row r="69">
      <c r="A69" s="22" t="s">
        <v>207</v>
      </c>
      <c r="B69" s="19"/>
      <c r="C69" s="4"/>
      <c r="D69" s="19"/>
      <c r="E69" s="3"/>
      <c r="F69" s="4"/>
      <c r="G69" s="19"/>
      <c r="H69" s="4"/>
      <c r="I69" s="19"/>
      <c r="J69" s="4"/>
      <c r="K69" s="19"/>
      <c r="L69" s="4"/>
      <c r="M69" s="19"/>
      <c r="N69" s="4"/>
      <c r="O69" s="65"/>
      <c r="P69" s="57"/>
      <c r="Q69" s="65"/>
    </row>
    <row r="70">
      <c r="O70" s="65"/>
      <c r="P70" s="57"/>
      <c r="Q70" s="65"/>
    </row>
    <row r="71">
      <c r="A71" s="1" t="s">
        <v>0</v>
      </c>
      <c r="B71" s="2" t="s">
        <v>1</v>
      </c>
      <c r="C71" s="3"/>
      <c r="D71" s="3"/>
      <c r="E71" s="3"/>
      <c r="F71" s="3"/>
      <c r="G71" s="3"/>
      <c r="H71" s="4"/>
      <c r="I71" s="1" t="s">
        <v>2</v>
      </c>
      <c r="J71" s="10" t="s">
        <v>37</v>
      </c>
      <c r="K71" s="3"/>
      <c r="L71" s="3"/>
      <c r="M71" s="3"/>
      <c r="N71" s="4"/>
      <c r="O71" s="65"/>
      <c r="P71" s="57"/>
      <c r="Q71" s="65"/>
    </row>
    <row r="72">
      <c r="A72" s="1" t="s">
        <v>4</v>
      </c>
      <c r="B72" s="9" t="s">
        <v>231</v>
      </c>
      <c r="C72" s="3"/>
      <c r="D72" s="3"/>
      <c r="E72" s="3"/>
      <c r="F72" s="3"/>
      <c r="G72" s="3"/>
      <c r="H72" s="4"/>
      <c r="I72" s="1" t="s">
        <v>6</v>
      </c>
      <c r="J72" s="10">
        <v>10.0</v>
      </c>
      <c r="K72" s="3"/>
      <c r="L72" s="3"/>
      <c r="M72" s="3"/>
      <c r="N72" s="4"/>
      <c r="O72" s="65"/>
      <c r="P72" s="57"/>
      <c r="Q72" s="65"/>
    </row>
    <row r="73">
      <c r="A73" s="11" t="s">
        <v>7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4"/>
      <c r="O73" s="65"/>
      <c r="P73" s="57"/>
      <c r="Q73" s="65"/>
    </row>
    <row r="74">
      <c r="A74" s="15" t="s">
        <v>11</v>
      </c>
      <c r="B74" s="2" t="s">
        <v>12</v>
      </c>
      <c r="C74" s="3"/>
      <c r="D74" s="3"/>
      <c r="E74" s="3"/>
      <c r="F74" s="4"/>
      <c r="G74" s="2" t="s">
        <v>13</v>
      </c>
      <c r="H74" s="3"/>
      <c r="I74" s="3"/>
      <c r="J74" s="3"/>
      <c r="K74" s="10" t="s">
        <v>14</v>
      </c>
      <c r="L74" s="3"/>
      <c r="M74" s="3"/>
      <c r="N74" s="4"/>
      <c r="O74" s="65"/>
      <c r="P74" s="57"/>
      <c r="Q74" s="65"/>
    </row>
    <row r="75">
      <c r="A75" s="16"/>
      <c r="B75" s="17" t="s">
        <v>15</v>
      </c>
      <c r="C75" s="4"/>
      <c r="D75" s="17" t="s">
        <v>16</v>
      </c>
      <c r="E75" s="3"/>
      <c r="F75" s="4"/>
      <c r="G75" s="17" t="s">
        <v>15</v>
      </c>
      <c r="H75" s="4"/>
      <c r="I75" s="17" t="s">
        <v>16</v>
      </c>
      <c r="J75" s="4"/>
      <c r="K75" s="17" t="s">
        <v>15</v>
      </c>
      <c r="L75" s="4"/>
      <c r="M75" s="17" t="s">
        <v>16</v>
      </c>
      <c r="N75" s="4"/>
      <c r="O75" s="14" t="s">
        <v>8</v>
      </c>
      <c r="P75" s="108" t="s">
        <v>9</v>
      </c>
      <c r="Q75" s="97" t="s">
        <v>10</v>
      </c>
    </row>
    <row r="76">
      <c r="A76" s="18" t="s">
        <v>232</v>
      </c>
      <c r="B76" s="20">
        <v>0.41388888888888886</v>
      </c>
      <c r="C76" s="4"/>
      <c r="D76" s="19"/>
      <c r="E76" s="3"/>
      <c r="F76" s="4"/>
      <c r="G76" s="19"/>
      <c r="H76" s="4"/>
      <c r="I76" s="19"/>
      <c r="J76" s="4"/>
      <c r="K76" s="19"/>
      <c r="L76" s="4"/>
      <c r="M76" s="20">
        <v>0.9034722222222222</v>
      </c>
      <c r="N76" s="4"/>
      <c r="O76" s="65">
        <f>M76-B76</f>
        <v>0.4895833333</v>
      </c>
      <c r="P76" s="58">
        <v>0.375</v>
      </c>
      <c r="Q76" s="65">
        <f>O76-P76</f>
        <v>0.1145833333</v>
      </c>
    </row>
    <row r="77">
      <c r="A77" s="22" t="s">
        <v>233</v>
      </c>
      <c r="B77" s="20">
        <v>0.40694444444444444</v>
      </c>
      <c r="C77" s="4"/>
      <c r="D77" s="20">
        <v>0.79375</v>
      </c>
      <c r="E77" s="3"/>
      <c r="F77" s="4"/>
      <c r="G77" s="19"/>
      <c r="H77" s="4"/>
      <c r="I77" s="19"/>
      <c r="J77" s="4"/>
      <c r="K77" s="19"/>
      <c r="L77" s="4"/>
      <c r="M77" s="19"/>
      <c r="N77" s="4"/>
      <c r="O77" s="65">
        <f>D77-B77</f>
        <v>0.3868055556</v>
      </c>
      <c r="P77" s="58">
        <v>0.375</v>
      </c>
      <c r="Q77" s="62" t="s">
        <v>228</v>
      </c>
    </row>
    <row r="78">
      <c r="A78" s="22" t="s">
        <v>234</v>
      </c>
      <c r="B78" s="19"/>
      <c r="C78" s="4"/>
      <c r="D78" s="19"/>
      <c r="E78" s="3"/>
      <c r="F78" s="4"/>
      <c r="G78" s="19"/>
      <c r="H78" s="4"/>
      <c r="I78" s="19"/>
      <c r="J78" s="4"/>
      <c r="K78" s="19"/>
      <c r="L78" s="4"/>
      <c r="M78" s="19"/>
      <c r="N78" s="4"/>
      <c r="O78" s="65"/>
      <c r="P78" s="57"/>
      <c r="Q78" s="65"/>
    </row>
    <row r="79">
      <c r="A79" s="18" t="s">
        <v>235</v>
      </c>
      <c r="B79" s="20">
        <v>0.4166666666666667</v>
      </c>
      <c r="C79" s="4"/>
      <c r="D79" s="19"/>
      <c r="E79" s="3"/>
      <c r="F79" s="4"/>
      <c r="G79" s="19"/>
      <c r="H79" s="4"/>
      <c r="I79" s="19"/>
      <c r="J79" s="4"/>
      <c r="K79" s="19"/>
      <c r="L79" s="4"/>
      <c r="M79" s="20">
        <v>0.8979166666666667</v>
      </c>
      <c r="N79" s="4"/>
      <c r="O79" s="65">
        <f>M79-B79</f>
        <v>0.48125</v>
      </c>
      <c r="P79" s="58">
        <v>0.375</v>
      </c>
      <c r="Q79" s="65">
        <f t="shared" ref="Q79:Q83" si="10">O79-P79</f>
        <v>0.10625</v>
      </c>
    </row>
    <row r="80">
      <c r="A80" s="18" t="s">
        <v>236</v>
      </c>
      <c r="B80" s="20">
        <v>0.4131944444444444</v>
      </c>
      <c r="C80" s="4"/>
      <c r="D80" s="19"/>
      <c r="E80" s="3"/>
      <c r="F80" s="4"/>
      <c r="G80" s="19"/>
      <c r="H80" s="4"/>
      <c r="I80" s="20">
        <v>0.7597222222222222</v>
      </c>
      <c r="J80" s="4"/>
      <c r="K80" s="19"/>
      <c r="L80" s="4"/>
      <c r="M80" s="19"/>
      <c r="N80" s="4"/>
      <c r="O80" s="65">
        <f>I80-B80</f>
        <v>0.3465277778</v>
      </c>
      <c r="P80" s="58">
        <v>0.375</v>
      </c>
      <c r="Q80" s="65">
        <f t="shared" si="10"/>
        <v>-0.02847222222</v>
      </c>
    </row>
    <row r="81">
      <c r="A81" s="18" t="s">
        <v>237</v>
      </c>
      <c r="B81" s="20">
        <v>0.4166666666666667</v>
      </c>
      <c r="C81" s="4"/>
      <c r="D81" s="19"/>
      <c r="E81" s="3"/>
      <c r="F81" s="4"/>
      <c r="G81" s="19"/>
      <c r="H81" s="4"/>
      <c r="I81" s="19"/>
      <c r="J81" s="4"/>
      <c r="K81" s="19"/>
      <c r="L81" s="4"/>
      <c r="M81" s="20">
        <v>0.89375</v>
      </c>
      <c r="N81" s="4"/>
      <c r="O81" s="65">
        <f>M81-B81</f>
        <v>0.4770833333</v>
      </c>
      <c r="P81" s="58">
        <v>0.375</v>
      </c>
      <c r="Q81" s="65">
        <f t="shared" si="10"/>
        <v>0.1020833333</v>
      </c>
    </row>
    <row r="82">
      <c r="A82" s="18" t="s">
        <v>238</v>
      </c>
      <c r="B82" s="20">
        <v>0.4166666666666667</v>
      </c>
      <c r="C82" s="4"/>
      <c r="D82" s="19"/>
      <c r="E82" s="3"/>
      <c r="F82" s="4"/>
      <c r="G82" s="19"/>
      <c r="H82" s="4"/>
      <c r="I82" s="20">
        <v>0.7631944444444444</v>
      </c>
      <c r="J82" s="4"/>
      <c r="K82" s="19"/>
      <c r="L82" s="4"/>
      <c r="M82" s="19"/>
      <c r="N82" s="4"/>
      <c r="O82" s="65">
        <f>I82-B82</f>
        <v>0.3465277778</v>
      </c>
      <c r="P82" s="58">
        <v>0.375</v>
      </c>
      <c r="Q82" s="65">
        <f t="shared" si="10"/>
        <v>-0.02847222222</v>
      </c>
    </row>
    <row r="83">
      <c r="A83" s="18" t="s">
        <v>239</v>
      </c>
      <c r="B83" s="20">
        <v>0.4166666666666667</v>
      </c>
      <c r="C83" s="4"/>
      <c r="D83" s="19"/>
      <c r="E83" s="3"/>
      <c r="F83" s="4"/>
      <c r="G83" s="19"/>
      <c r="H83" s="4"/>
      <c r="I83" s="19"/>
      <c r="J83" s="4"/>
      <c r="K83" s="19"/>
      <c r="L83" s="4"/>
      <c r="M83" s="20">
        <v>0.8770833333333333</v>
      </c>
      <c r="N83" s="4"/>
      <c r="O83" s="65">
        <f>M83-B83</f>
        <v>0.4604166667</v>
      </c>
      <c r="P83" s="58">
        <v>0.375</v>
      </c>
      <c r="Q83" s="65">
        <f t="shared" si="10"/>
        <v>0.08541666667</v>
      </c>
    </row>
    <row r="84">
      <c r="A84" s="22" t="s">
        <v>240</v>
      </c>
      <c r="B84" s="20">
        <v>0.7041666666666667</v>
      </c>
      <c r="C84" s="4"/>
      <c r="D84" s="19"/>
      <c r="E84" s="3"/>
      <c r="F84" s="4"/>
      <c r="G84" s="19"/>
      <c r="H84" s="4"/>
      <c r="I84" s="20">
        <v>0.4166666666666667</v>
      </c>
      <c r="J84" s="4"/>
      <c r="K84" s="19"/>
      <c r="L84" s="4"/>
      <c r="M84" s="19"/>
      <c r="N84" s="4"/>
      <c r="O84" s="65">
        <f>B84-I84</f>
        <v>0.2875</v>
      </c>
      <c r="P84" s="57"/>
      <c r="Q84" s="62" t="s">
        <v>228</v>
      </c>
    </row>
    <row r="85">
      <c r="A85" s="22" t="s">
        <v>241</v>
      </c>
      <c r="B85" s="19"/>
      <c r="C85" s="4"/>
      <c r="D85" s="19"/>
      <c r="E85" s="3"/>
      <c r="F85" s="4"/>
      <c r="G85" s="19"/>
      <c r="H85" s="4"/>
      <c r="I85" s="19"/>
      <c r="J85" s="4"/>
      <c r="K85" s="19"/>
      <c r="L85" s="4"/>
      <c r="M85" s="19"/>
      <c r="N85" s="4"/>
      <c r="O85" s="65"/>
      <c r="P85" s="57"/>
      <c r="Q85" s="65"/>
    </row>
    <row r="86">
      <c r="A86" s="18" t="s">
        <v>242</v>
      </c>
      <c r="B86" s="20">
        <v>0.3951388888888889</v>
      </c>
      <c r="C86" s="4"/>
      <c r="D86" s="19"/>
      <c r="E86" s="3"/>
      <c r="F86" s="4"/>
      <c r="G86" s="19"/>
      <c r="H86" s="4"/>
      <c r="I86" s="19"/>
      <c r="J86" s="4"/>
      <c r="K86" s="19"/>
      <c r="L86" s="4"/>
      <c r="M86" s="20">
        <v>0.9131944444444444</v>
      </c>
      <c r="N86" s="4"/>
      <c r="O86" s="65">
        <f>M86-B86</f>
        <v>0.5180555556</v>
      </c>
      <c r="P86" s="58">
        <v>0.375</v>
      </c>
      <c r="Q86" s="65">
        <f t="shared" ref="Q86:Q87" si="11">O86-P86</f>
        <v>0.1430555556</v>
      </c>
    </row>
    <row r="87">
      <c r="A87" s="18" t="s">
        <v>243</v>
      </c>
      <c r="B87" s="20">
        <v>0.4166666666666667</v>
      </c>
      <c r="C87" s="4"/>
      <c r="D87" s="19"/>
      <c r="E87" s="3"/>
      <c r="F87" s="4"/>
      <c r="G87" s="19"/>
      <c r="H87" s="4"/>
      <c r="I87" s="20">
        <v>0.7354166666666667</v>
      </c>
      <c r="J87" s="4"/>
      <c r="K87" s="19"/>
      <c r="L87" s="4"/>
      <c r="M87" s="19"/>
      <c r="N87" s="4"/>
      <c r="O87" s="65">
        <f>I87-B87</f>
        <v>0.31875</v>
      </c>
      <c r="P87" s="58">
        <v>0.375</v>
      </c>
      <c r="Q87" s="65">
        <f t="shared" si="11"/>
        <v>-0.05625</v>
      </c>
    </row>
    <row r="88">
      <c r="A88" s="18" t="s">
        <v>244</v>
      </c>
      <c r="B88" s="19"/>
      <c r="C88" s="4"/>
      <c r="D88" s="20">
        <v>0.41805555555555557</v>
      </c>
      <c r="E88" s="3"/>
      <c r="F88" s="4"/>
      <c r="G88" s="19"/>
      <c r="H88" s="4"/>
      <c r="I88" s="19"/>
      <c r="J88" s="4"/>
      <c r="K88" s="19"/>
      <c r="L88" s="4"/>
      <c r="M88" s="20">
        <v>0.8888888888888888</v>
      </c>
      <c r="N88" s="4"/>
      <c r="O88" s="65">
        <f>M88-D88</f>
        <v>0.4708333333</v>
      </c>
      <c r="P88" s="58">
        <v>0.375</v>
      </c>
      <c r="Q88" s="65">
        <f>M88-D88</f>
        <v>0.4708333333</v>
      </c>
    </row>
    <row r="89">
      <c r="A89" s="18" t="s">
        <v>245</v>
      </c>
      <c r="B89" s="20">
        <v>0.4166666666666667</v>
      </c>
      <c r="C89" s="4"/>
      <c r="D89" s="19"/>
      <c r="E89" s="3"/>
      <c r="F89" s="4"/>
      <c r="G89" s="19"/>
      <c r="H89" s="4"/>
      <c r="I89" s="20">
        <v>0.7055555555555556</v>
      </c>
      <c r="J89" s="4"/>
      <c r="K89" s="19"/>
      <c r="L89" s="4"/>
      <c r="M89" s="19"/>
      <c r="N89" s="4"/>
      <c r="O89" s="65">
        <f>I89-B89</f>
        <v>0.2888888889</v>
      </c>
      <c r="P89" s="58">
        <v>0.375</v>
      </c>
      <c r="Q89" s="65">
        <f>I89-B89</f>
        <v>0.2888888889</v>
      </c>
    </row>
    <row r="90">
      <c r="A90" s="18" t="s">
        <v>246</v>
      </c>
      <c r="B90" s="20">
        <v>0.41458333333333336</v>
      </c>
      <c r="C90" s="4"/>
      <c r="D90" s="19"/>
      <c r="E90" s="3"/>
      <c r="F90" s="4"/>
      <c r="G90" s="19"/>
      <c r="H90" s="4"/>
      <c r="I90" s="19"/>
      <c r="J90" s="4"/>
      <c r="K90" s="19"/>
      <c r="L90" s="4"/>
      <c r="M90" s="20">
        <v>0.8881944444444444</v>
      </c>
      <c r="N90" s="4"/>
      <c r="O90" s="65">
        <f>M90-B90</f>
        <v>0.4736111111</v>
      </c>
      <c r="P90" s="58">
        <v>0.375</v>
      </c>
      <c r="Q90" s="65">
        <f>O90-P90</f>
        <v>0.09861111111</v>
      </c>
    </row>
    <row r="91">
      <c r="A91" s="22" t="s">
        <v>207</v>
      </c>
      <c r="B91" s="20">
        <v>0.3902777777777778</v>
      </c>
      <c r="C91" s="4"/>
      <c r="D91" s="19"/>
      <c r="E91" s="3"/>
      <c r="F91" s="4"/>
      <c r="G91" s="19"/>
      <c r="H91" s="4"/>
      <c r="I91" s="19"/>
      <c r="J91" s="4"/>
      <c r="K91" s="19"/>
      <c r="L91" s="4"/>
      <c r="M91" s="19"/>
      <c r="N91" s="4"/>
      <c r="O91" s="65"/>
      <c r="P91" s="57"/>
      <c r="Q91" s="65"/>
    </row>
    <row r="92">
      <c r="M92" s="48" t="s">
        <v>10</v>
      </c>
      <c r="O92" s="65"/>
      <c r="P92" s="57"/>
      <c r="Q92" s="65">
        <f>Q76+O77+Q79+Q81+Q83+O84+Q86+Q88+Q89+Q90</f>
        <v>2.084027778</v>
      </c>
    </row>
    <row r="93">
      <c r="O93" s="65"/>
      <c r="P93" s="57"/>
      <c r="Q93" s="65"/>
    </row>
    <row r="94">
      <c r="A94" s="1" t="s">
        <v>0</v>
      </c>
      <c r="B94" s="2" t="s">
        <v>1</v>
      </c>
      <c r="C94" s="3"/>
      <c r="D94" s="3"/>
      <c r="E94" s="3"/>
      <c r="F94" s="3"/>
      <c r="G94" s="3"/>
      <c r="H94" s="4"/>
      <c r="I94" s="1" t="s">
        <v>2</v>
      </c>
      <c r="J94" s="10" t="s">
        <v>38</v>
      </c>
      <c r="K94" s="3"/>
      <c r="L94" s="3"/>
      <c r="M94" s="3"/>
      <c r="N94" s="4"/>
      <c r="O94" s="65"/>
      <c r="P94" s="57"/>
      <c r="Q94" s="65"/>
    </row>
    <row r="95">
      <c r="A95" s="1" t="s">
        <v>4</v>
      </c>
      <c r="B95" s="9" t="s">
        <v>231</v>
      </c>
      <c r="C95" s="3"/>
      <c r="D95" s="3"/>
      <c r="E95" s="3"/>
      <c r="F95" s="3"/>
      <c r="G95" s="3"/>
      <c r="H95" s="4"/>
      <c r="I95" s="1" t="s">
        <v>6</v>
      </c>
      <c r="J95" s="10">
        <v>11.0</v>
      </c>
      <c r="K95" s="3"/>
      <c r="L95" s="3"/>
      <c r="M95" s="3"/>
      <c r="N95" s="4"/>
      <c r="O95" s="65"/>
      <c r="P95" s="57"/>
      <c r="Q95" s="65"/>
    </row>
    <row r="96">
      <c r="A96" s="11" t="s">
        <v>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4"/>
      <c r="O96" s="65"/>
      <c r="P96" s="57"/>
      <c r="Q96" s="65"/>
    </row>
    <row r="97">
      <c r="A97" s="15" t="s">
        <v>11</v>
      </c>
      <c r="B97" s="2" t="s">
        <v>12</v>
      </c>
      <c r="C97" s="3"/>
      <c r="D97" s="3"/>
      <c r="E97" s="3"/>
      <c r="F97" s="4"/>
      <c r="G97" s="2" t="s">
        <v>13</v>
      </c>
      <c r="H97" s="3"/>
      <c r="I97" s="3"/>
      <c r="J97" s="3"/>
      <c r="K97" s="10" t="s">
        <v>14</v>
      </c>
      <c r="L97" s="3"/>
      <c r="M97" s="3"/>
      <c r="N97" s="4"/>
      <c r="O97" s="65"/>
      <c r="P97" s="57"/>
      <c r="Q97" s="65"/>
    </row>
    <row r="98">
      <c r="A98" s="16"/>
      <c r="B98" s="17" t="s">
        <v>15</v>
      </c>
      <c r="C98" s="4"/>
      <c r="D98" s="17" t="s">
        <v>16</v>
      </c>
      <c r="E98" s="3"/>
      <c r="F98" s="4"/>
      <c r="G98" s="17" t="s">
        <v>15</v>
      </c>
      <c r="H98" s="4"/>
      <c r="I98" s="17" t="s">
        <v>16</v>
      </c>
      <c r="J98" s="4"/>
      <c r="K98" s="17" t="s">
        <v>15</v>
      </c>
      <c r="L98" s="4"/>
      <c r="M98" s="17" t="s">
        <v>16</v>
      </c>
      <c r="N98" s="4"/>
      <c r="O98" s="14" t="s">
        <v>8</v>
      </c>
      <c r="P98" s="108" t="s">
        <v>9</v>
      </c>
      <c r="Q98" s="97" t="s">
        <v>10</v>
      </c>
    </row>
    <row r="99">
      <c r="A99" s="18" t="s">
        <v>232</v>
      </c>
      <c r="B99" s="20">
        <v>0.19930555555555557</v>
      </c>
      <c r="C99" s="4"/>
      <c r="D99" s="19"/>
      <c r="E99" s="3"/>
      <c r="F99" s="4"/>
      <c r="G99" s="20">
        <v>0.5631944444444444</v>
      </c>
      <c r="H99" s="4"/>
      <c r="I99" s="19"/>
      <c r="J99" s="4"/>
      <c r="K99" s="19"/>
      <c r="L99" s="4"/>
      <c r="M99" s="19"/>
      <c r="N99" s="4"/>
      <c r="O99" s="65"/>
      <c r="P99" s="57"/>
      <c r="Q99" s="65"/>
    </row>
    <row r="100">
      <c r="A100" s="22" t="s">
        <v>233</v>
      </c>
      <c r="B100" s="20">
        <v>0.20277777777777778</v>
      </c>
      <c r="C100" s="4"/>
      <c r="D100" s="19"/>
      <c r="E100" s="3"/>
      <c r="F100" s="4"/>
      <c r="G100" s="19"/>
      <c r="H100" s="4"/>
      <c r="I100" s="20">
        <v>0.7916666666666666</v>
      </c>
      <c r="J100" s="4"/>
      <c r="K100" s="19"/>
      <c r="L100" s="4"/>
      <c r="M100" s="19"/>
      <c r="N100" s="4"/>
      <c r="O100" s="65">
        <f>I100-B100</f>
        <v>0.5888888889</v>
      </c>
      <c r="P100" s="58">
        <v>0.3541666666666667</v>
      </c>
      <c r="Q100" s="65">
        <f>O100-P100</f>
        <v>0.2347222222</v>
      </c>
    </row>
    <row r="101">
      <c r="A101" s="22" t="s">
        <v>234</v>
      </c>
      <c r="B101" s="19"/>
      <c r="C101" s="4"/>
      <c r="D101" s="19"/>
      <c r="E101" s="3"/>
      <c r="F101" s="4"/>
      <c r="G101" s="19"/>
      <c r="H101" s="4"/>
      <c r="I101" s="19"/>
      <c r="J101" s="4"/>
      <c r="K101" s="19"/>
      <c r="L101" s="4"/>
      <c r="M101" s="19"/>
      <c r="N101" s="4"/>
      <c r="O101" s="65"/>
      <c r="P101" s="57"/>
      <c r="Q101" s="65"/>
    </row>
    <row r="102">
      <c r="A102" s="18" t="s">
        <v>235</v>
      </c>
      <c r="B102" s="20">
        <v>0.36527777777777776</v>
      </c>
      <c r="C102" s="4"/>
      <c r="D102" s="19"/>
      <c r="E102" s="3"/>
      <c r="F102" s="4"/>
      <c r="G102" s="19"/>
      <c r="H102" s="4"/>
      <c r="I102" s="19"/>
      <c r="J102" s="4"/>
      <c r="K102" s="19"/>
      <c r="L102" s="4"/>
      <c r="M102" s="20">
        <v>0.8340277777777778</v>
      </c>
      <c r="N102" s="4"/>
      <c r="O102" s="65"/>
      <c r="P102" s="57"/>
      <c r="Q102" s="65"/>
    </row>
    <row r="103">
      <c r="A103" s="18" t="s">
        <v>236</v>
      </c>
      <c r="B103" s="23"/>
      <c r="C103" s="4"/>
      <c r="D103" s="24"/>
      <c r="E103" s="3"/>
      <c r="F103" s="3"/>
      <c r="G103" s="25"/>
      <c r="H103" s="3"/>
      <c r="I103" s="26"/>
      <c r="J103" s="3"/>
      <c r="K103" s="24"/>
      <c r="L103" s="3"/>
      <c r="M103" s="24"/>
      <c r="N103" s="4"/>
      <c r="O103" s="65"/>
      <c r="P103" s="57"/>
      <c r="Q103" s="65"/>
    </row>
    <row r="104">
      <c r="A104" s="18" t="s">
        <v>237</v>
      </c>
      <c r="B104" s="20">
        <v>0.1986111111111111</v>
      </c>
      <c r="C104" s="4"/>
      <c r="D104" s="19"/>
      <c r="E104" s="3"/>
      <c r="F104" s="4"/>
      <c r="G104" s="19"/>
      <c r="H104" s="4"/>
      <c r="I104" s="19"/>
      <c r="J104" s="4"/>
      <c r="K104" s="20">
        <v>0.7819444444444444</v>
      </c>
      <c r="L104" s="4"/>
      <c r="M104" s="19"/>
      <c r="N104" s="4"/>
      <c r="O104" s="65">
        <f>K104-B104</f>
        <v>0.5833333333</v>
      </c>
      <c r="P104" s="58">
        <v>0.3541666666666667</v>
      </c>
      <c r="Q104" s="65">
        <f t="shared" ref="Q104:Q105" si="12">O104-P104</f>
        <v>0.2291666667</v>
      </c>
    </row>
    <row r="105">
      <c r="A105" s="18" t="s">
        <v>238</v>
      </c>
      <c r="B105" s="20">
        <v>0.20902777777777778</v>
      </c>
      <c r="C105" s="4"/>
      <c r="D105" s="19"/>
      <c r="E105" s="3"/>
      <c r="F105" s="4"/>
      <c r="G105" s="20">
        <v>0.6159722222222223</v>
      </c>
      <c r="H105" s="4"/>
      <c r="I105" s="19"/>
      <c r="J105" s="4"/>
      <c r="K105" s="19"/>
      <c r="L105" s="4"/>
      <c r="M105" s="19"/>
      <c r="N105" s="4"/>
      <c r="O105" s="65">
        <f>G105-B105</f>
        <v>0.4069444444</v>
      </c>
      <c r="P105" s="58">
        <v>0.3541666666666667</v>
      </c>
      <c r="Q105" s="65">
        <f t="shared" si="12"/>
        <v>0.05277777778</v>
      </c>
    </row>
    <row r="106">
      <c r="A106" s="18" t="s">
        <v>239</v>
      </c>
      <c r="B106" s="20">
        <v>0.20833333333333334</v>
      </c>
      <c r="C106" s="4"/>
      <c r="D106" s="19"/>
      <c r="E106" s="3"/>
      <c r="F106" s="4"/>
      <c r="G106" s="20">
        <v>0.5645833333333333</v>
      </c>
      <c r="H106" s="4"/>
      <c r="I106" s="19"/>
      <c r="J106" s="4"/>
      <c r="K106" s="19"/>
      <c r="L106" s="4"/>
      <c r="M106" s="19"/>
      <c r="N106" s="4"/>
      <c r="O106" s="65"/>
      <c r="P106" s="57"/>
      <c r="Q106" s="65"/>
    </row>
    <row r="107">
      <c r="A107" s="22" t="s">
        <v>240</v>
      </c>
      <c r="B107" s="20">
        <v>0.18680555555555556</v>
      </c>
      <c r="C107" s="4"/>
      <c r="D107" s="20">
        <v>0.5645833333333333</v>
      </c>
      <c r="E107" s="3"/>
      <c r="F107" s="4"/>
      <c r="G107" s="19"/>
      <c r="H107" s="4"/>
      <c r="I107" s="19"/>
      <c r="J107" s="4"/>
      <c r="K107" s="19"/>
      <c r="L107" s="4"/>
      <c r="M107" s="19"/>
      <c r="N107" s="4"/>
      <c r="O107" s="65"/>
      <c r="P107" s="57"/>
      <c r="Q107" s="65"/>
    </row>
    <row r="108">
      <c r="A108" s="22" t="s">
        <v>241</v>
      </c>
      <c r="B108" s="19"/>
      <c r="C108" s="4"/>
      <c r="D108" s="19"/>
      <c r="E108" s="3"/>
      <c r="F108" s="4"/>
      <c r="G108" s="19"/>
      <c r="H108" s="4"/>
      <c r="I108" s="19"/>
      <c r="J108" s="4"/>
      <c r="K108" s="19"/>
      <c r="L108" s="4"/>
      <c r="M108" s="19"/>
      <c r="N108" s="4"/>
      <c r="O108" s="65"/>
      <c r="P108" s="57"/>
      <c r="Q108" s="65"/>
    </row>
    <row r="109">
      <c r="A109" s="18" t="s">
        <v>242</v>
      </c>
      <c r="B109" s="20">
        <v>0.36180555555555555</v>
      </c>
      <c r="C109" s="4"/>
      <c r="D109" s="19"/>
      <c r="E109" s="3"/>
      <c r="F109" s="4"/>
      <c r="G109" s="19"/>
      <c r="H109" s="4"/>
      <c r="I109" s="19"/>
      <c r="J109" s="4"/>
      <c r="K109" s="20">
        <v>0.8243055555555555</v>
      </c>
      <c r="L109" s="4"/>
      <c r="M109" s="19"/>
      <c r="N109" s="4"/>
      <c r="O109" s="65"/>
      <c r="P109" s="57"/>
      <c r="Q109" s="65"/>
    </row>
    <row r="110">
      <c r="A110" s="18" t="s">
        <v>243</v>
      </c>
      <c r="B110" s="33">
        <v>0.375</v>
      </c>
      <c r="C110" s="4"/>
      <c r="D110" s="24"/>
      <c r="E110" s="3"/>
      <c r="F110" s="3"/>
      <c r="G110" s="25"/>
      <c r="H110" s="3"/>
      <c r="I110" s="26"/>
      <c r="J110" s="3"/>
      <c r="K110" s="34">
        <v>0.8125</v>
      </c>
      <c r="L110" s="3"/>
      <c r="M110" s="24"/>
      <c r="N110" s="4"/>
      <c r="O110" s="65">
        <f>K110-B110</f>
        <v>0.4375</v>
      </c>
      <c r="P110" s="58">
        <v>0.3541666666666667</v>
      </c>
      <c r="Q110" s="65">
        <f>O110-P110</f>
        <v>0.08333333333</v>
      </c>
    </row>
    <row r="111">
      <c r="A111" s="18" t="s">
        <v>244</v>
      </c>
      <c r="B111" s="20">
        <v>0.18541666666666667</v>
      </c>
      <c r="C111" s="4"/>
      <c r="D111" s="19"/>
      <c r="E111" s="3"/>
      <c r="F111" s="4"/>
      <c r="G111" s="20">
        <v>0.6618055555555555</v>
      </c>
      <c r="H111" s="4"/>
      <c r="I111" s="19"/>
      <c r="J111" s="4"/>
      <c r="K111" s="19"/>
      <c r="L111" s="4"/>
      <c r="M111" s="19"/>
      <c r="N111" s="4"/>
      <c r="O111" s="65"/>
      <c r="P111" s="57"/>
      <c r="Q111" s="65"/>
    </row>
    <row r="112">
      <c r="A112" s="18" t="s">
        <v>245</v>
      </c>
      <c r="B112" s="20">
        <v>0.18819444444444444</v>
      </c>
      <c r="C112" s="4"/>
      <c r="D112" s="19"/>
      <c r="E112" s="3"/>
      <c r="F112" s="4"/>
      <c r="G112" s="20">
        <v>0.5659722222222222</v>
      </c>
      <c r="H112" s="4"/>
      <c r="I112" s="19"/>
      <c r="J112" s="4"/>
      <c r="K112" s="19"/>
      <c r="L112" s="4"/>
      <c r="M112" s="19"/>
      <c r="N112" s="4"/>
      <c r="O112" s="65"/>
      <c r="P112" s="57"/>
      <c r="Q112" s="65"/>
    </row>
    <row r="113">
      <c r="A113" s="18" t="s">
        <v>246</v>
      </c>
      <c r="B113" s="20">
        <v>0.18541666666666667</v>
      </c>
      <c r="C113" s="4"/>
      <c r="D113" s="19"/>
      <c r="E113" s="3"/>
      <c r="F113" s="4"/>
      <c r="G113" s="20">
        <v>0.5625</v>
      </c>
      <c r="H113" s="4"/>
      <c r="I113" s="19"/>
      <c r="J113" s="4"/>
      <c r="K113" s="19"/>
      <c r="L113" s="4"/>
      <c r="M113" s="19"/>
      <c r="N113" s="4"/>
      <c r="O113" s="65"/>
      <c r="P113" s="57"/>
      <c r="Q113" s="65"/>
    </row>
    <row r="114">
      <c r="A114" s="22" t="s">
        <v>207</v>
      </c>
      <c r="B114" s="20">
        <v>0.38055555555555554</v>
      </c>
      <c r="C114" s="4"/>
      <c r="D114" s="19"/>
      <c r="E114" s="3"/>
      <c r="F114" s="4"/>
      <c r="G114" s="19"/>
      <c r="H114" s="4"/>
      <c r="I114" s="19"/>
      <c r="J114" s="4"/>
      <c r="K114" s="19"/>
      <c r="L114" s="4"/>
      <c r="M114" s="19"/>
      <c r="N114" s="4"/>
      <c r="O114" s="65"/>
      <c r="P114" s="57"/>
      <c r="Q114" s="65"/>
    </row>
    <row r="115">
      <c r="M115" s="48" t="s">
        <v>10</v>
      </c>
      <c r="O115" s="65"/>
      <c r="P115" s="57"/>
      <c r="Q115" s="65">
        <f>Q100+Q104+Q105+Q110</f>
        <v>0.6</v>
      </c>
    </row>
    <row r="116">
      <c r="O116" s="65"/>
      <c r="P116" s="57"/>
      <c r="Q116" s="65"/>
    </row>
    <row r="117">
      <c r="A117" s="1" t="s">
        <v>0</v>
      </c>
      <c r="B117" s="2" t="s">
        <v>1</v>
      </c>
      <c r="C117" s="3"/>
      <c r="D117" s="3"/>
      <c r="E117" s="3"/>
      <c r="F117" s="3"/>
      <c r="G117" s="3"/>
      <c r="H117" s="4"/>
      <c r="I117" s="1" t="s">
        <v>2</v>
      </c>
      <c r="J117" s="10" t="s">
        <v>39</v>
      </c>
      <c r="K117" s="3"/>
      <c r="L117" s="3"/>
      <c r="M117" s="3"/>
      <c r="N117" s="4"/>
      <c r="O117" s="65"/>
      <c r="P117" s="57"/>
      <c r="Q117" s="65"/>
    </row>
    <row r="118">
      <c r="A118" s="1" t="s">
        <v>4</v>
      </c>
      <c r="B118" s="9" t="s">
        <v>231</v>
      </c>
      <c r="C118" s="3"/>
      <c r="D118" s="3"/>
      <c r="E118" s="3"/>
      <c r="F118" s="3"/>
      <c r="G118" s="3"/>
      <c r="H118" s="4"/>
      <c r="I118" s="1" t="s">
        <v>6</v>
      </c>
      <c r="J118" s="10">
        <v>12.0</v>
      </c>
      <c r="K118" s="3"/>
      <c r="L118" s="3"/>
      <c r="M118" s="3"/>
      <c r="N118" s="4"/>
      <c r="O118" s="65"/>
      <c r="P118" s="57"/>
      <c r="Q118" s="65"/>
    </row>
    <row r="119">
      <c r="A119" s="11" t="s">
        <v>7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4"/>
      <c r="O119" s="65"/>
      <c r="P119" s="57"/>
      <c r="Q119" s="65"/>
    </row>
    <row r="120">
      <c r="A120" s="15" t="s">
        <v>11</v>
      </c>
      <c r="B120" s="2" t="s">
        <v>12</v>
      </c>
      <c r="C120" s="3"/>
      <c r="D120" s="3"/>
      <c r="E120" s="3"/>
      <c r="F120" s="4"/>
      <c r="G120" s="2" t="s">
        <v>13</v>
      </c>
      <c r="H120" s="3"/>
      <c r="I120" s="3"/>
      <c r="J120" s="3"/>
      <c r="K120" s="10" t="s">
        <v>14</v>
      </c>
      <c r="L120" s="3"/>
      <c r="M120" s="3"/>
      <c r="N120" s="4"/>
      <c r="O120" s="65"/>
      <c r="P120" s="57"/>
      <c r="Q120" s="65"/>
    </row>
    <row r="121">
      <c r="A121" s="16"/>
      <c r="B121" s="17" t="s">
        <v>15</v>
      </c>
      <c r="C121" s="4"/>
      <c r="D121" s="17" t="s">
        <v>16</v>
      </c>
      <c r="E121" s="3"/>
      <c r="F121" s="4"/>
      <c r="G121" s="17" t="s">
        <v>15</v>
      </c>
      <c r="H121" s="4"/>
      <c r="I121" s="17" t="s">
        <v>16</v>
      </c>
      <c r="J121" s="4"/>
      <c r="K121" s="17" t="s">
        <v>15</v>
      </c>
      <c r="L121" s="4"/>
      <c r="M121" s="17" t="s">
        <v>16</v>
      </c>
      <c r="N121" s="4"/>
      <c r="O121" s="14" t="s">
        <v>8</v>
      </c>
      <c r="P121" s="108" t="s">
        <v>9</v>
      </c>
      <c r="Q121" s="97" t="s">
        <v>10</v>
      </c>
    </row>
    <row r="122">
      <c r="A122" s="18" t="s">
        <v>232</v>
      </c>
      <c r="B122" s="19"/>
      <c r="C122" s="4"/>
      <c r="D122" s="20">
        <v>0.4548611111111111</v>
      </c>
      <c r="E122" s="3"/>
      <c r="F122" s="4"/>
      <c r="G122" s="19"/>
      <c r="H122" s="4"/>
      <c r="I122" s="19"/>
      <c r="J122" s="4"/>
      <c r="K122" s="19"/>
      <c r="L122" s="4"/>
      <c r="M122" s="20">
        <v>0.8784722222222222</v>
      </c>
      <c r="N122" s="4"/>
      <c r="O122" s="65">
        <f>M122-D122</f>
        <v>0.4236111111</v>
      </c>
      <c r="P122" s="58">
        <v>0.3541666666666667</v>
      </c>
      <c r="Q122" s="65">
        <f>O122-P122</f>
        <v>0.06944444444</v>
      </c>
    </row>
    <row r="123">
      <c r="A123" s="22" t="s">
        <v>233</v>
      </c>
      <c r="B123" s="19"/>
      <c r="C123" s="4"/>
      <c r="D123" s="19"/>
      <c r="E123" s="3"/>
      <c r="F123" s="4"/>
      <c r="G123" s="19"/>
      <c r="H123" s="4"/>
      <c r="I123" s="19"/>
      <c r="J123" s="4"/>
      <c r="K123" s="19"/>
      <c r="L123" s="4"/>
      <c r="M123" s="19"/>
      <c r="N123" s="4"/>
      <c r="O123" s="65"/>
      <c r="P123" s="57"/>
      <c r="Q123" s="65"/>
    </row>
    <row r="124">
      <c r="A124" s="22" t="s">
        <v>234</v>
      </c>
      <c r="B124" s="19"/>
      <c r="C124" s="4"/>
      <c r="D124" s="19"/>
      <c r="E124" s="3"/>
      <c r="F124" s="4"/>
      <c r="G124" s="19"/>
      <c r="H124" s="4"/>
      <c r="I124" s="19"/>
      <c r="J124" s="4"/>
      <c r="K124" s="19"/>
      <c r="L124" s="4"/>
      <c r="M124" s="19"/>
      <c r="N124" s="4"/>
      <c r="O124" s="65"/>
      <c r="P124" s="57"/>
      <c r="Q124" s="65"/>
    </row>
    <row r="125">
      <c r="A125" s="18" t="s">
        <v>235</v>
      </c>
      <c r="B125" s="19"/>
      <c r="C125" s="4"/>
      <c r="D125" s="20">
        <v>0.4270833333333333</v>
      </c>
      <c r="E125" s="3"/>
      <c r="F125" s="4"/>
      <c r="G125" s="19"/>
      <c r="H125" s="4"/>
      <c r="I125" s="19"/>
      <c r="J125" s="4"/>
      <c r="K125" s="19"/>
      <c r="L125" s="4"/>
      <c r="M125" s="20">
        <v>0.8340277777777778</v>
      </c>
      <c r="N125" s="4"/>
      <c r="O125" s="65">
        <f>M125-D125</f>
        <v>0.4069444444</v>
      </c>
      <c r="P125" s="58">
        <v>0.3541666666666667</v>
      </c>
      <c r="Q125" s="65">
        <f t="shared" ref="Q125:Q126" si="13">O125-P125</f>
        <v>0.05277777778</v>
      </c>
    </row>
    <row r="126">
      <c r="A126" s="18" t="s">
        <v>236</v>
      </c>
      <c r="B126" s="20">
        <v>0.20833333333333334</v>
      </c>
      <c r="C126" s="4"/>
      <c r="D126" s="19"/>
      <c r="E126" s="3"/>
      <c r="F126" s="4"/>
      <c r="G126" s="20">
        <v>0.6256944444444444</v>
      </c>
      <c r="H126" s="4"/>
      <c r="I126" s="19"/>
      <c r="J126" s="4"/>
      <c r="K126" s="19"/>
      <c r="L126" s="4"/>
      <c r="M126" s="19"/>
      <c r="N126" s="4"/>
      <c r="O126" s="65">
        <f>G126-B126</f>
        <v>0.4173611111</v>
      </c>
      <c r="P126" s="58">
        <v>0.3541666666666667</v>
      </c>
      <c r="Q126" s="65">
        <f t="shared" si="13"/>
        <v>0.06319444444</v>
      </c>
    </row>
    <row r="127">
      <c r="A127" s="18" t="s">
        <v>237</v>
      </c>
      <c r="B127" s="23"/>
      <c r="C127" s="4"/>
      <c r="D127" s="24"/>
      <c r="E127" s="3"/>
      <c r="F127" s="3"/>
      <c r="G127" s="25"/>
      <c r="H127" s="3"/>
      <c r="I127" s="26"/>
      <c r="J127" s="3"/>
      <c r="K127" s="24"/>
      <c r="L127" s="3"/>
      <c r="M127" s="24"/>
      <c r="N127" s="4"/>
      <c r="O127" s="65"/>
      <c r="P127" s="57"/>
      <c r="Q127" s="65"/>
    </row>
    <row r="128">
      <c r="A128" s="18" t="s">
        <v>238</v>
      </c>
      <c r="B128" s="20">
        <v>0.37777777777777777</v>
      </c>
      <c r="C128" s="4"/>
      <c r="D128" s="19"/>
      <c r="E128" s="3"/>
      <c r="F128" s="4"/>
      <c r="G128" s="19"/>
      <c r="H128" s="4"/>
      <c r="I128" s="20">
        <v>0.7354166666666667</v>
      </c>
      <c r="J128" s="4"/>
      <c r="K128" s="19"/>
      <c r="L128" s="4"/>
      <c r="M128" s="19"/>
      <c r="N128" s="4"/>
      <c r="O128" s="65">
        <f>I128-B128</f>
        <v>0.3576388889</v>
      </c>
      <c r="P128" s="58">
        <v>0.3541666666666667</v>
      </c>
      <c r="Q128" s="65">
        <f>O128-P128</f>
        <v>0.003472222222</v>
      </c>
    </row>
    <row r="129">
      <c r="A129" s="18" t="s">
        <v>239</v>
      </c>
      <c r="B129" s="19"/>
      <c r="C129" s="4"/>
      <c r="D129" s="20">
        <v>0.45902777777777776</v>
      </c>
      <c r="E129" s="3"/>
      <c r="F129" s="4"/>
      <c r="G129" s="19"/>
      <c r="H129" s="4"/>
      <c r="I129" s="19"/>
      <c r="J129" s="4"/>
      <c r="K129" s="19"/>
      <c r="L129" s="4"/>
      <c r="M129" s="20">
        <v>0.8625</v>
      </c>
      <c r="N129" s="4"/>
      <c r="O129" s="65"/>
      <c r="P129" s="57"/>
      <c r="Q129" s="65"/>
    </row>
    <row r="130">
      <c r="A130" s="22" t="s">
        <v>240</v>
      </c>
      <c r="B130" s="19"/>
      <c r="C130" s="4"/>
      <c r="D130" s="19"/>
      <c r="E130" s="3"/>
      <c r="F130" s="4"/>
      <c r="G130" s="19"/>
      <c r="H130" s="4"/>
      <c r="I130" s="19"/>
      <c r="J130" s="4"/>
      <c r="K130" s="19"/>
      <c r="L130" s="4"/>
      <c r="M130" s="19"/>
      <c r="N130" s="4"/>
      <c r="O130" s="65"/>
      <c r="P130" s="57"/>
      <c r="Q130" s="65"/>
    </row>
    <row r="131">
      <c r="A131" s="22" t="s">
        <v>241</v>
      </c>
      <c r="B131" s="19"/>
      <c r="C131" s="4"/>
      <c r="D131" s="19"/>
      <c r="E131" s="3"/>
      <c r="F131" s="4"/>
      <c r="G131" s="19"/>
      <c r="H131" s="4"/>
      <c r="I131" s="19"/>
      <c r="J131" s="4"/>
      <c r="K131" s="19"/>
      <c r="L131" s="4"/>
      <c r="M131" s="19"/>
      <c r="N131" s="4"/>
      <c r="O131" s="65"/>
      <c r="P131" s="57"/>
      <c r="Q131" s="65"/>
    </row>
    <row r="132">
      <c r="A132" s="18" t="s">
        <v>242</v>
      </c>
      <c r="B132" s="19"/>
      <c r="C132" s="4"/>
      <c r="D132" s="20">
        <v>0.4597222222222222</v>
      </c>
      <c r="E132" s="3"/>
      <c r="F132" s="4"/>
      <c r="G132" s="19"/>
      <c r="H132" s="4"/>
      <c r="I132" s="19"/>
      <c r="J132" s="4"/>
      <c r="K132" s="19"/>
      <c r="L132" s="4"/>
      <c r="M132" s="20">
        <v>0.8902777777777777</v>
      </c>
      <c r="N132" s="4"/>
      <c r="O132" s="65">
        <f>M132-D132</f>
        <v>0.4305555556</v>
      </c>
      <c r="P132" s="58">
        <v>0.3541666666666667</v>
      </c>
      <c r="Q132" s="65">
        <f>O132-P132</f>
        <v>0.07638888889</v>
      </c>
    </row>
    <row r="133">
      <c r="A133" s="18" t="s">
        <v>243</v>
      </c>
      <c r="B133" s="20">
        <v>0.21736111111111112</v>
      </c>
      <c r="C133" s="4"/>
      <c r="D133" s="19"/>
      <c r="E133" s="3"/>
      <c r="F133" s="4"/>
      <c r="G133" s="20">
        <v>0.5569444444444445</v>
      </c>
      <c r="H133" s="4"/>
      <c r="I133" s="19"/>
      <c r="J133" s="4"/>
      <c r="K133" s="19"/>
      <c r="L133" s="4"/>
      <c r="M133" s="19"/>
      <c r="N133" s="4"/>
      <c r="O133" s="65"/>
      <c r="P133" s="57"/>
      <c r="Q133" s="65"/>
    </row>
    <row r="134">
      <c r="A134" s="18" t="s">
        <v>244</v>
      </c>
      <c r="B134" s="19"/>
      <c r="C134" s="4"/>
      <c r="D134" s="20">
        <v>0.4527777777777778</v>
      </c>
      <c r="E134" s="3"/>
      <c r="F134" s="4"/>
      <c r="G134" s="19"/>
      <c r="H134" s="4"/>
      <c r="I134" s="19"/>
      <c r="J134" s="4"/>
      <c r="K134" s="19"/>
      <c r="L134" s="4"/>
      <c r="M134" s="20">
        <v>0.8756944444444444</v>
      </c>
      <c r="N134" s="4"/>
      <c r="O134" s="65">
        <f>M134-D134</f>
        <v>0.4229166667</v>
      </c>
      <c r="P134" s="58">
        <v>0.3541666666666667</v>
      </c>
      <c r="Q134" s="65">
        <f>O134-P134</f>
        <v>0.06875</v>
      </c>
    </row>
    <row r="135">
      <c r="A135" s="18" t="s">
        <v>245</v>
      </c>
      <c r="B135" s="20">
        <v>0.36875</v>
      </c>
      <c r="C135" s="4"/>
      <c r="D135" s="19"/>
      <c r="E135" s="3"/>
      <c r="F135" s="4"/>
      <c r="G135" s="19"/>
      <c r="H135" s="4"/>
      <c r="I135" s="20">
        <v>0.7027777777777777</v>
      </c>
      <c r="J135" s="4"/>
      <c r="K135" s="19"/>
      <c r="L135" s="4"/>
      <c r="M135" s="19"/>
      <c r="N135" s="4"/>
      <c r="O135" s="65">
        <f>I135-B135</f>
        <v>0.3340277778</v>
      </c>
      <c r="P135" s="57"/>
      <c r="Q135" s="65"/>
    </row>
    <row r="136">
      <c r="A136" s="18" t="s">
        <v>246</v>
      </c>
      <c r="B136" s="20">
        <v>0.38333333333333336</v>
      </c>
      <c r="C136" s="4"/>
      <c r="D136" s="19"/>
      <c r="E136" s="3"/>
      <c r="F136" s="4"/>
      <c r="G136" s="19"/>
      <c r="H136" s="4"/>
      <c r="I136" s="19"/>
      <c r="J136" s="4"/>
      <c r="K136" s="20">
        <v>0.7979166666666667</v>
      </c>
      <c r="L136" s="4"/>
      <c r="M136" s="19"/>
      <c r="N136" s="4"/>
      <c r="O136" s="65">
        <f>K136-B136</f>
        <v>0.4145833333</v>
      </c>
      <c r="P136" s="58">
        <v>0.3541666666666667</v>
      </c>
      <c r="Q136" s="65">
        <f>O136-P136</f>
        <v>0.06041666667</v>
      </c>
    </row>
    <row r="137">
      <c r="A137" s="22" t="s">
        <v>207</v>
      </c>
      <c r="B137" s="19"/>
      <c r="C137" s="4"/>
      <c r="D137" s="19"/>
      <c r="E137" s="3"/>
      <c r="F137" s="4"/>
      <c r="G137" s="19"/>
      <c r="H137" s="4"/>
      <c r="I137" s="19"/>
      <c r="J137" s="4"/>
      <c r="K137" s="19"/>
      <c r="L137" s="4"/>
      <c r="M137" s="19"/>
      <c r="N137" s="4"/>
      <c r="O137" s="65"/>
      <c r="P137" s="57"/>
      <c r="Q137" s="65"/>
    </row>
    <row r="138">
      <c r="M138" s="48" t="s">
        <v>10</v>
      </c>
      <c r="O138" s="65"/>
      <c r="P138" s="57"/>
      <c r="Q138" s="65">
        <f>Q122+Q125+Q126+Q132+Q134+Q136</f>
        <v>0.3909722222</v>
      </c>
    </row>
    <row r="139">
      <c r="O139" s="65"/>
      <c r="P139" s="57"/>
      <c r="Q139" s="65"/>
    </row>
    <row r="140">
      <c r="A140" s="1" t="s">
        <v>0</v>
      </c>
      <c r="B140" s="2" t="s">
        <v>1</v>
      </c>
      <c r="C140" s="3"/>
      <c r="D140" s="3"/>
      <c r="E140" s="3"/>
      <c r="F140" s="3"/>
      <c r="G140" s="3"/>
      <c r="H140" s="4"/>
      <c r="I140" s="1" t="s">
        <v>2</v>
      </c>
      <c r="J140" s="10" t="s">
        <v>101</v>
      </c>
      <c r="K140" s="3"/>
      <c r="L140" s="3"/>
      <c r="M140" s="3"/>
      <c r="N140" s="4"/>
      <c r="O140" s="65"/>
      <c r="P140" s="57"/>
      <c r="Q140" s="65"/>
    </row>
    <row r="141">
      <c r="A141" s="1" t="s">
        <v>4</v>
      </c>
      <c r="B141" s="9" t="s">
        <v>231</v>
      </c>
      <c r="C141" s="3"/>
      <c r="D141" s="3"/>
      <c r="E141" s="3"/>
      <c r="F141" s="3"/>
      <c r="G141" s="3"/>
      <c r="H141" s="4"/>
      <c r="I141" s="1" t="s">
        <v>6</v>
      </c>
      <c r="J141" s="10">
        <v>16.0</v>
      </c>
      <c r="K141" s="3"/>
      <c r="L141" s="3"/>
      <c r="M141" s="3"/>
      <c r="N141" s="4"/>
      <c r="O141" s="65"/>
      <c r="P141" s="57"/>
      <c r="Q141" s="65"/>
    </row>
    <row r="142">
      <c r="A142" s="11" t="s">
        <v>7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4"/>
      <c r="O142" s="65"/>
      <c r="P142" s="57"/>
      <c r="Q142" s="65"/>
    </row>
    <row r="143">
      <c r="A143" s="15" t="s">
        <v>11</v>
      </c>
      <c r="B143" s="2" t="s">
        <v>12</v>
      </c>
      <c r="C143" s="3"/>
      <c r="D143" s="3"/>
      <c r="E143" s="3"/>
      <c r="F143" s="4"/>
      <c r="G143" s="2" t="s">
        <v>13</v>
      </c>
      <c r="H143" s="3"/>
      <c r="I143" s="3"/>
      <c r="J143" s="3"/>
      <c r="K143" s="10" t="s">
        <v>14</v>
      </c>
      <c r="L143" s="3"/>
      <c r="M143" s="3"/>
      <c r="N143" s="4"/>
      <c r="O143" s="65"/>
      <c r="P143" s="57"/>
      <c r="Q143" s="65"/>
    </row>
    <row r="144">
      <c r="A144" s="16"/>
      <c r="B144" s="17" t="s">
        <v>15</v>
      </c>
      <c r="C144" s="4"/>
      <c r="D144" s="17" t="s">
        <v>16</v>
      </c>
      <c r="E144" s="3"/>
      <c r="F144" s="4"/>
      <c r="G144" s="17" t="s">
        <v>15</v>
      </c>
      <c r="H144" s="4"/>
      <c r="I144" s="17" t="s">
        <v>16</v>
      </c>
      <c r="J144" s="4"/>
      <c r="K144" s="17" t="s">
        <v>15</v>
      </c>
      <c r="L144" s="4"/>
      <c r="M144" s="17" t="s">
        <v>16</v>
      </c>
      <c r="N144" s="4"/>
      <c r="O144" s="14" t="s">
        <v>8</v>
      </c>
      <c r="P144" s="108" t="s">
        <v>9</v>
      </c>
      <c r="Q144" s="97" t="s">
        <v>10</v>
      </c>
    </row>
    <row r="145">
      <c r="A145" s="18" t="s">
        <v>232</v>
      </c>
      <c r="B145" s="23"/>
      <c r="C145" s="4"/>
      <c r="D145" s="24"/>
      <c r="E145" s="3"/>
      <c r="F145" s="3"/>
      <c r="G145" s="25"/>
      <c r="H145" s="3"/>
      <c r="I145" s="26"/>
      <c r="J145" s="3"/>
      <c r="K145" s="24"/>
      <c r="L145" s="3"/>
      <c r="M145" s="24"/>
      <c r="N145" s="4"/>
      <c r="O145" s="65"/>
      <c r="P145" s="57"/>
      <c r="Q145" s="65"/>
    </row>
    <row r="146">
      <c r="A146" s="22" t="s">
        <v>233</v>
      </c>
      <c r="B146" s="19"/>
      <c r="C146" s="4"/>
      <c r="D146" s="19"/>
      <c r="E146" s="3"/>
      <c r="F146" s="4"/>
      <c r="G146" s="19"/>
      <c r="H146" s="4"/>
      <c r="I146" s="19"/>
      <c r="J146" s="4"/>
      <c r="K146" s="19"/>
      <c r="L146" s="4"/>
      <c r="M146" s="19"/>
      <c r="N146" s="4"/>
      <c r="O146" s="65"/>
      <c r="P146" s="57"/>
      <c r="Q146" s="65"/>
    </row>
    <row r="147">
      <c r="A147" s="22" t="s">
        <v>234</v>
      </c>
      <c r="B147" s="19"/>
      <c r="C147" s="4"/>
      <c r="D147" s="19"/>
      <c r="E147" s="3"/>
      <c r="F147" s="4"/>
      <c r="G147" s="19"/>
      <c r="H147" s="4"/>
      <c r="I147" s="19"/>
      <c r="J147" s="4"/>
      <c r="K147" s="19"/>
      <c r="L147" s="4"/>
      <c r="M147" s="19"/>
      <c r="N147" s="4"/>
      <c r="O147" s="65"/>
      <c r="P147" s="57"/>
      <c r="Q147" s="65"/>
    </row>
    <row r="148">
      <c r="A148" s="18" t="s">
        <v>235</v>
      </c>
      <c r="B148" s="23"/>
      <c r="C148" s="4"/>
      <c r="D148" s="24"/>
      <c r="E148" s="3"/>
      <c r="F148" s="3"/>
      <c r="G148" s="25"/>
      <c r="H148" s="3"/>
      <c r="I148" s="26"/>
      <c r="J148" s="3"/>
      <c r="K148" s="24"/>
      <c r="L148" s="3"/>
      <c r="M148" s="24"/>
      <c r="N148" s="4"/>
      <c r="O148" s="65"/>
      <c r="P148" s="57"/>
      <c r="Q148" s="65"/>
    </row>
    <row r="149">
      <c r="A149" s="18" t="s">
        <v>236</v>
      </c>
      <c r="B149" s="23"/>
      <c r="C149" s="4"/>
      <c r="D149" s="24"/>
      <c r="E149" s="3"/>
      <c r="F149" s="3"/>
      <c r="G149" s="25"/>
      <c r="H149" s="3"/>
      <c r="I149" s="26"/>
      <c r="J149" s="3"/>
      <c r="K149" s="24"/>
      <c r="L149" s="3"/>
      <c r="M149" s="24"/>
      <c r="N149" s="4"/>
      <c r="O149" s="65"/>
      <c r="P149" s="57"/>
      <c r="Q149" s="65"/>
    </row>
    <row r="150">
      <c r="A150" s="18" t="s">
        <v>237</v>
      </c>
      <c r="B150" s="23"/>
      <c r="C150" s="4"/>
      <c r="D150" s="24"/>
      <c r="E150" s="3"/>
      <c r="F150" s="3"/>
      <c r="G150" s="25"/>
      <c r="H150" s="3"/>
      <c r="I150" s="26"/>
      <c r="J150" s="3"/>
      <c r="K150" s="24"/>
      <c r="L150" s="3"/>
      <c r="M150" s="24"/>
      <c r="N150" s="4"/>
      <c r="O150" s="65"/>
      <c r="P150" s="57"/>
      <c r="Q150" s="65"/>
    </row>
    <row r="151">
      <c r="A151" s="18" t="s">
        <v>238</v>
      </c>
      <c r="B151" s="23"/>
      <c r="C151" s="4"/>
      <c r="D151" s="24"/>
      <c r="E151" s="3"/>
      <c r="F151" s="3"/>
      <c r="G151" s="25"/>
      <c r="H151" s="3"/>
      <c r="I151" s="26"/>
      <c r="J151" s="3"/>
      <c r="K151" s="24"/>
      <c r="L151" s="3"/>
      <c r="M151" s="24"/>
      <c r="N151" s="4"/>
      <c r="O151" s="65"/>
      <c r="P151" s="57"/>
      <c r="Q151" s="65"/>
    </row>
    <row r="152">
      <c r="A152" s="18" t="s">
        <v>239</v>
      </c>
      <c r="B152" s="23"/>
      <c r="C152" s="4"/>
      <c r="D152" s="24"/>
      <c r="E152" s="3"/>
      <c r="F152" s="3"/>
      <c r="G152" s="25"/>
      <c r="H152" s="3"/>
      <c r="I152" s="26"/>
      <c r="J152" s="3"/>
      <c r="K152" s="24"/>
      <c r="L152" s="3"/>
      <c r="M152" s="24"/>
      <c r="N152" s="4"/>
      <c r="O152" s="65"/>
      <c r="P152" s="57"/>
      <c r="Q152" s="65"/>
    </row>
    <row r="153">
      <c r="A153" s="22" t="s">
        <v>240</v>
      </c>
      <c r="B153" s="19"/>
      <c r="C153" s="4"/>
      <c r="D153" s="19"/>
      <c r="E153" s="3"/>
      <c r="F153" s="4"/>
      <c r="G153" s="19"/>
      <c r="H153" s="4"/>
      <c r="I153" s="19"/>
      <c r="J153" s="4"/>
      <c r="K153" s="19"/>
      <c r="L153" s="4"/>
      <c r="M153" s="19"/>
      <c r="N153" s="4"/>
      <c r="O153" s="65"/>
      <c r="P153" s="57"/>
      <c r="Q153" s="65"/>
    </row>
    <row r="154">
      <c r="A154" s="22" t="s">
        <v>241</v>
      </c>
      <c r="B154" s="19"/>
      <c r="C154" s="4"/>
      <c r="D154" s="19"/>
      <c r="E154" s="3"/>
      <c r="F154" s="4"/>
      <c r="G154" s="19"/>
      <c r="H154" s="4"/>
      <c r="I154" s="19"/>
      <c r="J154" s="4"/>
      <c r="K154" s="19"/>
      <c r="L154" s="4"/>
      <c r="M154" s="19"/>
      <c r="N154" s="4"/>
      <c r="O154" s="65"/>
      <c r="P154" s="57"/>
      <c r="Q154" s="65"/>
    </row>
    <row r="155">
      <c r="A155" s="18" t="s">
        <v>242</v>
      </c>
      <c r="B155" s="23"/>
      <c r="C155" s="4"/>
      <c r="D155" s="24"/>
      <c r="E155" s="3"/>
      <c r="F155" s="3"/>
      <c r="G155" s="25"/>
      <c r="H155" s="3"/>
      <c r="I155" s="26"/>
      <c r="J155" s="3"/>
      <c r="K155" s="24"/>
      <c r="L155" s="3"/>
      <c r="M155" s="24"/>
      <c r="N155" s="4"/>
      <c r="O155" s="65"/>
      <c r="P155" s="57"/>
      <c r="Q155" s="65"/>
    </row>
    <row r="156">
      <c r="A156" s="18" t="s">
        <v>243</v>
      </c>
      <c r="B156" s="23"/>
      <c r="C156" s="4"/>
      <c r="D156" s="24"/>
      <c r="E156" s="3"/>
      <c r="F156" s="3"/>
      <c r="G156" s="25"/>
      <c r="H156" s="3"/>
      <c r="I156" s="26"/>
      <c r="J156" s="3"/>
      <c r="K156" s="24"/>
      <c r="L156" s="3"/>
      <c r="M156" s="24"/>
      <c r="N156" s="4"/>
      <c r="O156" s="65"/>
      <c r="P156" s="57"/>
      <c r="Q156" s="65"/>
    </row>
    <row r="157">
      <c r="A157" s="18" t="s">
        <v>244</v>
      </c>
      <c r="B157" s="20">
        <v>0.3368055555555556</v>
      </c>
      <c r="C157" s="4"/>
      <c r="D157" s="19"/>
      <c r="E157" s="3"/>
      <c r="F157" s="4"/>
      <c r="G157" s="19"/>
      <c r="H157" s="4"/>
      <c r="I157" s="19"/>
      <c r="J157" s="4"/>
      <c r="K157" s="19"/>
      <c r="L157" s="4"/>
      <c r="M157" s="20">
        <v>0.8875</v>
      </c>
      <c r="N157" s="4"/>
      <c r="O157" s="65">
        <f>M157-B157</f>
        <v>0.5506944444</v>
      </c>
      <c r="P157" s="58">
        <v>0.3541666666666667</v>
      </c>
      <c r="Q157" s="65">
        <f>O157-P157</f>
        <v>0.1965277778</v>
      </c>
    </row>
    <row r="158">
      <c r="A158" s="18" t="s">
        <v>245</v>
      </c>
      <c r="B158" s="20">
        <v>0.3527777777777778</v>
      </c>
      <c r="C158" s="4"/>
      <c r="D158" s="19"/>
      <c r="E158" s="3"/>
      <c r="F158" s="4"/>
      <c r="G158" s="19"/>
      <c r="H158" s="4"/>
      <c r="I158" s="20">
        <v>0.7034722222222223</v>
      </c>
      <c r="J158" s="4"/>
      <c r="K158" s="19"/>
      <c r="L158" s="4"/>
      <c r="M158" s="19"/>
      <c r="N158" s="4"/>
      <c r="O158" s="65">
        <f>I158-B158</f>
        <v>0.3506944444</v>
      </c>
      <c r="P158" s="58">
        <v>0.3541666666666667</v>
      </c>
      <c r="Q158" s="65"/>
    </row>
    <row r="159">
      <c r="A159" s="18" t="s">
        <v>246</v>
      </c>
      <c r="B159" s="20">
        <v>0.175</v>
      </c>
      <c r="C159" s="4"/>
      <c r="D159" s="19"/>
      <c r="E159" s="3"/>
      <c r="F159" s="4"/>
      <c r="G159" s="19"/>
      <c r="H159" s="4"/>
      <c r="I159" s="19"/>
      <c r="J159" s="4"/>
      <c r="K159" s="19"/>
      <c r="L159" s="4"/>
      <c r="M159" s="20">
        <v>0.8784722222222222</v>
      </c>
      <c r="N159" s="4"/>
      <c r="O159" s="65">
        <f>M159-B159</f>
        <v>0.7034722222</v>
      </c>
      <c r="P159" s="58">
        <v>0.3541666666666667</v>
      </c>
      <c r="Q159" s="65">
        <f>O159-P159</f>
        <v>0.3493055556</v>
      </c>
    </row>
    <row r="160">
      <c r="A160" s="22" t="s">
        <v>207</v>
      </c>
      <c r="B160" s="20">
        <v>0.1798611111111111</v>
      </c>
      <c r="C160" s="4"/>
      <c r="D160" s="19"/>
      <c r="E160" s="3"/>
      <c r="F160" s="4"/>
      <c r="G160" s="19"/>
      <c r="H160" s="4"/>
      <c r="I160" s="19"/>
      <c r="J160" s="4"/>
      <c r="K160" s="19"/>
      <c r="L160" s="4"/>
      <c r="M160" s="19"/>
      <c r="N160" s="4"/>
      <c r="O160" s="65"/>
      <c r="P160" s="57"/>
      <c r="Q160" s="65"/>
    </row>
    <row r="161">
      <c r="O161" s="65"/>
      <c r="P161" s="57"/>
      <c r="Q161" s="65"/>
    </row>
    <row r="162">
      <c r="O162" s="65"/>
      <c r="P162" s="57"/>
      <c r="Q162" s="65"/>
    </row>
    <row r="163">
      <c r="O163" s="65"/>
      <c r="P163" s="57"/>
      <c r="Q163" s="65"/>
    </row>
    <row r="164">
      <c r="O164" s="65"/>
      <c r="P164" s="57"/>
      <c r="Q164" s="65"/>
    </row>
    <row r="165">
      <c r="O165" s="65"/>
      <c r="P165" s="57"/>
      <c r="Q165" s="65"/>
    </row>
    <row r="166">
      <c r="O166" s="65"/>
      <c r="P166" s="57"/>
      <c r="Q166" s="65"/>
    </row>
    <row r="167">
      <c r="O167" s="65"/>
      <c r="P167" s="57"/>
      <c r="Q167" s="65"/>
    </row>
    <row r="168">
      <c r="O168" s="65"/>
      <c r="P168" s="57"/>
      <c r="Q168" s="65"/>
    </row>
    <row r="169">
      <c r="O169" s="65"/>
      <c r="P169" s="57"/>
      <c r="Q169" s="65"/>
    </row>
    <row r="170">
      <c r="O170" s="65"/>
      <c r="P170" s="57"/>
      <c r="Q170" s="65"/>
    </row>
    <row r="171">
      <c r="O171" s="65"/>
      <c r="P171" s="57"/>
      <c r="Q171" s="65"/>
    </row>
    <row r="172">
      <c r="O172" s="65"/>
      <c r="P172" s="57"/>
      <c r="Q172" s="65"/>
    </row>
    <row r="173">
      <c r="O173" s="65"/>
      <c r="P173" s="57"/>
      <c r="Q173" s="65"/>
    </row>
    <row r="174">
      <c r="O174" s="65"/>
      <c r="P174" s="57"/>
      <c r="Q174" s="65"/>
    </row>
    <row r="175">
      <c r="O175" s="65"/>
      <c r="P175" s="57"/>
      <c r="Q175" s="65"/>
    </row>
    <row r="176">
      <c r="O176" s="65"/>
      <c r="P176" s="57"/>
      <c r="Q176" s="65"/>
    </row>
    <row r="177">
      <c r="O177" s="65"/>
      <c r="P177" s="57"/>
      <c r="Q177" s="65"/>
    </row>
    <row r="178">
      <c r="O178" s="65"/>
      <c r="P178" s="57"/>
      <c r="Q178" s="65"/>
    </row>
    <row r="179">
      <c r="O179" s="65"/>
      <c r="P179" s="57"/>
      <c r="Q179" s="65"/>
    </row>
    <row r="180">
      <c r="O180" s="65"/>
      <c r="P180" s="57"/>
      <c r="Q180" s="65"/>
    </row>
    <row r="181">
      <c r="O181" s="65"/>
      <c r="P181" s="57"/>
      <c r="Q181" s="65"/>
    </row>
    <row r="182">
      <c r="O182" s="65"/>
      <c r="P182" s="57"/>
      <c r="Q182" s="65"/>
    </row>
    <row r="183">
      <c r="O183" s="65"/>
      <c r="P183" s="57"/>
      <c r="Q183" s="65"/>
    </row>
    <row r="184">
      <c r="O184" s="65"/>
      <c r="P184" s="57"/>
      <c r="Q184" s="65"/>
    </row>
    <row r="185">
      <c r="O185" s="65"/>
      <c r="P185" s="57"/>
      <c r="Q185" s="65"/>
    </row>
    <row r="186">
      <c r="O186" s="65"/>
      <c r="P186" s="57"/>
      <c r="Q186" s="65"/>
    </row>
    <row r="187">
      <c r="O187" s="65"/>
      <c r="P187" s="57"/>
      <c r="Q187" s="65"/>
    </row>
    <row r="188">
      <c r="O188" s="65"/>
      <c r="P188" s="57"/>
      <c r="Q188" s="65"/>
    </row>
    <row r="189">
      <c r="O189" s="65"/>
      <c r="P189" s="57"/>
      <c r="Q189" s="65"/>
    </row>
    <row r="190">
      <c r="O190" s="65"/>
      <c r="P190" s="57"/>
      <c r="Q190" s="65"/>
    </row>
    <row r="191">
      <c r="O191" s="65"/>
      <c r="P191" s="57"/>
      <c r="Q191" s="65"/>
    </row>
    <row r="192">
      <c r="O192" s="65"/>
      <c r="P192" s="57"/>
      <c r="Q192" s="65"/>
    </row>
    <row r="193">
      <c r="O193" s="65"/>
      <c r="P193" s="57"/>
      <c r="Q193" s="65"/>
    </row>
    <row r="194">
      <c r="O194" s="65"/>
      <c r="P194" s="57"/>
      <c r="Q194" s="65"/>
    </row>
    <row r="195">
      <c r="O195" s="65"/>
      <c r="P195" s="57"/>
      <c r="Q195" s="65"/>
    </row>
    <row r="196">
      <c r="O196" s="65"/>
      <c r="P196" s="57"/>
      <c r="Q196" s="65"/>
    </row>
    <row r="197">
      <c r="O197" s="65"/>
      <c r="P197" s="57"/>
      <c r="Q197" s="65"/>
    </row>
    <row r="198">
      <c r="O198" s="65"/>
      <c r="P198" s="57"/>
      <c r="Q198" s="65"/>
    </row>
    <row r="199">
      <c r="O199" s="65"/>
      <c r="P199" s="57"/>
      <c r="Q199" s="65"/>
    </row>
    <row r="200">
      <c r="O200" s="65"/>
      <c r="P200" s="57"/>
      <c r="Q200" s="65"/>
    </row>
    <row r="201">
      <c r="O201" s="65"/>
      <c r="P201" s="57"/>
      <c r="Q201" s="65"/>
    </row>
    <row r="202">
      <c r="O202" s="65"/>
      <c r="P202" s="57"/>
      <c r="Q202" s="65"/>
    </row>
    <row r="203">
      <c r="O203" s="65"/>
      <c r="P203" s="57"/>
      <c r="Q203" s="65"/>
    </row>
    <row r="204">
      <c r="O204" s="65"/>
      <c r="P204" s="57"/>
      <c r="Q204" s="65"/>
    </row>
    <row r="205">
      <c r="O205" s="65"/>
      <c r="P205" s="57"/>
      <c r="Q205" s="65"/>
    </row>
    <row r="206">
      <c r="O206" s="65"/>
      <c r="P206" s="57"/>
      <c r="Q206" s="65"/>
    </row>
    <row r="207">
      <c r="O207" s="65"/>
      <c r="P207" s="57"/>
      <c r="Q207" s="65"/>
    </row>
    <row r="208">
      <c r="O208" s="65"/>
      <c r="P208" s="57"/>
      <c r="Q208" s="65"/>
    </row>
    <row r="209">
      <c r="O209" s="65"/>
      <c r="P209" s="57"/>
      <c r="Q209" s="65"/>
    </row>
    <row r="210">
      <c r="O210" s="65"/>
      <c r="P210" s="57"/>
      <c r="Q210" s="65"/>
    </row>
    <row r="211">
      <c r="O211" s="65"/>
      <c r="P211" s="57"/>
      <c r="Q211" s="65"/>
    </row>
    <row r="212">
      <c r="O212" s="65"/>
      <c r="P212" s="57"/>
      <c r="Q212" s="65"/>
    </row>
    <row r="213">
      <c r="O213" s="65"/>
      <c r="P213" s="57"/>
      <c r="Q213" s="65"/>
    </row>
    <row r="214">
      <c r="O214" s="65"/>
      <c r="P214" s="57"/>
      <c r="Q214" s="65"/>
    </row>
    <row r="215">
      <c r="O215" s="65"/>
      <c r="P215" s="57"/>
      <c r="Q215" s="65"/>
    </row>
    <row r="216">
      <c r="O216" s="65"/>
      <c r="P216" s="57"/>
      <c r="Q216" s="65"/>
    </row>
    <row r="217">
      <c r="O217" s="65"/>
      <c r="P217" s="57"/>
      <c r="Q217" s="65"/>
    </row>
    <row r="218">
      <c r="O218" s="65"/>
      <c r="P218" s="57"/>
      <c r="Q218" s="65"/>
    </row>
    <row r="219">
      <c r="O219" s="65"/>
      <c r="P219" s="57"/>
      <c r="Q219" s="65"/>
    </row>
    <row r="220">
      <c r="O220" s="65"/>
      <c r="P220" s="57"/>
      <c r="Q220" s="65"/>
    </row>
    <row r="221">
      <c r="O221" s="65"/>
      <c r="P221" s="57"/>
      <c r="Q221" s="65"/>
    </row>
    <row r="222">
      <c r="O222" s="65"/>
      <c r="P222" s="57"/>
      <c r="Q222" s="65"/>
    </row>
    <row r="223">
      <c r="O223" s="65"/>
      <c r="P223" s="57"/>
      <c r="Q223" s="65"/>
    </row>
    <row r="224">
      <c r="O224" s="65"/>
      <c r="P224" s="57"/>
      <c r="Q224" s="65"/>
    </row>
    <row r="225">
      <c r="O225" s="65"/>
      <c r="P225" s="57"/>
      <c r="Q225" s="65"/>
    </row>
    <row r="226">
      <c r="O226" s="65"/>
      <c r="P226" s="57"/>
      <c r="Q226" s="65"/>
    </row>
    <row r="227">
      <c r="O227" s="65"/>
      <c r="P227" s="57"/>
      <c r="Q227" s="65"/>
    </row>
    <row r="228">
      <c r="O228" s="65"/>
      <c r="P228" s="57"/>
      <c r="Q228" s="65"/>
    </row>
    <row r="229">
      <c r="O229" s="65"/>
      <c r="P229" s="57"/>
      <c r="Q229" s="65"/>
    </row>
    <row r="230">
      <c r="O230" s="65"/>
      <c r="P230" s="57"/>
      <c r="Q230" s="65"/>
    </row>
    <row r="231">
      <c r="O231" s="65"/>
      <c r="P231" s="57"/>
      <c r="Q231" s="65"/>
    </row>
    <row r="232">
      <c r="O232" s="65"/>
      <c r="P232" s="57"/>
      <c r="Q232" s="65"/>
    </row>
    <row r="233">
      <c r="O233" s="65"/>
      <c r="P233" s="57"/>
      <c r="Q233" s="65"/>
    </row>
    <row r="234">
      <c r="O234" s="65"/>
      <c r="P234" s="57"/>
      <c r="Q234" s="65"/>
    </row>
    <row r="235">
      <c r="O235" s="65"/>
      <c r="P235" s="57"/>
      <c r="Q235" s="65"/>
    </row>
    <row r="236">
      <c r="O236" s="65"/>
      <c r="P236" s="57"/>
      <c r="Q236" s="65"/>
    </row>
    <row r="237">
      <c r="O237" s="65"/>
      <c r="P237" s="57"/>
      <c r="Q237" s="65"/>
    </row>
    <row r="238">
      <c r="O238" s="65"/>
      <c r="P238" s="57"/>
      <c r="Q238" s="65"/>
    </row>
    <row r="239">
      <c r="O239" s="65"/>
      <c r="P239" s="57"/>
      <c r="Q239" s="65"/>
    </row>
    <row r="240">
      <c r="O240" s="65"/>
      <c r="P240" s="57"/>
      <c r="Q240" s="65"/>
    </row>
    <row r="241">
      <c r="O241" s="65"/>
      <c r="P241" s="57"/>
      <c r="Q241" s="65"/>
    </row>
    <row r="242">
      <c r="O242" s="65"/>
      <c r="P242" s="57"/>
      <c r="Q242" s="65"/>
    </row>
    <row r="243">
      <c r="O243" s="65"/>
      <c r="P243" s="57"/>
      <c r="Q243" s="65"/>
    </row>
    <row r="244">
      <c r="O244" s="65"/>
      <c r="P244" s="57"/>
      <c r="Q244" s="65"/>
    </row>
    <row r="245">
      <c r="O245" s="65"/>
      <c r="P245" s="57"/>
      <c r="Q245" s="65"/>
    </row>
    <row r="246">
      <c r="O246" s="65"/>
      <c r="P246" s="57"/>
      <c r="Q246" s="65"/>
    </row>
    <row r="247">
      <c r="O247" s="65"/>
      <c r="P247" s="57"/>
      <c r="Q247" s="65"/>
    </row>
    <row r="248">
      <c r="O248" s="65"/>
      <c r="P248" s="57"/>
      <c r="Q248" s="65"/>
    </row>
    <row r="249">
      <c r="O249" s="65"/>
      <c r="P249" s="57"/>
      <c r="Q249" s="65"/>
    </row>
    <row r="250">
      <c r="O250" s="65"/>
      <c r="P250" s="57"/>
      <c r="Q250" s="65"/>
    </row>
    <row r="251">
      <c r="O251" s="65"/>
      <c r="P251" s="57"/>
      <c r="Q251" s="65"/>
    </row>
    <row r="252">
      <c r="O252" s="65"/>
      <c r="P252" s="57"/>
      <c r="Q252" s="65"/>
    </row>
    <row r="253">
      <c r="O253" s="65"/>
      <c r="P253" s="57"/>
      <c r="Q253" s="65"/>
    </row>
    <row r="254">
      <c r="O254" s="65"/>
      <c r="P254" s="57"/>
      <c r="Q254" s="65"/>
    </row>
    <row r="255">
      <c r="O255" s="65"/>
      <c r="P255" s="57"/>
      <c r="Q255" s="65"/>
    </row>
    <row r="256">
      <c r="O256" s="65"/>
      <c r="P256" s="57"/>
      <c r="Q256" s="65"/>
    </row>
    <row r="257">
      <c r="O257" s="65"/>
      <c r="P257" s="57"/>
      <c r="Q257" s="65"/>
    </row>
    <row r="258">
      <c r="O258" s="65"/>
      <c r="P258" s="57"/>
      <c r="Q258" s="65"/>
    </row>
    <row r="259">
      <c r="O259" s="65"/>
      <c r="P259" s="57"/>
      <c r="Q259" s="65"/>
    </row>
    <row r="260">
      <c r="O260" s="65"/>
      <c r="P260" s="57"/>
      <c r="Q260" s="65"/>
    </row>
    <row r="261">
      <c r="O261" s="65"/>
      <c r="P261" s="57"/>
      <c r="Q261" s="65"/>
    </row>
    <row r="262">
      <c r="O262" s="65"/>
      <c r="P262" s="57"/>
      <c r="Q262" s="65"/>
    </row>
    <row r="263">
      <c r="O263" s="65"/>
      <c r="P263" s="57"/>
      <c r="Q263" s="65"/>
    </row>
    <row r="264">
      <c r="O264" s="65"/>
      <c r="P264" s="57"/>
      <c r="Q264" s="65"/>
    </row>
    <row r="265">
      <c r="O265" s="65"/>
      <c r="P265" s="57"/>
      <c r="Q265" s="65"/>
    </row>
    <row r="266">
      <c r="O266" s="65"/>
      <c r="P266" s="57"/>
      <c r="Q266" s="65"/>
    </row>
    <row r="267">
      <c r="O267" s="65"/>
      <c r="P267" s="57"/>
      <c r="Q267" s="65"/>
    </row>
    <row r="268">
      <c r="O268" s="65"/>
      <c r="P268" s="57"/>
      <c r="Q268" s="65"/>
    </row>
    <row r="269">
      <c r="O269" s="65"/>
      <c r="P269" s="57"/>
      <c r="Q269" s="65"/>
    </row>
    <row r="270">
      <c r="O270" s="65"/>
      <c r="P270" s="57"/>
      <c r="Q270" s="65"/>
    </row>
    <row r="271">
      <c r="O271" s="65"/>
      <c r="P271" s="57"/>
      <c r="Q271" s="65"/>
    </row>
    <row r="272">
      <c r="O272" s="65"/>
      <c r="P272" s="57"/>
      <c r="Q272" s="65"/>
    </row>
    <row r="273">
      <c r="O273" s="65"/>
      <c r="P273" s="57"/>
      <c r="Q273" s="65"/>
    </row>
    <row r="274">
      <c r="O274" s="65"/>
      <c r="P274" s="57"/>
      <c r="Q274" s="65"/>
    </row>
    <row r="275">
      <c r="O275" s="65"/>
      <c r="P275" s="57"/>
      <c r="Q275" s="65"/>
    </row>
    <row r="276">
      <c r="O276" s="65"/>
      <c r="P276" s="57"/>
      <c r="Q276" s="65"/>
    </row>
    <row r="277">
      <c r="O277" s="65"/>
      <c r="P277" s="57"/>
      <c r="Q277" s="65"/>
    </row>
    <row r="278">
      <c r="O278" s="65"/>
      <c r="P278" s="57"/>
      <c r="Q278" s="65"/>
    </row>
    <row r="279">
      <c r="O279" s="65"/>
      <c r="P279" s="57"/>
      <c r="Q279" s="65"/>
    </row>
    <row r="280">
      <c r="O280" s="65"/>
      <c r="P280" s="57"/>
      <c r="Q280" s="65"/>
    </row>
    <row r="281">
      <c r="O281" s="65"/>
      <c r="P281" s="57"/>
      <c r="Q281" s="65"/>
    </row>
    <row r="282">
      <c r="O282" s="65"/>
      <c r="P282" s="57"/>
      <c r="Q282" s="65"/>
    </row>
    <row r="283">
      <c r="O283" s="65"/>
      <c r="P283" s="57"/>
      <c r="Q283" s="65"/>
    </row>
    <row r="284">
      <c r="O284" s="65"/>
      <c r="P284" s="57"/>
      <c r="Q284" s="65"/>
    </row>
    <row r="285">
      <c r="O285" s="65"/>
      <c r="P285" s="57"/>
      <c r="Q285" s="65"/>
    </row>
    <row r="286">
      <c r="O286" s="65"/>
      <c r="P286" s="57"/>
      <c r="Q286" s="65"/>
    </row>
    <row r="287">
      <c r="O287" s="65"/>
      <c r="P287" s="57"/>
      <c r="Q287" s="65"/>
    </row>
    <row r="288">
      <c r="O288" s="65"/>
      <c r="P288" s="57"/>
      <c r="Q288" s="65"/>
    </row>
    <row r="289">
      <c r="O289" s="65"/>
      <c r="P289" s="57"/>
      <c r="Q289" s="65"/>
    </row>
    <row r="290">
      <c r="O290" s="65"/>
      <c r="P290" s="57"/>
      <c r="Q290" s="65"/>
    </row>
    <row r="291">
      <c r="O291" s="65"/>
      <c r="P291" s="57"/>
      <c r="Q291" s="65"/>
    </row>
    <row r="292">
      <c r="O292" s="65"/>
      <c r="P292" s="57"/>
      <c r="Q292" s="65"/>
    </row>
    <row r="293">
      <c r="O293" s="65"/>
      <c r="P293" s="57"/>
      <c r="Q293" s="65"/>
    </row>
    <row r="294">
      <c r="O294" s="65"/>
      <c r="P294" s="57"/>
      <c r="Q294" s="65"/>
    </row>
    <row r="295">
      <c r="O295" s="65"/>
      <c r="P295" s="57"/>
      <c r="Q295" s="65"/>
    </row>
    <row r="296">
      <c r="O296" s="65"/>
      <c r="P296" s="57"/>
      <c r="Q296" s="65"/>
    </row>
    <row r="297">
      <c r="O297" s="65"/>
      <c r="P297" s="57"/>
      <c r="Q297" s="65"/>
    </row>
    <row r="298">
      <c r="O298" s="65"/>
      <c r="P298" s="57"/>
      <c r="Q298" s="65"/>
    </row>
    <row r="299">
      <c r="O299" s="65"/>
      <c r="P299" s="57"/>
      <c r="Q299" s="65"/>
    </row>
    <row r="300">
      <c r="O300" s="65"/>
      <c r="P300" s="57"/>
      <c r="Q300" s="65"/>
    </row>
    <row r="301">
      <c r="O301" s="65"/>
      <c r="P301" s="57"/>
      <c r="Q301" s="65"/>
    </row>
    <row r="302">
      <c r="O302" s="65"/>
      <c r="P302" s="57"/>
      <c r="Q302" s="65"/>
    </row>
    <row r="303">
      <c r="O303" s="65"/>
      <c r="P303" s="57"/>
      <c r="Q303" s="65"/>
    </row>
    <row r="304">
      <c r="O304" s="65"/>
      <c r="P304" s="57"/>
      <c r="Q304" s="65"/>
    </row>
    <row r="305">
      <c r="O305" s="65"/>
      <c r="P305" s="57"/>
      <c r="Q305" s="65"/>
    </row>
    <row r="306">
      <c r="O306" s="65"/>
      <c r="P306" s="57"/>
      <c r="Q306" s="65"/>
    </row>
    <row r="307">
      <c r="O307" s="65"/>
      <c r="P307" s="57"/>
      <c r="Q307" s="65"/>
    </row>
    <row r="308">
      <c r="O308" s="65"/>
      <c r="P308" s="57"/>
      <c r="Q308" s="65"/>
    </row>
    <row r="309">
      <c r="O309" s="65"/>
      <c r="P309" s="57"/>
      <c r="Q309" s="65"/>
    </row>
    <row r="310">
      <c r="O310" s="65"/>
      <c r="P310" s="57"/>
      <c r="Q310" s="65"/>
    </row>
    <row r="311">
      <c r="O311" s="65"/>
      <c r="P311" s="57"/>
      <c r="Q311" s="65"/>
    </row>
    <row r="312">
      <c r="O312" s="65"/>
      <c r="P312" s="57"/>
      <c r="Q312" s="65"/>
    </row>
    <row r="313">
      <c r="O313" s="65"/>
      <c r="P313" s="57"/>
      <c r="Q313" s="65"/>
    </row>
    <row r="314">
      <c r="O314" s="65"/>
      <c r="P314" s="57"/>
      <c r="Q314" s="65"/>
    </row>
    <row r="315">
      <c r="O315" s="65"/>
      <c r="P315" s="57"/>
      <c r="Q315" s="65"/>
    </row>
    <row r="316">
      <c r="O316" s="65"/>
      <c r="P316" s="57"/>
      <c r="Q316" s="65"/>
    </row>
    <row r="317">
      <c r="O317" s="65"/>
      <c r="P317" s="57"/>
      <c r="Q317" s="65"/>
    </row>
    <row r="318">
      <c r="O318" s="65"/>
      <c r="P318" s="57"/>
      <c r="Q318" s="65"/>
    </row>
    <row r="319">
      <c r="O319" s="65"/>
      <c r="P319" s="57"/>
      <c r="Q319" s="65"/>
    </row>
    <row r="320">
      <c r="O320" s="65"/>
      <c r="P320" s="57"/>
      <c r="Q320" s="65"/>
    </row>
    <row r="321">
      <c r="O321" s="65"/>
      <c r="P321" s="57"/>
      <c r="Q321" s="65"/>
    </row>
    <row r="322">
      <c r="O322" s="65"/>
      <c r="P322" s="57"/>
      <c r="Q322" s="65"/>
    </row>
    <row r="323">
      <c r="O323" s="65"/>
      <c r="P323" s="57"/>
      <c r="Q323" s="65"/>
    </row>
    <row r="324">
      <c r="O324" s="65"/>
      <c r="P324" s="57"/>
      <c r="Q324" s="65"/>
    </row>
    <row r="325">
      <c r="O325" s="65"/>
      <c r="P325" s="57"/>
      <c r="Q325" s="65"/>
    </row>
    <row r="326">
      <c r="O326" s="65"/>
      <c r="P326" s="57"/>
      <c r="Q326" s="65"/>
    </row>
    <row r="327">
      <c r="O327" s="65"/>
      <c r="P327" s="57"/>
      <c r="Q327" s="65"/>
    </row>
    <row r="328">
      <c r="O328" s="65"/>
      <c r="P328" s="57"/>
      <c r="Q328" s="65"/>
    </row>
    <row r="329">
      <c r="O329" s="65"/>
      <c r="P329" s="57"/>
      <c r="Q329" s="65"/>
    </row>
    <row r="330">
      <c r="O330" s="65"/>
      <c r="P330" s="57"/>
      <c r="Q330" s="65"/>
    </row>
    <row r="331">
      <c r="O331" s="65"/>
      <c r="P331" s="57"/>
      <c r="Q331" s="65"/>
    </row>
    <row r="332">
      <c r="O332" s="65"/>
      <c r="P332" s="57"/>
      <c r="Q332" s="65"/>
    </row>
    <row r="333">
      <c r="O333" s="65"/>
      <c r="P333" s="57"/>
      <c r="Q333" s="65"/>
    </row>
    <row r="334">
      <c r="O334" s="65"/>
      <c r="P334" s="57"/>
      <c r="Q334" s="65"/>
    </row>
    <row r="335">
      <c r="O335" s="65"/>
      <c r="P335" s="57"/>
      <c r="Q335" s="65"/>
    </row>
    <row r="336">
      <c r="O336" s="65"/>
      <c r="P336" s="57"/>
      <c r="Q336" s="65"/>
    </row>
    <row r="337">
      <c r="O337" s="65"/>
      <c r="P337" s="57"/>
      <c r="Q337" s="65"/>
    </row>
    <row r="338">
      <c r="O338" s="65"/>
      <c r="P338" s="57"/>
      <c r="Q338" s="65"/>
    </row>
    <row r="339">
      <c r="O339" s="65"/>
      <c r="P339" s="57"/>
      <c r="Q339" s="65"/>
    </row>
    <row r="340">
      <c r="O340" s="65"/>
      <c r="P340" s="57"/>
      <c r="Q340" s="65"/>
    </row>
    <row r="341">
      <c r="O341" s="65"/>
      <c r="P341" s="57"/>
      <c r="Q341" s="65"/>
    </row>
    <row r="342">
      <c r="O342" s="65"/>
      <c r="P342" s="57"/>
      <c r="Q342" s="65"/>
    </row>
    <row r="343">
      <c r="O343" s="65"/>
      <c r="P343" s="57"/>
      <c r="Q343" s="65"/>
    </row>
    <row r="344">
      <c r="O344" s="65"/>
      <c r="P344" s="57"/>
      <c r="Q344" s="65"/>
    </row>
    <row r="345">
      <c r="O345" s="65"/>
      <c r="P345" s="57"/>
      <c r="Q345" s="65"/>
    </row>
    <row r="346">
      <c r="O346" s="65"/>
      <c r="P346" s="57"/>
      <c r="Q346" s="65"/>
    </row>
    <row r="347">
      <c r="O347" s="65"/>
      <c r="P347" s="57"/>
      <c r="Q347" s="65"/>
    </row>
    <row r="348">
      <c r="O348" s="65"/>
      <c r="P348" s="57"/>
      <c r="Q348" s="65"/>
    </row>
    <row r="349">
      <c r="O349" s="65"/>
      <c r="P349" s="57"/>
      <c r="Q349" s="65"/>
    </row>
    <row r="350">
      <c r="O350" s="65"/>
      <c r="P350" s="57"/>
      <c r="Q350" s="65"/>
    </row>
    <row r="351">
      <c r="O351" s="65"/>
      <c r="P351" s="57"/>
      <c r="Q351" s="65"/>
    </row>
    <row r="352">
      <c r="O352" s="65"/>
      <c r="P352" s="57"/>
      <c r="Q352" s="65"/>
    </row>
    <row r="353">
      <c r="O353" s="65"/>
      <c r="P353" s="57"/>
      <c r="Q353" s="65"/>
    </row>
    <row r="354">
      <c r="O354" s="65"/>
      <c r="P354" s="57"/>
      <c r="Q354" s="65"/>
    </row>
    <row r="355">
      <c r="O355" s="65"/>
      <c r="P355" s="57"/>
      <c r="Q355" s="65"/>
    </row>
    <row r="356">
      <c r="O356" s="65"/>
      <c r="P356" s="57"/>
      <c r="Q356" s="65"/>
    </row>
    <row r="357">
      <c r="O357" s="65"/>
      <c r="P357" s="57"/>
      <c r="Q357" s="65"/>
    </row>
    <row r="358">
      <c r="O358" s="65"/>
      <c r="P358" s="57"/>
      <c r="Q358" s="65"/>
    </row>
    <row r="359">
      <c r="O359" s="65"/>
      <c r="P359" s="57"/>
      <c r="Q359" s="65"/>
    </row>
    <row r="360">
      <c r="O360" s="65"/>
      <c r="P360" s="57"/>
      <c r="Q360" s="65"/>
    </row>
    <row r="361">
      <c r="O361" s="65"/>
      <c r="P361" s="57"/>
      <c r="Q361" s="65"/>
    </row>
    <row r="362">
      <c r="O362" s="65"/>
      <c r="P362" s="57"/>
      <c r="Q362" s="65"/>
    </row>
    <row r="363">
      <c r="O363" s="65"/>
      <c r="P363" s="57"/>
      <c r="Q363" s="65"/>
    </row>
    <row r="364">
      <c r="O364" s="65"/>
      <c r="P364" s="57"/>
      <c r="Q364" s="65"/>
    </row>
    <row r="365">
      <c r="O365" s="65"/>
      <c r="P365" s="57"/>
      <c r="Q365" s="65"/>
    </row>
    <row r="366">
      <c r="O366" s="65"/>
      <c r="P366" s="57"/>
      <c r="Q366" s="65"/>
    </row>
    <row r="367">
      <c r="O367" s="65"/>
      <c r="P367" s="57"/>
      <c r="Q367" s="65"/>
    </row>
    <row r="368">
      <c r="O368" s="65"/>
      <c r="P368" s="57"/>
      <c r="Q368" s="65"/>
    </row>
    <row r="369">
      <c r="O369" s="65"/>
      <c r="P369" s="57"/>
      <c r="Q369" s="65"/>
    </row>
    <row r="370">
      <c r="O370" s="65"/>
      <c r="P370" s="57"/>
      <c r="Q370" s="65"/>
    </row>
    <row r="371">
      <c r="O371" s="65"/>
      <c r="P371" s="57"/>
      <c r="Q371" s="65"/>
    </row>
    <row r="372">
      <c r="O372" s="65"/>
      <c r="P372" s="57"/>
      <c r="Q372" s="65"/>
    </row>
    <row r="373">
      <c r="O373" s="65"/>
      <c r="P373" s="57"/>
      <c r="Q373" s="65"/>
    </row>
    <row r="374">
      <c r="O374" s="65"/>
      <c r="P374" s="57"/>
      <c r="Q374" s="65"/>
    </row>
    <row r="375">
      <c r="O375" s="65"/>
      <c r="P375" s="57"/>
      <c r="Q375" s="65"/>
    </row>
    <row r="376">
      <c r="O376" s="65"/>
      <c r="P376" s="57"/>
      <c r="Q376" s="65"/>
    </row>
    <row r="377">
      <c r="O377" s="65"/>
      <c r="P377" s="57"/>
      <c r="Q377" s="65"/>
    </row>
    <row r="378">
      <c r="O378" s="65"/>
      <c r="P378" s="57"/>
      <c r="Q378" s="65"/>
    </row>
    <row r="379">
      <c r="O379" s="65"/>
      <c r="P379" s="57"/>
      <c r="Q379" s="65"/>
    </row>
    <row r="380">
      <c r="O380" s="65"/>
      <c r="P380" s="57"/>
      <c r="Q380" s="65"/>
    </row>
    <row r="381">
      <c r="O381" s="65"/>
      <c r="P381" s="57"/>
      <c r="Q381" s="65"/>
    </row>
    <row r="382">
      <c r="O382" s="65"/>
      <c r="P382" s="57"/>
      <c r="Q382" s="65"/>
    </row>
    <row r="383">
      <c r="O383" s="65"/>
      <c r="P383" s="57"/>
      <c r="Q383" s="65"/>
    </row>
    <row r="384">
      <c r="O384" s="65"/>
      <c r="P384" s="57"/>
      <c r="Q384" s="65"/>
    </row>
    <row r="385">
      <c r="O385" s="65"/>
      <c r="P385" s="57"/>
      <c r="Q385" s="65"/>
    </row>
    <row r="386">
      <c r="O386" s="65"/>
      <c r="P386" s="57"/>
      <c r="Q386" s="65"/>
    </row>
    <row r="387">
      <c r="O387" s="65"/>
      <c r="P387" s="57"/>
      <c r="Q387" s="65"/>
    </row>
    <row r="388">
      <c r="O388" s="65"/>
      <c r="P388" s="57"/>
      <c r="Q388" s="65"/>
    </row>
    <row r="389">
      <c r="O389" s="65"/>
      <c r="P389" s="57"/>
      <c r="Q389" s="65"/>
    </row>
    <row r="390">
      <c r="O390" s="65"/>
      <c r="P390" s="57"/>
      <c r="Q390" s="65"/>
    </row>
    <row r="391">
      <c r="O391" s="65"/>
      <c r="P391" s="57"/>
      <c r="Q391" s="65"/>
    </row>
    <row r="392">
      <c r="O392" s="65"/>
      <c r="P392" s="57"/>
      <c r="Q392" s="65"/>
    </row>
    <row r="393">
      <c r="O393" s="65"/>
      <c r="P393" s="57"/>
      <c r="Q393" s="65"/>
    </row>
    <row r="394">
      <c r="O394" s="65"/>
      <c r="P394" s="57"/>
      <c r="Q394" s="65"/>
    </row>
    <row r="395">
      <c r="O395" s="65"/>
      <c r="P395" s="57"/>
      <c r="Q395" s="65"/>
    </row>
    <row r="396">
      <c r="O396" s="65"/>
      <c r="P396" s="57"/>
      <c r="Q396" s="65"/>
    </row>
    <row r="397">
      <c r="O397" s="65"/>
      <c r="P397" s="57"/>
      <c r="Q397" s="65"/>
    </row>
    <row r="398">
      <c r="O398" s="65"/>
      <c r="P398" s="57"/>
      <c r="Q398" s="65"/>
    </row>
    <row r="399">
      <c r="O399" s="65"/>
      <c r="P399" s="57"/>
      <c r="Q399" s="65"/>
    </row>
    <row r="400">
      <c r="O400" s="65"/>
      <c r="P400" s="57"/>
      <c r="Q400" s="65"/>
    </row>
    <row r="401">
      <c r="O401" s="65"/>
      <c r="P401" s="57"/>
      <c r="Q401" s="65"/>
    </row>
    <row r="402">
      <c r="O402" s="65"/>
      <c r="P402" s="57"/>
      <c r="Q402" s="65"/>
    </row>
    <row r="403">
      <c r="O403" s="65"/>
      <c r="P403" s="57"/>
      <c r="Q403" s="65"/>
    </row>
    <row r="404">
      <c r="O404" s="65"/>
      <c r="P404" s="57"/>
      <c r="Q404" s="65"/>
    </row>
    <row r="405">
      <c r="O405" s="65"/>
      <c r="P405" s="57"/>
      <c r="Q405" s="65"/>
    </row>
    <row r="406">
      <c r="O406" s="65"/>
      <c r="P406" s="57"/>
      <c r="Q406" s="65"/>
    </row>
    <row r="407">
      <c r="O407" s="65"/>
      <c r="P407" s="57"/>
      <c r="Q407" s="65"/>
    </row>
    <row r="408">
      <c r="O408" s="65"/>
      <c r="P408" s="57"/>
      <c r="Q408" s="65"/>
    </row>
    <row r="409">
      <c r="O409" s="65"/>
      <c r="P409" s="57"/>
      <c r="Q409" s="65"/>
    </row>
    <row r="410">
      <c r="O410" s="65"/>
      <c r="P410" s="57"/>
      <c r="Q410" s="65"/>
    </row>
    <row r="411">
      <c r="O411" s="65"/>
      <c r="P411" s="57"/>
      <c r="Q411" s="65"/>
    </row>
    <row r="412">
      <c r="O412" s="65"/>
      <c r="P412" s="57"/>
      <c r="Q412" s="65"/>
    </row>
    <row r="413">
      <c r="O413" s="65"/>
      <c r="P413" s="57"/>
      <c r="Q413" s="65"/>
    </row>
    <row r="414">
      <c r="O414" s="65"/>
      <c r="P414" s="57"/>
      <c r="Q414" s="65"/>
    </row>
    <row r="415">
      <c r="O415" s="65"/>
      <c r="P415" s="57"/>
      <c r="Q415" s="65"/>
    </row>
    <row r="416">
      <c r="O416" s="65"/>
      <c r="P416" s="57"/>
      <c r="Q416" s="65"/>
    </row>
    <row r="417">
      <c r="O417" s="65"/>
      <c r="P417" s="57"/>
      <c r="Q417" s="65"/>
    </row>
    <row r="418">
      <c r="O418" s="65"/>
      <c r="P418" s="57"/>
      <c r="Q418" s="65"/>
    </row>
    <row r="419">
      <c r="O419" s="65"/>
      <c r="P419" s="57"/>
      <c r="Q419" s="65"/>
    </row>
    <row r="420">
      <c r="O420" s="65"/>
      <c r="P420" s="57"/>
      <c r="Q420" s="65"/>
    </row>
    <row r="421">
      <c r="O421" s="65"/>
      <c r="P421" s="57"/>
      <c r="Q421" s="65"/>
    </row>
    <row r="422">
      <c r="O422" s="65"/>
      <c r="P422" s="57"/>
      <c r="Q422" s="65"/>
    </row>
    <row r="423">
      <c r="O423" s="65"/>
      <c r="P423" s="57"/>
      <c r="Q423" s="65"/>
    </row>
    <row r="424">
      <c r="O424" s="65"/>
      <c r="P424" s="57"/>
      <c r="Q424" s="65"/>
    </row>
    <row r="425">
      <c r="O425" s="65"/>
      <c r="P425" s="57"/>
      <c r="Q425" s="65"/>
    </row>
    <row r="426">
      <c r="O426" s="65"/>
      <c r="P426" s="57"/>
      <c r="Q426" s="65"/>
    </row>
    <row r="427">
      <c r="O427" s="65"/>
      <c r="P427" s="57"/>
      <c r="Q427" s="65"/>
    </row>
    <row r="428">
      <c r="O428" s="65"/>
      <c r="P428" s="57"/>
      <c r="Q428" s="65"/>
    </row>
    <row r="429">
      <c r="O429" s="65"/>
      <c r="P429" s="57"/>
      <c r="Q429" s="65"/>
    </row>
    <row r="430">
      <c r="O430" s="65"/>
      <c r="P430" s="57"/>
      <c r="Q430" s="65"/>
    </row>
    <row r="431">
      <c r="O431" s="65"/>
      <c r="P431" s="57"/>
      <c r="Q431" s="65"/>
    </row>
    <row r="432">
      <c r="O432" s="65"/>
      <c r="P432" s="57"/>
      <c r="Q432" s="65"/>
    </row>
    <row r="433">
      <c r="O433" s="65"/>
      <c r="P433" s="57"/>
      <c r="Q433" s="65"/>
    </row>
    <row r="434">
      <c r="O434" s="65"/>
      <c r="P434" s="57"/>
      <c r="Q434" s="65"/>
    </row>
    <row r="435">
      <c r="O435" s="65"/>
      <c r="P435" s="57"/>
      <c r="Q435" s="65"/>
    </row>
    <row r="436">
      <c r="O436" s="65"/>
      <c r="P436" s="57"/>
      <c r="Q436" s="65"/>
    </row>
    <row r="437">
      <c r="O437" s="65"/>
      <c r="P437" s="57"/>
      <c r="Q437" s="65"/>
    </row>
    <row r="438">
      <c r="O438" s="65"/>
      <c r="P438" s="57"/>
      <c r="Q438" s="65"/>
    </row>
    <row r="439">
      <c r="O439" s="65"/>
      <c r="P439" s="57"/>
      <c r="Q439" s="65"/>
    </row>
    <row r="440">
      <c r="O440" s="65"/>
      <c r="P440" s="57"/>
      <c r="Q440" s="65"/>
    </row>
    <row r="441">
      <c r="O441" s="65"/>
      <c r="P441" s="57"/>
      <c r="Q441" s="65"/>
    </row>
    <row r="442">
      <c r="O442" s="65"/>
      <c r="P442" s="57"/>
      <c r="Q442" s="65"/>
    </row>
    <row r="443">
      <c r="O443" s="65"/>
      <c r="P443" s="57"/>
      <c r="Q443" s="65"/>
    </row>
    <row r="444">
      <c r="O444" s="65"/>
      <c r="P444" s="57"/>
      <c r="Q444" s="65"/>
    </row>
    <row r="445">
      <c r="O445" s="65"/>
      <c r="P445" s="57"/>
      <c r="Q445" s="65"/>
    </row>
    <row r="446">
      <c r="O446" s="65"/>
      <c r="P446" s="57"/>
      <c r="Q446" s="65"/>
    </row>
    <row r="447">
      <c r="O447" s="65"/>
      <c r="P447" s="57"/>
      <c r="Q447" s="65"/>
    </row>
    <row r="448">
      <c r="O448" s="65"/>
      <c r="P448" s="57"/>
      <c r="Q448" s="65"/>
    </row>
    <row r="449">
      <c r="O449" s="65"/>
      <c r="P449" s="57"/>
      <c r="Q449" s="65"/>
    </row>
    <row r="450">
      <c r="O450" s="65"/>
      <c r="P450" s="57"/>
      <c r="Q450" s="65"/>
    </row>
    <row r="451">
      <c r="O451" s="65"/>
      <c r="P451" s="57"/>
      <c r="Q451" s="65"/>
    </row>
    <row r="452">
      <c r="O452" s="65"/>
      <c r="P452" s="57"/>
      <c r="Q452" s="65"/>
    </row>
    <row r="453">
      <c r="O453" s="65"/>
      <c r="P453" s="57"/>
      <c r="Q453" s="65"/>
    </row>
    <row r="454">
      <c r="O454" s="65"/>
      <c r="P454" s="57"/>
      <c r="Q454" s="65"/>
    </row>
    <row r="455">
      <c r="O455" s="65"/>
      <c r="P455" s="57"/>
      <c r="Q455" s="65"/>
    </row>
    <row r="456">
      <c r="O456" s="65"/>
      <c r="P456" s="57"/>
      <c r="Q456" s="65"/>
    </row>
    <row r="457">
      <c r="O457" s="65"/>
      <c r="P457" s="57"/>
      <c r="Q457" s="65"/>
    </row>
    <row r="458">
      <c r="O458" s="65"/>
      <c r="P458" s="57"/>
      <c r="Q458" s="65"/>
    </row>
    <row r="459">
      <c r="O459" s="65"/>
      <c r="P459" s="57"/>
      <c r="Q459" s="65"/>
    </row>
    <row r="460">
      <c r="O460" s="65"/>
      <c r="P460" s="57"/>
      <c r="Q460" s="65"/>
    </row>
    <row r="461">
      <c r="O461" s="65"/>
      <c r="P461" s="57"/>
      <c r="Q461" s="65"/>
    </row>
    <row r="462">
      <c r="O462" s="65"/>
      <c r="P462" s="57"/>
      <c r="Q462" s="65"/>
    </row>
    <row r="463">
      <c r="O463" s="65"/>
      <c r="P463" s="57"/>
      <c r="Q463" s="65"/>
    </row>
    <row r="464">
      <c r="O464" s="65"/>
      <c r="P464" s="57"/>
      <c r="Q464" s="65"/>
    </row>
    <row r="465">
      <c r="O465" s="65"/>
      <c r="P465" s="57"/>
      <c r="Q465" s="65"/>
    </row>
    <row r="466">
      <c r="O466" s="65"/>
      <c r="P466" s="57"/>
      <c r="Q466" s="65"/>
    </row>
    <row r="467">
      <c r="O467" s="65"/>
      <c r="P467" s="57"/>
      <c r="Q467" s="65"/>
    </row>
    <row r="468">
      <c r="O468" s="65"/>
      <c r="P468" s="57"/>
      <c r="Q468" s="65"/>
    </row>
    <row r="469">
      <c r="O469" s="65"/>
      <c r="P469" s="57"/>
      <c r="Q469" s="65"/>
    </row>
    <row r="470">
      <c r="O470" s="65"/>
      <c r="P470" s="57"/>
      <c r="Q470" s="65"/>
    </row>
    <row r="471">
      <c r="O471" s="65"/>
      <c r="P471" s="57"/>
      <c r="Q471" s="65"/>
    </row>
    <row r="472">
      <c r="O472" s="65"/>
      <c r="P472" s="57"/>
      <c r="Q472" s="65"/>
    </row>
    <row r="473">
      <c r="O473" s="65"/>
      <c r="P473" s="57"/>
      <c r="Q473" s="65"/>
    </row>
    <row r="474">
      <c r="O474" s="65"/>
      <c r="P474" s="57"/>
      <c r="Q474" s="65"/>
    </row>
    <row r="475">
      <c r="O475" s="65"/>
      <c r="P475" s="57"/>
      <c r="Q475" s="65"/>
    </row>
    <row r="476">
      <c r="O476" s="65"/>
      <c r="P476" s="57"/>
      <c r="Q476" s="65"/>
    </row>
    <row r="477">
      <c r="O477" s="65"/>
      <c r="P477" s="57"/>
      <c r="Q477" s="65"/>
    </row>
    <row r="478">
      <c r="O478" s="65"/>
      <c r="P478" s="57"/>
      <c r="Q478" s="65"/>
    </row>
    <row r="479">
      <c r="O479" s="65"/>
      <c r="P479" s="57"/>
      <c r="Q479" s="65"/>
    </row>
    <row r="480">
      <c r="O480" s="65"/>
      <c r="P480" s="57"/>
      <c r="Q480" s="65"/>
    </row>
    <row r="481">
      <c r="O481" s="65"/>
      <c r="P481" s="57"/>
      <c r="Q481" s="65"/>
    </row>
    <row r="482">
      <c r="O482" s="65"/>
      <c r="P482" s="57"/>
      <c r="Q482" s="65"/>
    </row>
    <row r="483">
      <c r="O483" s="65"/>
      <c r="P483" s="57"/>
      <c r="Q483" s="65"/>
    </row>
    <row r="484">
      <c r="O484" s="65"/>
      <c r="P484" s="57"/>
      <c r="Q484" s="65"/>
    </row>
    <row r="485">
      <c r="O485" s="65"/>
      <c r="P485" s="57"/>
      <c r="Q485" s="65"/>
    </row>
    <row r="486">
      <c r="O486" s="65"/>
      <c r="P486" s="57"/>
      <c r="Q486" s="65"/>
    </row>
    <row r="487">
      <c r="O487" s="65"/>
      <c r="P487" s="57"/>
      <c r="Q487" s="65"/>
    </row>
    <row r="488">
      <c r="O488" s="65"/>
      <c r="P488" s="57"/>
      <c r="Q488" s="65"/>
    </row>
    <row r="489">
      <c r="O489" s="65"/>
      <c r="P489" s="57"/>
      <c r="Q489" s="65"/>
    </row>
    <row r="490">
      <c r="O490" s="65"/>
      <c r="P490" s="57"/>
      <c r="Q490" s="65"/>
    </row>
    <row r="491">
      <c r="O491" s="65"/>
      <c r="P491" s="57"/>
      <c r="Q491" s="65"/>
    </row>
    <row r="492">
      <c r="O492" s="65"/>
      <c r="P492" s="57"/>
      <c r="Q492" s="65"/>
    </row>
    <row r="493">
      <c r="O493" s="65"/>
      <c r="P493" s="57"/>
      <c r="Q493" s="65"/>
    </row>
    <row r="494">
      <c r="O494" s="65"/>
      <c r="P494" s="57"/>
      <c r="Q494" s="65"/>
    </row>
    <row r="495">
      <c r="O495" s="65"/>
      <c r="P495" s="57"/>
      <c r="Q495" s="65"/>
    </row>
    <row r="496">
      <c r="O496" s="65"/>
      <c r="P496" s="57"/>
      <c r="Q496" s="65"/>
    </row>
    <row r="497">
      <c r="O497" s="65"/>
      <c r="P497" s="57"/>
      <c r="Q497" s="65"/>
    </row>
    <row r="498">
      <c r="O498" s="65"/>
      <c r="P498" s="57"/>
      <c r="Q498" s="65"/>
    </row>
    <row r="499">
      <c r="O499" s="65"/>
      <c r="P499" s="57"/>
      <c r="Q499" s="65"/>
    </row>
    <row r="500">
      <c r="O500" s="65"/>
      <c r="P500" s="57"/>
      <c r="Q500" s="65"/>
    </row>
    <row r="501">
      <c r="O501" s="65"/>
      <c r="P501" s="57"/>
      <c r="Q501" s="65"/>
    </row>
    <row r="502">
      <c r="O502" s="65"/>
      <c r="P502" s="57"/>
      <c r="Q502" s="65"/>
    </row>
    <row r="503">
      <c r="O503" s="65"/>
      <c r="P503" s="57"/>
      <c r="Q503" s="65"/>
    </row>
    <row r="504">
      <c r="O504" s="65"/>
      <c r="P504" s="57"/>
      <c r="Q504" s="65"/>
    </row>
    <row r="505">
      <c r="O505" s="65"/>
      <c r="P505" s="57"/>
      <c r="Q505" s="65"/>
    </row>
    <row r="506">
      <c r="O506" s="65"/>
      <c r="P506" s="57"/>
      <c r="Q506" s="65"/>
    </row>
    <row r="507">
      <c r="O507" s="65"/>
      <c r="P507" s="57"/>
      <c r="Q507" s="65"/>
    </row>
    <row r="508">
      <c r="O508" s="65"/>
      <c r="P508" s="57"/>
      <c r="Q508" s="65"/>
    </row>
    <row r="509">
      <c r="O509" s="65"/>
      <c r="P509" s="57"/>
      <c r="Q509" s="65"/>
    </row>
    <row r="510">
      <c r="O510" s="65"/>
      <c r="P510" s="57"/>
      <c r="Q510" s="65"/>
    </row>
    <row r="511">
      <c r="O511" s="65"/>
      <c r="P511" s="57"/>
      <c r="Q511" s="65"/>
    </row>
    <row r="512">
      <c r="O512" s="65"/>
      <c r="P512" s="57"/>
      <c r="Q512" s="65"/>
    </row>
    <row r="513">
      <c r="O513" s="65"/>
      <c r="P513" s="57"/>
      <c r="Q513" s="65"/>
    </row>
    <row r="514">
      <c r="O514" s="65"/>
      <c r="P514" s="57"/>
      <c r="Q514" s="65"/>
    </row>
    <row r="515">
      <c r="O515" s="65"/>
      <c r="P515" s="57"/>
      <c r="Q515" s="65"/>
    </row>
    <row r="516">
      <c r="O516" s="65"/>
      <c r="P516" s="57"/>
      <c r="Q516" s="65"/>
    </row>
    <row r="517">
      <c r="O517" s="65"/>
      <c r="P517" s="57"/>
      <c r="Q517" s="65"/>
    </row>
    <row r="518">
      <c r="O518" s="65"/>
      <c r="P518" s="57"/>
      <c r="Q518" s="65"/>
    </row>
    <row r="519">
      <c r="O519" s="65"/>
      <c r="P519" s="57"/>
      <c r="Q519" s="65"/>
    </row>
    <row r="520">
      <c r="O520" s="65"/>
      <c r="P520" s="57"/>
      <c r="Q520" s="65"/>
    </row>
    <row r="521">
      <c r="O521" s="65"/>
      <c r="P521" s="57"/>
      <c r="Q521" s="65"/>
    </row>
    <row r="522">
      <c r="O522" s="65"/>
      <c r="P522" s="57"/>
      <c r="Q522" s="65"/>
    </row>
    <row r="523">
      <c r="O523" s="65"/>
      <c r="P523" s="57"/>
      <c r="Q523" s="65"/>
    </row>
    <row r="524">
      <c r="O524" s="65"/>
      <c r="P524" s="57"/>
      <c r="Q524" s="65"/>
    </row>
    <row r="525">
      <c r="O525" s="65"/>
      <c r="P525" s="57"/>
      <c r="Q525" s="65"/>
    </row>
    <row r="526">
      <c r="O526" s="65"/>
      <c r="P526" s="57"/>
      <c r="Q526" s="65"/>
    </row>
    <row r="527">
      <c r="O527" s="65"/>
      <c r="P527" s="57"/>
      <c r="Q527" s="65"/>
    </row>
    <row r="528">
      <c r="O528" s="65"/>
      <c r="P528" s="57"/>
      <c r="Q528" s="65"/>
    </row>
    <row r="529">
      <c r="O529" s="65"/>
      <c r="P529" s="57"/>
      <c r="Q529" s="65"/>
    </row>
    <row r="530">
      <c r="O530" s="65"/>
      <c r="P530" s="57"/>
      <c r="Q530" s="65"/>
    </row>
    <row r="531">
      <c r="O531" s="65"/>
      <c r="P531" s="57"/>
      <c r="Q531" s="65"/>
    </row>
    <row r="532">
      <c r="O532" s="65"/>
      <c r="P532" s="57"/>
      <c r="Q532" s="65"/>
    </row>
    <row r="533">
      <c r="O533" s="65"/>
      <c r="P533" s="57"/>
      <c r="Q533" s="65"/>
    </row>
    <row r="534">
      <c r="O534" s="65"/>
      <c r="P534" s="57"/>
      <c r="Q534" s="65"/>
    </row>
    <row r="535">
      <c r="O535" s="65"/>
      <c r="P535" s="57"/>
      <c r="Q535" s="65"/>
    </row>
    <row r="536">
      <c r="O536" s="65"/>
      <c r="P536" s="57"/>
      <c r="Q536" s="65"/>
    </row>
    <row r="537">
      <c r="O537" s="65"/>
      <c r="P537" s="57"/>
      <c r="Q537" s="65"/>
    </row>
    <row r="538">
      <c r="O538" s="65"/>
      <c r="P538" s="57"/>
      <c r="Q538" s="65"/>
    </row>
    <row r="539">
      <c r="O539" s="65"/>
      <c r="P539" s="57"/>
      <c r="Q539" s="65"/>
    </row>
    <row r="540">
      <c r="O540" s="65"/>
      <c r="P540" s="57"/>
      <c r="Q540" s="65"/>
    </row>
    <row r="541">
      <c r="O541" s="65"/>
      <c r="P541" s="57"/>
      <c r="Q541" s="65"/>
    </row>
    <row r="542">
      <c r="O542" s="65"/>
      <c r="P542" s="57"/>
      <c r="Q542" s="65"/>
    </row>
    <row r="543">
      <c r="O543" s="65"/>
      <c r="P543" s="57"/>
      <c r="Q543" s="65"/>
    </row>
    <row r="544">
      <c r="O544" s="65"/>
      <c r="P544" s="57"/>
      <c r="Q544" s="65"/>
    </row>
    <row r="545">
      <c r="O545" s="65"/>
      <c r="P545" s="57"/>
      <c r="Q545" s="65"/>
    </row>
    <row r="546">
      <c r="O546" s="65"/>
      <c r="P546" s="57"/>
      <c r="Q546" s="65"/>
    </row>
    <row r="547">
      <c r="O547" s="65"/>
      <c r="P547" s="57"/>
      <c r="Q547" s="65"/>
    </row>
    <row r="548">
      <c r="O548" s="65"/>
      <c r="P548" s="57"/>
      <c r="Q548" s="65"/>
    </row>
    <row r="549">
      <c r="O549" s="65"/>
      <c r="P549" s="57"/>
      <c r="Q549" s="65"/>
    </row>
    <row r="550">
      <c r="O550" s="65"/>
      <c r="P550" s="57"/>
      <c r="Q550" s="65"/>
    </row>
    <row r="551">
      <c r="O551" s="65"/>
      <c r="P551" s="57"/>
      <c r="Q551" s="65"/>
    </row>
    <row r="552">
      <c r="O552" s="65"/>
      <c r="P552" s="57"/>
      <c r="Q552" s="65"/>
    </row>
    <row r="553">
      <c r="O553" s="65"/>
      <c r="P553" s="57"/>
      <c r="Q553" s="65"/>
    </row>
    <row r="554">
      <c r="O554" s="65"/>
      <c r="P554" s="57"/>
      <c r="Q554" s="65"/>
    </row>
    <row r="555">
      <c r="O555" s="65"/>
      <c r="P555" s="57"/>
      <c r="Q555" s="65"/>
    </row>
    <row r="556">
      <c r="O556" s="65"/>
      <c r="P556" s="57"/>
      <c r="Q556" s="65"/>
    </row>
    <row r="557">
      <c r="O557" s="65"/>
      <c r="P557" s="57"/>
      <c r="Q557" s="65"/>
    </row>
    <row r="558">
      <c r="O558" s="65"/>
      <c r="P558" s="57"/>
      <c r="Q558" s="65"/>
    </row>
    <row r="559">
      <c r="O559" s="65"/>
      <c r="P559" s="57"/>
      <c r="Q559" s="65"/>
    </row>
    <row r="560">
      <c r="O560" s="65"/>
      <c r="P560" s="57"/>
      <c r="Q560" s="65"/>
    </row>
    <row r="561">
      <c r="O561" s="65"/>
      <c r="P561" s="57"/>
      <c r="Q561" s="65"/>
    </row>
    <row r="562">
      <c r="O562" s="65"/>
      <c r="P562" s="57"/>
      <c r="Q562" s="65"/>
    </row>
    <row r="563">
      <c r="O563" s="65"/>
      <c r="P563" s="57"/>
      <c r="Q563" s="65"/>
    </row>
    <row r="564">
      <c r="O564" s="65"/>
      <c r="P564" s="57"/>
      <c r="Q564" s="65"/>
    </row>
    <row r="565">
      <c r="O565" s="65"/>
      <c r="P565" s="57"/>
      <c r="Q565" s="65"/>
    </row>
    <row r="566">
      <c r="O566" s="65"/>
      <c r="P566" s="57"/>
      <c r="Q566" s="65"/>
    </row>
    <row r="567">
      <c r="O567" s="65"/>
      <c r="P567" s="57"/>
      <c r="Q567" s="65"/>
    </row>
    <row r="568">
      <c r="O568" s="65"/>
      <c r="P568" s="57"/>
      <c r="Q568" s="65"/>
    </row>
    <row r="569">
      <c r="O569" s="65"/>
      <c r="P569" s="57"/>
      <c r="Q569" s="65"/>
    </row>
    <row r="570">
      <c r="O570" s="65"/>
      <c r="P570" s="57"/>
      <c r="Q570" s="65"/>
    </row>
    <row r="571">
      <c r="O571" s="65"/>
      <c r="P571" s="57"/>
      <c r="Q571" s="65"/>
    </row>
    <row r="572">
      <c r="O572" s="65"/>
      <c r="P572" s="57"/>
      <c r="Q572" s="65"/>
    </row>
    <row r="573">
      <c r="O573" s="65"/>
      <c r="P573" s="57"/>
      <c r="Q573" s="65"/>
    </row>
    <row r="574">
      <c r="O574" s="65"/>
      <c r="P574" s="57"/>
      <c r="Q574" s="65"/>
    </row>
    <row r="575">
      <c r="O575" s="65"/>
      <c r="P575" s="57"/>
      <c r="Q575" s="65"/>
    </row>
    <row r="576">
      <c r="O576" s="65"/>
      <c r="P576" s="57"/>
      <c r="Q576" s="65"/>
    </row>
    <row r="577">
      <c r="O577" s="65"/>
      <c r="P577" s="57"/>
      <c r="Q577" s="65"/>
    </row>
    <row r="578">
      <c r="O578" s="65"/>
      <c r="P578" s="57"/>
      <c r="Q578" s="65"/>
    </row>
    <row r="579">
      <c r="O579" s="65"/>
      <c r="P579" s="57"/>
      <c r="Q579" s="65"/>
    </row>
    <row r="580">
      <c r="O580" s="65"/>
      <c r="P580" s="57"/>
      <c r="Q580" s="65"/>
    </row>
    <row r="581">
      <c r="O581" s="65"/>
      <c r="P581" s="57"/>
      <c r="Q581" s="65"/>
    </row>
    <row r="582">
      <c r="O582" s="65"/>
      <c r="P582" s="57"/>
      <c r="Q582" s="65"/>
    </row>
    <row r="583">
      <c r="O583" s="65"/>
      <c r="P583" s="57"/>
      <c r="Q583" s="65"/>
    </row>
    <row r="584">
      <c r="O584" s="65"/>
      <c r="P584" s="57"/>
      <c r="Q584" s="65"/>
    </row>
    <row r="585">
      <c r="O585" s="65"/>
      <c r="P585" s="57"/>
      <c r="Q585" s="65"/>
    </row>
    <row r="586">
      <c r="O586" s="65"/>
      <c r="P586" s="57"/>
      <c r="Q586" s="65"/>
    </row>
    <row r="587">
      <c r="O587" s="65"/>
      <c r="P587" s="57"/>
      <c r="Q587" s="65"/>
    </row>
    <row r="588">
      <c r="O588" s="65"/>
      <c r="P588" s="57"/>
      <c r="Q588" s="65"/>
    </row>
    <row r="589">
      <c r="O589" s="65"/>
      <c r="P589" s="57"/>
      <c r="Q589" s="65"/>
    </row>
    <row r="590">
      <c r="O590" s="65"/>
      <c r="P590" s="57"/>
      <c r="Q590" s="65"/>
    </row>
    <row r="591">
      <c r="O591" s="65"/>
      <c r="P591" s="57"/>
      <c r="Q591" s="65"/>
    </row>
    <row r="592">
      <c r="O592" s="65"/>
      <c r="P592" s="57"/>
      <c r="Q592" s="65"/>
    </row>
    <row r="593">
      <c r="O593" s="65"/>
      <c r="P593" s="57"/>
      <c r="Q593" s="65"/>
    </row>
    <row r="594">
      <c r="O594" s="65"/>
      <c r="P594" s="57"/>
      <c r="Q594" s="65"/>
    </row>
    <row r="595">
      <c r="O595" s="65"/>
      <c r="P595" s="57"/>
      <c r="Q595" s="65"/>
    </row>
    <row r="596">
      <c r="O596" s="65"/>
      <c r="P596" s="57"/>
      <c r="Q596" s="65"/>
    </row>
    <row r="597">
      <c r="O597" s="65"/>
      <c r="P597" s="57"/>
      <c r="Q597" s="65"/>
    </row>
    <row r="598">
      <c r="O598" s="65"/>
      <c r="P598" s="57"/>
      <c r="Q598" s="65"/>
    </row>
    <row r="599">
      <c r="O599" s="65"/>
      <c r="P599" s="57"/>
      <c r="Q599" s="65"/>
    </row>
    <row r="600">
      <c r="O600" s="65"/>
      <c r="P600" s="57"/>
      <c r="Q600" s="65"/>
    </row>
    <row r="601">
      <c r="O601" s="65"/>
      <c r="P601" s="57"/>
      <c r="Q601" s="65"/>
    </row>
    <row r="602">
      <c r="O602" s="65"/>
      <c r="P602" s="57"/>
      <c r="Q602" s="65"/>
    </row>
    <row r="603">
      <c r="O603" s="65"/>
      <c r="P603" s="57"/>
      <c r="Q603" s="65"/>
    </row>
    <row r="604">
      <c r="O604" s="65"/>
      <c r="P604" s="57"/>
      <c r="Q604" s="65"/>
    </row>
    <row r="605">
      <c r="O605" s="65"/>
      <c r="P605" s="57"/>
      <c r="Q605" s="65"/>
    </row>
    <row r="606">
      <c r="O606" s="65"/>
      <c r="P606" s="57"/>
      <c r="Q606" s="65"/>
    </row>
    <row r="607">
      <c r="O607" s="65"/>
      <c r="P607" s="57"/>
      <c r="Q607" s="65"/>
    </row>
    <row r="608">
      <c r="O608" s="65"/>
      <c r="P608" s="57"/>
      <c r="Q608" s="65"/>
    </row>
    <row r="609">
      <c r="O609" s="65"/>
      <c r="P609" s="57"/>
      <c r="Q609" s="65"/>
    </row>
    <row r="610">
      <c r="O610" s="65"/>
      <c r="P610" s="57"/>
      <c r="Q610" s="65"/>
    </row>
    <row r="611">
      <c r="O611" s="65"/>
      <c r="P611" s="57"/>
      <c r="Q611" s="65"/>
    </row>
    <row r="612">
      <c r="O612" s="65"/>
      <c r="P612" s="57"/>
      <c r="Q612" s="65"/>
    </row>
    <row r="613">
      <c r="O613" s="65"/>
      <c r="P613" s="57"/>
      <c r="Q613" s="65"/>
    </row>
    <row r="614">
      <c r="O614" s="65"/>
      <c r="P614" s="57"/>
      <c r="Q614" s="65"/>
    </row>
    <row r="615">
      <c r="O615" s="65"/>
      <c r="P615" s="57"/>
      <c r="Q615" s="65"/>
    </row>
    <row r="616">
      <c r="O616" s="65"/>
      <c r="P616" s="57"/>
      <c r="Q616" s="65"/>
    </row>
    <row r="617">
      <c r="O617" s="65"/>
      <c r="P617" s="57"/>
      <c r="Q617" s="65"/>
    </row>
    <row r="618">
      <c r="O618" s="65"/>
      <c r="P618" s="57"/>
      <c r="Q618" s="65"/>
    </row>
    <row r="619">
      <c r="O619" s="65"/>
      <c r="P619" s="57"/>
      <c r="Q619" s="65"/>
    </row>
    <row r="620">
      <c r="O620" s="65"/>
      <c r="P620" s="57"/>
      <c r="Q620" s="65"/>
    </row>
    <row r="621">
      <c r="O621" s="65"/>
      <c r="P621" s="57"/>
      <c r="Q621" s="65"/>
    </row>
    <row r="622">
      <c r="O622" s="65"/>
      <c r="P622" s="57"/>
      <c r="Q622" s="65"/>
    </row>
    <row r="623">
      <c r="O623" s="65"/>
      <c r="P623" s="57"/>
      <c r="Q623" s="65"/>
    </row>
    <row r="624">
      <c r="O624" s="65"/>
      <c r="P624" s="57"/>
      <c r="Q624" s="65"/>
    </row>
    <row r="625">
      <c r="O625" s="65"/>
      <c r="P625" s="57"/>
      <c r="Q625" s="65"/>
    </row>
    <row r="626">
      <c r="O626" s="65"/>
      <c r="P626" s="57"/>
      <c r="Q626" s="65"/>
    </row>
    <row r="627">
      <c r="O627" s="65"/>
      <c r="P627" s="57"/>
      <c r="Q627" s="65"/>
    </row>
    <row r="628">
      <c r="O628" s="65"/>
      <c r="P628" s="57"/>
      <c r="Q628" s="65"/>
    </row>
    <row r="629">
      <c r="O629" s="65"/>
      <c r="P629" s="57"/>
      <c r="Q629" s="65"/>
    </row>
    <row r="630">
      <c r="O630" s="65"/>
      <c r="P630" s="57"/>
      <c r="Q630" s="65"/>
    </row>
    <row r="631">
      <c r="O631" s="65"/>
      <c r="P631" s="57"/>
      <c r="Q631" s="65"/>
    </row>
    <row r="632">
      <c r="O632" s="65"/>
      <c r="P632" s="57"/>
      <c r="Q632" s="65"/>
    </row>
    <row r="633">
      <c r="O633" s="65"/>
      <c r="P633" s="57"/>
      <c r="Q633" s="65"/>
    </row>
    <row r="634">
      <c r="O634" s="65"/>
      <c r="P634" s="57"/>
      <c r="Q634" s="65"/>
    </row>
    <row r="635">
      <c r="O635" s="65"/>
      <c r="P635" s="57"/>
      <c r="Q635" s="65"/>
    </row>
    <row r="636">
      <c r="O636" s="65"/>
      <c r="P636" s="57"/>
      <c r="Q636" s="65"/>
    </row>
    <row r="637">
      <c r="O637" s="65"/>
      <c r="P637" s="57"/>
      <c r="Q637" s="65"/>
    </row>
    <row r="638">
      <c r="O638" s="65"/>
      <c r="P638" s="57"/>
      <c r="Q638" s="65"/>
    </row>
    <row r="639">
      <c r="O639" s="65"/>
      <c r="P639" s="57"/>
      <c r="Q639" s="65"/>
    </row>
    <row r="640">
      <c r="O640" s="65"/>
      <c r="P640" s="57"/>
      <c r="Q640" s="65"/>
    </row>
    <row r="641">
      <c r="O641" s="65"/>
      <c r="P641" s="57"/>
      <c r="Q641" s="65"/>
    </row>
    <row r="642">
      <c r="O642" s="65"/>
      <c r="P642" s="57"/>
      <c r="Q642" s="65"/>
    </row>
    <row r="643">
      <c r="O643" s="65"/>
      <c r="P643" s="57"/>
      <c r="Q643" s="65"/>
    </row>
    <row r="644">
      <c r="O644" s="65"/>
      <c r="P644" s="57"/>
      <c r="Q644" s="65"/>
    </row>
    <row r="645">
      <c r="O645" s="65"/>
      <c r="P645" s="57"/>
      <c r="Q645" s="65"/>
    </row>
    <row r="646">
      <c r="O646" s="65"/>
      <c r="P646" s="57"/>
      <c r="Q646" s="65"/>
    </row>
    <row r="647">
      <c r="O647" s="65"/>
      <c r="P647" s="57"/>
      <c r="Q647" s="65"/>
    </row>
    <row r="648">
      <c r="O648" s="65"/>
      <c r="P648" s="57"/>
      <c r="Q648" s="65"/>
    </row>
    <row r="649">
      <c r="O649" s="65"/>
      <c r="P649" s="57"/>
      <c r="Q649" s="65"/>
    </row>
    <row r="650">
      <c r="O650" s="65"/>
      <c r="P650" s="57"/>
      <c r="Q650" s="65"/>
    </row>
    <row r="651">
      <c r="O651" s="65"/>
      <c r="P651" s="57"/>
      <c r="Q651" s="65"/>
    </row>
    <row r="652">
      <c r="O652" s="65"/>
      <c r="P652" s="57"/>
      <c r="Q652" s="65"/>
    </row>
    <row r="653">
      <c r="O653" s="65"/>
      <c r="P653" s="57"/>
      <c r="Q653" s="65"/>
    </row>
    <row r="654">
      <c r="O654" s="65"/>
      <c r="P654" s="57"/>
      <c r="Q654" s="65"/>
    </row>
    <row r="655">
      <c r="O655" s="65"/>
      <c r="P655" s="57"/>
      <c r="Q655" s="65"/>
    </row>
    <row r="656">
      <c r="O656" s="65"/>
      <c r="P656" s="57"/>
      <c r="Q656" s="65"/>
    </row>
    <row r="657">
      <c r="O657" s="65"/>
      <c r="P657" s="57"/>
      <c r="Q657" s="65"/>
    </row>
    <row r="658">
      <c r="O658" s="65"/>
      <c r="P658" s="57"/>
      <c r="Q658" s="65"/>
    </row>
    <row r="659">
      <c r="O659" s="65"/>
      <c r="P659" s="57"/>
      <c r="Q659" s="65"/>
    </row>
    <row r="660">
      <c r="O660" s="65"/>
      <c r="P660" s="57"/>
      <c r="Q660" s="65"/>
    </row>
    <row r="661">
      <c r="O661" s="65"/>
      <c r="P661" s="57"/>
      <c r="Q661" s="65"/>
    </row>
    <row r="662">
      <c r="O662" s="65"/>
      <c r="P662" s="57"/>
      <c r="Q662" s="65"/>
    </row>
    <row r="663">
      <c r="O663" s="65"/>
      <c r="P663" s="57"/>
      <c r="Q663" s="65"/>
    </row>
    <row r="664">
      <c r="O664" s="65"/>
      <c r="P664" s="57"/>
      <c r="Q664" s="65"/>
    </row>
    <row r="665">
      <c r="O665" s="65"/>
      <c r="P665" s="57"/>
      <c r="Q665" s="65"/>
    </row>
    <row r="666">
      <c r="O666" s="65"/>
      <c r="P666" s="57"/>
      <c r="Q666" s="65"/>
    </row>
    <row r="667">
      <c r="O667" s="65"/>
      <c r="P667" s="57"/>
      <c r="Q667" s="65"/>
    </row>
    <row r="668">
      <c r="O668" s="65"/>
      <c r="P668" s="57"/>
      <c r="Q668" s="65"/>
    </row>
    <row r="669">
      <c r="O669" s="65"/>
      <c r="P669" s="57"/>
      <c r="Q669" s="65"/>
    </row>
    <row r="670">
      <c r="O670" s="65"/>
      <c r="P670" s="57"/>
      <c r="Q670" s="65"/>
    </row>
    <row r="671">
      <c r="O671" s="65"/>
      <c r="P671" s="57"/>
      <c r="Q671" s="65"/>
    </row>
    <row r="672">
      <c r="O672" s="65"/>
      <c r="P672" s="57"/>
      <c r="Q672" s="65"/>
    </row>
    <row r="673">
      <c r="O673" s="65"/>
      <c r="P673" s="57"/>
      <c r="Q673" s="65"/>
    </row>
    <row r="674">
      <c r="O674" s="65"/>
      <c r="P674" s="57"/>
      <c r="Q674" s="65"/>
    </row>
    <row r="675">
      <c r="O675" s="65"/>
      <c r="P675" s="57"/>
      <c r="Q675" s="65"/>
    </row>
    <row r="676">
      <c r="O676" s="65"/>
      <c r="P676" s="57"/>
      <c r="Q676" s="65"/>
    </row>
    <row r="677">
      <c r="O677" s="65"/>
      <c r="P677" s="57"/>
      <c r="Q677" s="65"/>
    </row>
    <row r="678">
      <c r="O678" s="65"/>
      <c r="P678" s="57"/>
      <c r="Q678" s="65"/>
    </row>
    <row r="679">
      <c r="O679" s="65"/>
      <c r="P679" s="57"/>
      <c r="Q679" s="65"/>
    </row>
    <row r="680">
      <c r="O680" s="65"/>
      <c r="P680" s="57"/>
      <c r="Q680" s="65"/>
    </row>
    <row r="681">
      <c r="O681" s="65"/>
      <c r="P681" s="57"/>
      <c r="Q681" s="65"/>
    </row>
    <row r="682">
      <c r="O682" s="65"/>
      <c r="P682" s="57"/>
      <c r="Q682" s="65"/>
    </row>
    <row r="683">
      <c r="O683" s="65"/>
      <c r="P683" s="57"/>
      <c r="Q683" s="65"/>
    </row>
    <row r="684">
      <c r="O684" s="65"/>
      <c r="P684" s="57"/>
      <c r="Q684" s="65"/>
    </row>
    <row r="685">
      <c r="O685" s="65"/>
      <c r="P685" s="57"/>
      <c r="Q685" s="65"/>
    </row>
    <row r="686">
      <c r="O686" s="65"/>
      <c r="P686" s="57"/>
      <c r="Q686" s="65"/>
    </row>
    <row r="687">
      <c r="O687" s="65"/>
      <c r="P687" s="57"/>
      <c r="Q687" s="65"/>
    </row>
    <row r="688">
      <c r="O688" s="65"/>
      <c r="P688" s="57"/>
      <c r="Q688" s="65"/>
    </row>
    <row r="689">
      <c r="O689" s="65"/>
      <c r="P689" s="57"/>
      <c r="Q689" s="65"/>
    </row>
    <row r="690">
      <c r="O690" s="65"/>
      <c r="P690" s="57"/>
      <c r="Q690" s="65"/>
    </row>
    <row r="691">
      <c r="O691" s="65"/>
      <c r="P691" s="57"/>
      <c r="Q691" s="65"/>
    </row>
    <row r="692">
      <c r="O692" s="65"/>
      <c r="P692" s="57"/>
      <c r="Q692" s="65"/>
    </row>
    <row r="693">
      <c r="O693" s="65"/>
      <c r="P693" s="57"/>
      <c r="Q693" s="65"/>
    </row>
    <row r="694">
      <c r="O694" s="65"/>
      <c r="P694" s="57"/>
      <c r="Q694" s="65"/>
    </row>
    <row r="695">
      <c r="O695" s="65"/>
      <c r="P695" s="57"/>
      <c r="Q695" s="65"/>
    </row>
    <row r="696">
      <c r="O696" s="65"/>
      <c r="P696" s="57"/>
      <c r="Q696" s="65"/>
    </row>
    <row r="697">
      <c r="O697" s="65"/>
      <c r="P697" s="57"/>
      <c r="Q697" s="65"/>
    </row>
    <row r="698">
      <c r="O698" s="65"/>
      <c r="P698" s="57"/>
      <c r="Q698" s="65"/>
    </row>
    <row r="699">
      <c r="O699" s="65"/>
      <c r="P699" s="57"/>
      <c r="Q699" s="65"/>
    </row>
    <row r="700">
      <c r="O700" s="65"/>
      <c r="P700" s="57"/>
      <c r="Q700" s="65"/>
    </row>
    <row r="701">
      <c r="O701" s="65"/>
      <c r="P701" s="57"/>
      <c r="Q701" s="65"/>
    </row>
    <row r="702">
      <c r="O702" s="65"/>
      <c r="P702" s="57"/>
      <c r="Q702" s="65"/>
    </row>
    <row r="703">
      <c r="O703" s="65"/>
      <c r="P703" s="57"/>
      <c r="Q703" s="65"/>
    </row>
    <row r="704">
      <c r="O704" s="65"/>
      <c r="P704" s="57"/>
      <c r="Q704" s="65"/>
    </row>
    <row r="705">
      <c r="O705" s="65"/>
      <c r="P705" s="57"/>
      <c r="Q705" s="65"/>
    </row>
    <row r="706">
      <c r="O706" s="65"/>
      <c r="P706" s="57"/>
      <c r="Q706" s="65"/>
    </row>
    <row r="707">
      <c r="O707" s="65"/>
      <c r="P707" s="57"/>
      <c r="Q707" s="65"/>
    </row>
    <row r="708">
      <c r="O708" s="65"/>
      <c r="P708" s="57"/>
      <c r="Q708" s="65"/>
    </row>
    <row r="709">
      <c r="O709" s="65"/>
      <c r="P709" s="57"/>
      <c r="Q709" s="65"/>
    </row>
    <row r="710">
      <c r="O710" s="65"/>
      <c r="P710" s="57"/>
      <c r="Q710" s="65"/>
    </row>
    <row r="711">
      <c r="O711" s="65"/>
      <c r="P711" s="57"/>
      <c r="Q711" s="65"/>
    </row>
    <row r="712">
      <c r="O712" s="65"/>
      <c r="P712" s="57"/>
      <c r="Q712" s="65"/>
    </row>
    <row r="713">
      <c r="O713" s="65"/>
      <c r="P713" s="57"/>
      <c r="Q713" s="65"/>
    </row>
    <row r="714">
      <c r="O714" s="65"/>
      <c r="P714" s="57"/>
      <c r="Q714" s="65"/>
    </row>
    <row r="715">
      <c r="O715" s="65"/>
      <c r="P715" s="57"/>
      <c r="Q715" s="65"/>
    </row>
    <row r="716">
      <c r="O716" s="65"/>
      <c r="P716" s="57"/>
      <c r="Q716" s="65"/>
    </row>
    <row r="717">
      <c r="O717" s="65"/>
      <c r="P717" s="57"/>
      <c r="Q717" s="65"/>
    </row>
    <row r="718">
      <c r="O718" s="65"/>
      <c r="P718" s="57"/>
      <c r="Q718" s="65"/>
    </row>
    <row r="719">
      <c r="O719" s="65"/>
      <c r="P719" s="57"/>
      <c r="Q719" s="65"/>
    </row>
    <row r="720">
      <c r="O720" s="65"/>
      <c r="P720" s="57"/>
      <c r="Q720" s="65"/>
    </row>
    <row r="721">
      <c r="O721" s="65"/>
      <c r="P721" s="57"/>
      <c r="Q721" s="65"/>
    </row>
    <row r="722">
      <c r="O722" s="65"/>
      <c r="P722" s="57"/>
      <c r="Q722" s="65"/>
    </row>
    <row r="723">
      <c r="O723" s="65"/>
      <c r="P723" s="57"/>
      <c r="Q723" s="65"/>
    </row>
    <row r="724">
      <c r="O724" s="65"/>
      <c r="P724" s="57"/>
      <c r="Q724" s="65"/>
    </row>
    <row r="725">
      <c r="O725" s="65"/>
      <c r="P725" s="57"/>
      <c r="Q725" s="65"/>
    </row>
    <row r="726">
      <c r="O726" s="65"/>
      <c r="P726" s="57"/>
      <c r="Q726" s="65"/>
    </row>
    <row r="727">
      <c r="O727" s="65"/>
      <c r="P727" s="57"/>
      <c r="Q727" s="65"/>
    </row>
    <row r="728">
      <c r="O728" s="65"/>
      <c r="P728" s="57"/>
      <c r="Q728" s="65"/>
    </row>
    <row r="729">
      <c r="O729" s="65"/>
      <c r="P729" s="57"/>
      <c r="Q729" s="65"/>
    </row>
    <row r="730">
      <c r="O730" s="65"/>
      <c r="P730" s="57"/>
      <c r="Q730" s="65"/>
    </row>
    <row r="731">
      <c r="O731" s="65"/>
      <c r="P731" s="57"/>
      <c r="Q731" s="65"/>
    </row>
    <row r="732">
      <c r="O732" s="65"/>
      <c r="P732" s="57"/>
      <c r="Q732" s="65"/>
    </row>
    <row r="733">
      <c r="O733" s="65"/>
      <c r="P733" s="57"/>
      <c r="Q733" s="65"/>
    </row>
    <row r="734">
      <c r="O734" s="65"/>
      <c r="P734" s="57"/>
      <c r="Q734" s="65"/>
    </row>
    <row r="735">
      <c r="O735" s="65"/>
      <c r="P735" s="57"/>
      <c r="Q735" s="65"/>
    </row>
    <row r="736">
      <c r="O736" s="65"/>
      <c r="P736" s="57"/>
      <c r="Q736" s="65"/>
    </row>
    <row r="737">
      <c r="O737" s="65"/>
      <c r="P737" s="57"/>
      <c r="Q737" s="65"/>
    </row>
    <row r="738">
      <c r="O738" s="65"/>
      <c r="P738" s="57"/>
      <c r="Q738" s="65"/>
    </row>
    <row r="739">
      <c r="O739" s="65"/>
      <c r="P739" s="57"/>
      <c r="Q739" s="65"/>
    </row>
    <row r="740">
      <c r="O740" s="65"/>
      <c r="P740" s="57"/>
      <c r="Q740" s="65"/>
    </row>
    <row r="741">
      <c r="O741" s="65"/>
      <c r="P741" s="57"/>
      <c r="Q741" s="65"/>
    </row>
    <row r="742">
      <c r="O742" s="65"/>
      <c r="P742" s="57"/>
      <c r="Q742" s="65"/>
    </row>
    <row r="743">
      <c r="O743" s="65"/>
      <c r="P743" s="57"/>
      <c r="Q743" s="65"/>
    </row>
    <row r="744">
      <c r="O744" s="65"/>
      <c r="P744" s="57"/>
      <c r="Q744" s="65"/>
    </row>
    <row r="745">
      <c r="O745" s="65"/>
      <c r="P745" s="57"/>
      <c r="Q745" s="65"/>
    </row>
    <row r="746">
      <c r="O746" s="65"/>
      <c r="P746" s="57"/>
      <c r="Q746" s="65"/>
    </row>
    <row r="747">
      <c r="O747" s="65"/>
      <c r="P747" s="57"/>
      <c r="Q747" s="65"/>
    </row>
    <row r="748">
      <c r="O748" s="65"/>
      <c r="P748" s="57"/>
      <c r="Q748" s="65"/>
    </row>
  </sheetData>
  <mergeCells count="773">
    <mergeCell ref="K27:L27"/>
    <mergeCell ref="M27:N27"/>
    <mergeCell ref="B24:H24"/>
    <mergeCell ref="B25:H25"/>
    <mergeCell ref="A26:N26"/>
    <mergeCell ref="B27:C27"/>
    <mergeCell ref="D27:F27"/>
    <mergeCell ref="G27:H27"/>
    <mergeCell ref="I27:J27"/>
    <mergeCell ref="I29:J29"/>
    <mergeCell ref="K29:L29"/>
    <mergeCell ref="I30:J30"/>
    <mergeCell ref="K30:L30"/>
    <mergeCell ref="M30:N30"/>
    <mergeCell ref="I31:J31"/>
    <mergeCell ref="K31:L31"/>
    <mergeCell ref="M31:N31"/>
    <mergeCell ref="B28:C28"/>
    <mergeCell ref="D28:F28"/>
    <mergeCell ref="G28:H28"/>
    <mergeCell ref="I28:J28"/>
    <mergeCell ref="K28:L28"/>
    <mergeCell ref="M28:N28"/>
    <mergeCell ref="B29:C29"/>
    <mergeCell ref="M29:N29"/>
    <mergeCell ref="D29:F29"/>
    <mergeCell ref="G29:H29"/>
    <mergeCell ref="B30:C30"/>
    <mergeCell ref="D30:F30"/>
    <mergeCell ref="G30:H30"/>
    <mergeCell ref="D31:F31"/>
    <mergeCell ref="G31:H31"/>
    <mergeCell ref="B31:C31"/>
    <mergeCell ref="B32:C32"/>
    <mergeCell ref="D32:F32"/>
    <mergeCell ref="G32:H32"/>
    <mergeCell ref="I32:J32"/>
    <mergeCell ref="K32:L32"/>
    <mergeCell ref="M32:N32"/>
    <mergeCell ref="I34:J34"/>
    <mergeCell ref="K34:L34"/>
    <mergeCell ref="B33:C33"/>
    <mergeCell ref="D33:F33"/>
    <mergeCell ref="G33:H33"/>
    <mergeCell ref="I33:J33"/>
    <mergeCell ref="K33:L33"/>
    <mergeCell ref="M33:N33"/>
    <mergeCell ref="B34:C34"/>
    <mergeCell ref="M34:N34"/>
    <mergeCell ref="D34:F34"/>
    <mergeCell ref="G34:H34"/>
    <mergeCell ref="D35:F35"/>
    <mergeCell ref="G35:H35"/>
    <mergeCell ref="I35:J35"/>
    <mergeCell ref="K35:L35"/>
    <mergeCell ref="M35:N35"/>
    <mergeCell ref="B35:C35"/>
    <mergeCell ref="B36:C36"/>
    <mergeCell ref="D36:F36"/>
    <mergeCell ref="G36:H36"/>
    <mergeCell ref="I36:J36"/>
    <mergeCell ref="K36:L36"/>
    <mergeCell ref="M36:N36"/>
    <mergeCell ref="I38:J38"/>
    <mergeCell ref="K38:L38"/>
    <mergeCell ref="I39:J39"/>
    <mergeCell ref="K39:L39"/>
    <mergeCell ref="M39:N39"/>
    <mergeCell ref="I40:J40"/>
    <mergeCell ref="K40:L40"/>
    <mergeCell ref="M40:N40"/>
    <mergeCell ref="B37:C37"/>
    <mergeCell ref="D37:F37"/>
    <mergeCell ref="G37:H37"/>
    <mergeCell ref="I37:J37"/>
    <mergeCell ref="K37:L37"/>
    <mergeCell ref="M37:N37"/>
    <mergeCell ref="B38:C38"/>
    <mergeCell ref="M38:N38"/>
    <mergeCell ref="D38:F38"/>
    <mergeCell ref="G38:H38"/>
    <mergeCell ref="B39:C39"/>
    <mergeCell ref="D39:F39"/>
    <mergeCell ref="G39:H39"/>
    <mergeCell ref="D40:F40"/>
    <mergeCell ref="G40:H40"/>
    <mergeCell ref="B40:C40"/>
    <mergeCell ref="B41:C41"/>
    <mergeCell ref="D41:F41"/>
    <mergeCell ref="G41:H41"/>
    <mergeCell ref="I41:J41"/>
    <mergeCell ref="K41:L41"/>
    <mergeCell ref="M41:N41"/>
    <mergeCell ref="B5:C5"/>
    <mergeCell ref="D5:F5"/>
    <mergeCell ref="B6:C6"/>
    <mergeCell ref="D6:F6"/>
    <mergeCell ref="B7:C7"/>
    <mergeCell ref="D7:F7"/>
    <mergeCell ref="D8:F8"/>
    <mergeCell ref="D14:F14"/>
    <mergeCell ref="D15:F15"/>
    <mergeCell ref="D16:F16"/>
    <mergeCell ref="D17:F17"/>
    <mergeCell ref="D18:F18"/>
    <mergeCell ref="D19:F19"/>
    <mergeCell ref="D20:F20"/>
    <mergeCell ref="D21:F21"/>
    <mergeCell ref="D9:F9"/>
    <mergeCell ref="D10:F10"/>
    <mergeCell ref="B11:C11"/>
    <mergeCell ref="D11:F11"/>
    <mergeCell ref="B12:C12"/>
    <mergeCell ref="D12:F12"/>
    <mergeCell ref="D13:F13"/>
    <mergeCell ref="B20:C20"/>
    <mergeCell ref="B21:C21"/>
    <mergeCell ref="B13:C13"/>
    <mergeCell ref="B14:C14"/>
    <mergeCell ref="B15:C15"/>
    <mergeCell ref="B16:C16"/>
    <mergeCell ref="B17:C17"/>
    <mergeCell ref="B18:C18"/>
    <mergeCell ref="B19:C19"/>
    <mergeCell ref="G5:H5"/>
    <mergeCell ref="I5:J5"/>
    <mergeCell ref="G6:H6"/>
    <mergeCell ref="I6:J6"/>
    <mergeCell ref="G7:H7"/>
    <mergeCell ref="I7:J7"/>
    <mergeCell ref="I8:J8"/>
    <mergeCell ref="K5:L5"/>
    <mergeCell ref="M5:N5"/>
    <mergeCell ref="K6:L6"/>
    <mergeCell ref="M6:N6"/>
    <mergeCell ref="K7:L7"/>
    <mergeCell ref="M7:N7"/>
    <mergeCell ref="M8:N8"/>
    <mergeCell ref="K15:L15"/>
    <mergeCell ref="K16:L16"/>
    <mergeCell ref="K8:L8"/>
    <mergeCell ref="K9:L9"/>
    <mergeCell ref="K10:L10"/>
    <mergeCell ref="K11:L11"/>
    <mergeCell ref="K12:L12"/>
    <mergeCell ref="K13:L13"/>
    <mergeCell ref="K14:L14"/>
    <mergeCell ref="M16:N16"/>
    <mergeCell ref="M17:N17"/>
    <mergeCell ref="M9:N9"/>
    <mergeCell ref="M10:N10"/>
    <mergeCell ref="M11:N11"/>
    <mergeCell ref="M12:N12"/>
    <mergeCell ref="M13:N13"/>
    <mergeCell ref="M14:N14"/>
    <mergeCell ref="M15:N15"/>
    <mergeCell ref="K19:L19"/>
    <mergeCell ref="M19:N19"/>
    <mergeCell ref="I16:J16"/>
    <mergeCell ref="I17:J17"/>
    <mergeCell ref="K17:L17"/>
    <mergeCell ref="I18:J18"/>
    <mergeCell ref="K18:L18"/>
    <mergeCell ref="M18:N18"/>
    <mergeCell ref="I19:J19"/>
    <mergeCell ref="G4:J4"/>
    <mergeCell ref="K4:N4"/>
    <mergeCell ref="B1:H1"/>
    <mergeCell ref="J1:N1"/>
    <mergeCell ref="B2:H2"/>
    <mergeCell ref="J2:N2"/>
    <mergeCell ref="A3:N3"/>
    <mergeCell ref="A4:A5"/>
    <mergeCell ref="B4:F4"/>
    <mergeCell ref="B8:C8"/>
    <mergeCell ref="B9:C9"/>
    <mergeCell ref="B10:C10"/>
    <mergeCell ref="G15:H15"/>
    <mergeCell ref="G16:H16"/>
    <mergeCell ref="G17:H17"/>
    <mergeCell ref="G18:H18"/>
    <mergeCell ref="G19:H19"/>
    <mergeCell ref="G20:H20"/>
    <mergeCell ref="G21:H21"/>
    <mergeCell ref="G8:H8"/>
    <mergeCell ref="G9:H9"/>
    <mergeCell ref="G10:H10"/>
    <mergeCell ref="G11:H11"/>
    <mergeCell ref="G12:H12"/>
    <mergeCell ref="G13:H13"/>
    <mergeCell ref="G14:H14"/>
    <mergeCell ref="I9:J9"/>
    <mergeCell ref="I10:J10"/>
    <mergeCell ref="I11:J11"/>
    <mergeCell ref="I12:J12"/>
    <mergeCell ref="I13:J13"/>
    <mergeCell ref="I14:J14"/>
    <mergeCell ref="I15:J15"/>
    <mergeCell ref="I20:J20"/>
    <mergeCell ref="K20:L20"/>
    <mergeCell ref="M20:N20"/>
    <mergeCell ref="I21:J21"/>
    <mergeCell ref="K21:L21"/>
    <mergeCell ref="M21:N21"/>
    <mergeCell ref="J24:N24"/>
    <mergeCell ref="J25:N25"/>
    <mergeCell ref="G56:H56"/>
    <mergeCell ref="G57:H57"/>
    <mergeCell ref="G53:H53"/>
    <mergeCell ref="I53:J53"/>
    <mergeCell ref="G54:H54"/>
    <mergeCell ref="I54:J54"/>
    <mergeCell ref="G55:H55"/>
    <mergeCell ref="I55:J55"/>
    <mergeCell ref="I56:J56"/>
    <mergeCell ref="I57:J57"/>
    <mergeCell ref="B53:C53"/>
    <mergeCell ref="D53:F53"/>
    <mergeCell ref="B54:C54"/>
    <mergeCell ref="D54:F54"/>
    <mergeCell ref="B55:C55"/>
    <mergeCell ref="D55:F55"/>
    <mergeCell ref="D56:F56"/>
    <mergeCell ref="D62:F62"/>
    <mergeCell ref="D63:F63"/>
    <mergeCell ref="D64:F64"/>
    <mergeCell ref="D65:F65"/>
    <mergeCell ref="D66:F66"/>
    <mergeCell ref="D67:F67"/>
    <mergeCell ref="D68:F68"/>
    <mergeCell ref="D69:F69"/>
    <mergeCell ref="D57:F57"/>
    <mergeCell ref="D58:F58"/>
    <mergeCell ref="B59:C59"/>
    <mergeCell ref="D59:F59"/>
    <mergeCell ref="B60:C60"/>
    <mergeCell ref="D60:F60"/>
    <mergeCell ref="D61:F61"/>
    <mergeCell ref="B68:C68"/>
    <mergeCell ref="B69:C69"/>
    <mergeCell ref="B61:C61"/>
    <mergeCell ref="B62:C62"/>
    <mergeCell ref="B63:C63"/>
    <mergeCell ref="B64:C64"/>
    <mergeCell ref="B65:C65"/>
    <mergeCell ref="B66:C66"/>
    <mergeCell ref="B67:C67"/>
    <mergeCell ref="I43:J43"/>
    <mergeCell ref="K43:L43"/>
    <mergeCell ref="J49:N49"/>
    <mergeCell ref="J50:N50"/>
    <mergeCell ref="B42:C42"/>
    <mergeCell ref="D42:F42"/>
    <mergeCell ref="G42:H42"/>
    <mergeCell ref="I42:J42"/>
    <mergeCell ref="K42:L42"/>
    <mergeCell ref="M42:N42"/>
    <mergeCell ref="B43:C43"/>
    <mergeCell ref="M43:N43"/>
    <mergeCell ref="G52:J52"/>
    <mergeCell ref="K52:N52"/>
    <mergeCell ref="D43:F43"/>
    <mergeCell ref="G43:H43"/>
    <mergeCell ref="B49:H49"/>
    <mergeCell ref="B50:H50"/>
    <mergeCell ref="A51:N51"/>
    <mergeCell ref="A52:A53"/>
    <mergeCell ref="B52:F52"/>
    <mergeCell ref="B56:C56"/>
    <mergeCell ref="B57:C57"/>
    <mergeCell ref="B58:C58"/>
    <mergeCell ref="M57:N57"/>
    <mergeCell ref="M58:N58"/>
    <mergeCell ref="M59:N59"/>
    <mergeCell ref="K53:L53"/>
    <mergeCell ref="M53:N53"/>
    <mergeCell ref="K54:L54"/>
    <mergeCell ref="M54:N54"/>
    <mergeCell ref="K55:L55"/>
    <mergeCell ref="M55:N55"/>
    <mergeCell ref="M56:N56"/>
    <mergeCell ref="K56:L56"/>
    <mergeCell ref="K57:L57"/>
    <mergeCell ref="G58:H58"/>
    <mergeCell ref="I58:J58"/>
    <mergeCell ref="K58:L58"/>
    <mergeCell ref="I59:J59"/>
    <mergeCell ref="K59:L59"/>
    <mergeCell ref="K61:L61"/>
    <mergeCell ref="M61:N61"/>
    <mergeCell ref="G59:H59"/>
    <mergeCell ref="G60:H60"/>
    <mergeCell ref="I60:J60"/>
    <mergeCell ref="K60:L60"/>
    <mergeCell ref="M60:N60"/>
    <mergeCell ref="G61:H61"/>
    <mergeCell ref="I61:J61"/>
    <mergeCell ref="G62:H62"/>
    <mergeCell ref="I62:J62"/>
    <mergeCell ref="K62:L62"/>
    <mergeCell ref="M62:N62"/>
    <mergeCell ref="I63:J63"/>
    <mergeCell ref="K63:L63"/>
    <mergeCell ref="M63:N63"/>
    <mergeCell ref="K65:L65"/>
    <mergeCell ref="M65:N65"/>
    <mergeCell ref="G63:H63"/>
    <mergeCell ref="G64:H64"/>
    <mergeCell ref="I64:J64"/>
    <mergeCell ref="K64:L64"/>
    <mergeCell ref="M64:N64"/>
    <mergeCell ref="G65:H65"/>
    <mergeCell ref="I65:J65"/>
    <mergeCell ref="K69:L69"/>
    <mergeCell ref="M69:N69"/>
    <mergeCell ref="G75:H75"/>
    <mergeCell ref="I75:J75"/>
    <mergeCell ref="G76:H76"/>
    <mergeCell ref="I76:J76"/>
    <mergeCell ref="G77:H77"/>
    <mergeCell ref="I77:J77"/>
    <mergeCell ref="I78:J78"/>
    <mergeCell ref="G86:H86"/>
    <mergeCell ref="G87:H87"/>
    <mergeCell ref="G88:H88"/>
    <mergeCell ref="G89:H89"/>
    <mergeCell ref="G90:H90"/>
    <mergeCell ref="G91:H91"/>
    <mergeCell ref="G78:H78"/>
    <mergeCell ref="G79:H79"/>
    <mergeCell ref="G81:H81"/>
    <mergeCell ref="G82:H82"/>
    <mergeCell ref="G83:H83"/>
    <mergeCell ref="G84:H84"/>
    <mergeCell ref="G85:H85"/>
    <mergeCell ref="I87:J87"/>
    <mergeCell ref="I88:J88"/>
    <mergeCell ref="I89:J89"/>
    <mergeCell ref="I90:J90"/>
    <mergeCell ref="I91:J91"/>
    <mergeCell ref="I79:J79"/>
    <mergeCell ref="I81:J81"/>
    <mergeCell ref="I82:J82"/>
    <mergeCell ref="I83:J83"/>
    <mergeCell ref="I84:J84"/>
    <mergeCell ref="I85:J85"/>
    <mergeCell ref="I86:J86"/>
    <mergeCell ref="K78:L78"/>
    <mergeCell ref="K79:L79"/>
    <mergeCell ref="G80:H80"/>
    <mergeCell ref="I80:J80"/>
    <mergeCell ref="K80:L80"/>
    <mergeCell ref="K81:L81"/>
    <mergeCell ref="K82:L82"/>
    <mergeCell ref="K90:L90"/>
    <mergeCell ref="K91:L91"/>
    <mergeCell ref="K83:L83"/>
    <mergeCell ref="K84:L84"/>
    <mergeCell ref="K85:L85"/>
    <mergeCell ref="K86:L86"/>
    <mergeCell ref="K87:L87"/>
    <mergeCell ref="K88:L88"/>
    <mergeCell ref="K89:L89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J94:N94"/>
    <mergeCell ref="B94:H94"/>
    <mergeCell ref="B95:H95"/>
    <mergeCell ref="J95:N95"/>
    <mergeCell ref="A96:N96"/>
    <mergeCell ref="B97:F97"/>
    <mergeCell ref="G97:J97"/>
    <mergeCell ref="K97:N97"/>
    <mergeCell ref="A97:A98"/>
    <mergeCell ref="B98:C98"/>
    <mergeCell ref="D98:F98"/>
    <mergeCell ref="G98:H98"/>
    <mergeCell ref="I98:J98"/>
    <mergeCell ref="K98:L98"/>
    <mergeCell ref="M98:N98"/>
    <mergeCell ref="I114:J114"/>
    <mergeCell ref="K114:L114"/>
    <mergeCell ref="J117:N117"/>
    <mergeCell ref="J118:N118"/>
    <mergeCell ref="G121:H121"/>
    <mergeCell ref="I121:J121"/>
    <mergeCell ref="K121:L121"/>
    <mergeCell ref="M121:N121"/>
    <mergeCell ref="D114:F114"/>
    <mergeCell ref="G114:H114"/>
    <mergeCell ref="B117:H117"/>
    <mergeCell ref="B118:H118"/>
    <mergeCell ref="A119:N119"/>
    <mergeCell ref="A120:A121"/>
    <mergeCell ref="B120:F120"/>
    <mergeCell ref="I109:J109"/>
    <mergeCell ref="K109:L109"/>
    <mergeCell ref="I110:J110"/>
    <mergeCell ref="K110:L110"/>
    <mergeCell ref="M110:N110"/>
    <mergeCell ref="I111:J111"/>
    <mergeCell ref="K111:L111"/>
    <mergeCell ref="M111:N111"/>
    <mergeCell ref="B108:C108"/>
    <mergeCell ref="D108:F108"/>
    <mergeCell ref="G108:H108"/>
    <mergeCell ref="I108:J108"/>
    <mergeCell ref="K108:L108"/>
    <mergeCell ref="M108:N108"/>
    <mergeCell ref="B109:C109"/>
    <mergeCell ref="M109:N109"/>
    <mergeCell ref="D109:F109"/>
    <mergeCell ref="G109:H109"/>
    <mergeCell ref="B110:C110"/>
    <mergeCell ref="D110:F110"/>
    <mergeCell ref="G110:H110"/>
    <mergeCell ref="D111:F111"/>
    <mergeCell ref="G111:H111"/>
    <mergeCell ref="B111:C111"/>
    <mergeCell ref="B112:C112"/>
    <mergeCell ref="D112:F112"/>
    <mergeCell ref="G112:H112"/>
    <mergeCell ref="I112:J112"/>
    <mergeCell ref="K112:L112"/>
    <mergeCell ref="M112:N112"/>
    <mergeCell ref="B113:C113"/>
    <mergeCell ref="D113:F113"/>
    <mergeCell ref="G113:H113"/>
    <mergeCell ref="I113:J113"/>
    <mergeCell ref="K113:L113"/>
    <mergeCell ref="M113:N113"/>
    <mergeCell ref="B114:C114"/>
    <mergeCell ref="M114:N114"/>
    <mergeCell ref="G120:J120"/>
    <mergeCell ref="K120:N120"/>
    <mergeCell ref="I129:J129"/>
    <mergeCell ref="K129:L129"/>
    <mergeCell ref="M129:N129"/>
    <mergeCell ref="M135:N135"/>
    <mergeCell ref="J140:N140"/>
    <mergeCell ref="I133:J133"/>
    <mergeCell ref="K133:L133"/>
    <mergeCell ref="I134:J134"/>
    <mergeCell ref="K134:L134"/>
    <mergeCell ref="M134:N134"/>
    <mergeCell ref="I135:J135"/>
    <mergeCell ref="K135:L135"/>
    <mergeCell ref="B128:C128"/>
    <mergeCell ref="D128:F128"/>
    <mergeCell ref="G128:H128"/>
    <mergeCell ref="I128:J128"/>
    <mergeCell ref="K128:L128"/>
    <mergeCell ref="M128:N128"/>
    <mergeCell ref="B129:C129"/>
    <mergeCell ref="D129:F129"/>
    <mergeCell ref="G129:H129"/>
    <mergeCell ref="D130:F130"/>
    <mergeCell ref="G130:H130"/>
    <mergeCell ref="I130:J130"/>
    <mergeCell ref="K130:L130"/>
    <mergeCell ref="M130:N130"/>
    <mergeCell ref="B130:C130"/>
    <mergeCell ref="B131:C131"/>
    <mergeCell ref="D131:F131"/>
    <mergeCell ref="G131:H131"/>
    <mergeCell ref="I131:J131"/>
    <mergeCell ref="K131:L131"/>
    <mergeCell ref="M131:N131"/>
    <mergeCell ref="B132:C132"/>
    <mergeCell ref="D132:F132"/>
    <mergeCell ref="G132:H132"/>
    <mergeCell ref="I132:J132"/>
    <mergeCell ref="K132:L132"/>
    <mergeCell ref="M132:N132"/>
    <mergeCell ref="B133:C133"/>
    <mergeCell ref="M133:N133"/>
    <mergeCell ref="B137:C137"/>
    <mergeCell ref="D137:F137"/>
    <mergeCell ref="G137:H137"/>
    <mergeCell ref="I137:J137"/>
    <mergeCell ref="K137:L137"/>
    <mergeCell ref="M137:N137"/>
    <mergeCell ref="B135:C135"/>
    <mergeCell ref="B136:C136"/>
    <mergeCell ref="D136:F136"/>
    <mergeCell ref="G136:H136"/>
    <mergeCell ref="I136:J136"/>
    <mergeCell ref="K136:L136"/>
    <mergeCell ref="M136:N136"/>
    <mergeCell ref="D133:F133"/>
    <mergeCell ref="G133:H133"/>
    <mergeCell ref="B134:C134"/>
    <mergeCell ref="D134:F134"/>
    <mergeCell ref="G134:H134"/>
    <mergeCell ref="D135:F135"/>
    <mergeCell ref="G135:H135"/>
    <mergeCell ref="B140:H140"/>
    <mergeCell ref="B141:H141"/>
    <mergeCell ref="J141:N141"/>
    <mergeCell ref="A142:N142"/>
    <mergeCell ref="B143:F143"/>
    <mergeCell ref="G143:J143"/>
    <mergeCell ref="K143:N143"/>
    <mergeCell ref="A143:A144"/>
    <mergeCell ref="B144:C144"/>
    <mergeCell ref="D144:F144"/>
    <mergeCell ref="G144:H144"/>
    <mergeCell ref="I144:J144"/>
    <mergeCell ref="K144:L144"/>
    <mergeCell ref="M144:N144"/>
    <mergeCell ref="I146:J146"/>
    <mergeCell ref="K146:L146"/>
    <mergeCell ref="I147:J147"/>
    <mergeCell ref="K147:L147"/>
    <mergeCell ref="M147:N147"/>
    <mergeCell ref="I148:J148"/>
    <mergeCell ref="K148:L148"/>
    <mergeCell ref="M148:N148"/>
    <mergeCell ref="B145:C145"/>
    <mergeCell ref="D145:F145"/>
    <mergeCell ref="G145:H145"/>
    <mergeCell ref="I145:J145"/>
    <mergeCell ref="K145:L145"/>
    <mergeCell ref="M145:N145"/>
    <mergeCell ref="B146:C146"/>
    <mergeCell ref="M146:N146"/>
    <mergeCell ref="D146:F146"/>
    <mergeCell ref="G146:H146"/>
    <mergeCell ref="B147:C147"/>
    <mergeCell ref="D147:F147"/>
    <mergeCell ref="G147:H147"/>
    <mergeCell ref="D148:F148"/>
    <mergeCell ref="G148:H148"/>
    <mergeCell ref="B148:C148"/>
    <mergeCell ref="B149:C149"/>
    <mergeCell ref="D149:F149"/>
    <mergeCell ref="G149:H149"/>
    <mergeCell ref="I149:J149"/>
    <mergeCell ref="K149:L149"/>
    <mergeCell ref="M149:N149"/>
    <mergeCell ref="I151:J151"/>
    <mergeCell ref="K151:L151"/>
    <mergeCell ref="B150:C150"/>
    <mergeCell ref="D150:F150"/>
    <mergeCell ref="G150:H150"/>
    <mergeCell ref="I150:J150"/>
    <mergeCell ref="K150:L150"/>
    <mergeCell ref="M150:N150"/>
    <mergeCell ref="B151:C151"/>
    <mergeCell ref="M151:N151"/>
    <mergeCell ref="D151:F151"/>
    <mergeCell ref="G151:H151"/>
    <mergeCell ref="D152:F152"/>
    <mergeCell ref="G152:H152"/>
    <mergeCell ref="I152:J152"/>
    <mergeCell ref="K152:L152"/>
    <mergeCell ref="M152:N152"/>
    <mergeCell ref="B152:C152"/>
    <mergeCell ref="B153:C153"/>
    <mergeCell ref="D153:F153"/>
    <mergeCell ref="G153:H153"/>
    <mergeCell ref="I153:J153"/>
    <mergeCell ref="K153:L153"/>
    <mergeCell ref="M153:N153"/>
    <mergeCell ref="I155:J155"/>
    <mergeCell ref="K155:L155"/>
    <mergeCell ref="I156:J156"/>
    <mergeCell ref="K156:L156"/>
    <mergeCell ref="M156:N156"/>
    <mergeCell ref="I157:J157"/>
    <mergeCell ref="K157:L157"/>
    <mergeCell ref="M157:N157"/>
    <mergeCell ref="B154:C154"/>
    <mergeCell ref="D154:F154"/>
    <mergeCell ref="G154:H154"/>
    <mergeCell ref="I154:J154"/>
    <mergeCell ref="K154:L154"/>
    <mergeCell ref="M154:N154"/>
    <mergeCell ref="B155:C155"/>
    <mergeCell ref="M155:N155"/>
    <mergeCell ref="D155:F155"/>
    <mergeCell ref="G155:H155"/>
    <mergeCell ref="B156:C156"/>
    <mergeCell ref="D156:F156"/>
    <mergeCell ref="G156:H156"/>
    <mergeCell ref="D157:F157"/>
    <mergeCell ref="G157:H157"/>
    <mergeCell ref="B157:C157"/>
    <mergeCell ref="B158:C158"/>
    <mergeCell ref="D158:F158"/>
    <mergeCell ref="G158:H158"/>
    <mergeCell ref="I158:J158"/>
    <mergeCell ref="K158:L158"/>
    <mergeCell ref="M158:N158"/>
    <mergeCell ref="B75:C75"/>
    <mergeCell ref="D75:F75"/>
    <mergeCell ref="B76:C76"/>
    <mergeCell ref="D76:F76"/>
    <mergeCell ref="B77:C77"/>
    <mergeCell ref="D77:F77"/>
    <mergeCell ref="D78:F78"/>
    <mergeCell ref="D84:F84"/>
    <mergeCell ref="D85:F85"/>
    <mergeCell ref="D86:F86"/>
    <mergeCell ref="D87:F87"/>
    <mergeCell ref="D88:F88"/>
    <mergeCell ref="D89:F89"/>
    <mergeCell ref="D90:F90"/>
    <mergeCell ref="D91:F91"/>
    <mergeCell ref="D79:F79"/>
    <mergeCell ref="D80:F80"/>
    <mergeCell ref="B81:C81"/>
    <mergeCell ref="D81:F81"/>
    <mergeCell ref="B82:C82"/>
    <mergeCell ref="D82:F82"/>
    <mergeCell ref="D83:F83"/>
    <mergeCell ref="B90:C90"/>
    <mergeCell ref="B91:C91"/>
    <mergeCell ref="B83:C83"/>
    <mergeCell ref="B84:C84"/>
    <mergeCell ref="B85:C85"/>
    <mergeCell ref="B86:C86"/>
    <mergeCell ref="B87:C87"/>
    <mergeCell ref="B88:C88"/>
    <mergeCell ref="B89:C89"/>
    <mergeCell ref="G66:H66"/>
    <mergeCell ref="I66:J66"/>
    <mergeCell ref="K66:L66"/>
    <mergeCell ref="M66:N66"/>
    <mergeCell ref="I67:J67"/>
    <mergeCell ref="K67:L67"/>
    <mergeCell ref="M67:N67"/>
    <mergeCell ref="G67:H67"/>
    <mergeCell ref="G68:H68"/>
    <mergeCell ref="I68:J68"/>
    <mergeCell ref="K68:L68"/>
    <mergeCell ref="M68:N68"/>
    <mergeCell ref="G69:H69"/>
    <mergeCell ref="I69:J69"/>
    <mergeCell ref="G74:J74"/>
    <mergeCell ref="K74:N74"/>
    <mergeCell ref="B71:H71"/>
    <mergeCell ref="J71:N71"/>
    <mergeCell ref="B72:H72"/>
    <mergeCell ref="J72:N72"/>
    <mergeCell ref="A73:N73"/>
    <mergeCell ref="A74:A75"/>
    <mergeCell ref="B74:F74"/>
    <mergeCell ref="B78:C78"/>
    <mergeCell ref="B79:C79"/>
    <mergeCell ref="B80:C80"/>
    <mergeCell ref="K75:L75"/>
    <mergeCell ref="M75:N75"/>
    <mergeCell ref="K76:L76"/>
    <mergeCell ref="M76:N76"/>
    <mergeCell ref="K77:L77"/>
    <mergeCell ref="M77:N77"/>
    <mergeCell ref="M78:N78"/>
    <mergeCell ref="I100:J100"/>
    <mergeCell ref="K100:L100"/>
    <mergeCell ref="B99:C99"/>
    <mergeCell ref="D99:F99"/>
    <mergeCell ref="G99:H99"/>
    <mergeCell ref="I99:J99"/>
    <mergeCell ref="K99:L99"/>
    <mergeCell ref="M99:N99"/>
    <mergeCell ref="B100:C100"/>
    <mergeCell ref="M100:N100"/>
    <mergeCell ref="D100:F100"/>
    <mergeCell ref="G100:H100"/>
    <mergeCell ref="D101:F101"/>
    <mergeCell ref="G101:H101"/>
    <mergeCell ref="I101:J101"/>
    <mergeCell ref="K101:L101"/>
    <mergeCell ref="M101:N101"/>
    <mergeCell ref="B101:C101"/>
    <mergeCell ref="B102:C102"/>
    <mergeCell ref="D102:F102"/>
    <mergeCell ref="G102:H102"/>
    <mergeCell ref="I102:J102"/>
    <mergeCell ref="K102:L102"/>
    <mergeCell ref="M102:N102"/>
    <mergeCell ref="I104:J104"/>
    <mergeCell ref="K104:L104"/>
    <mergeCell ref="I105:J105"/>
    <mergeCell ref="K105:L105"/>
    <mergeCell ref="M105:N105"/>
    <mergeCell ref="I106:J106"/>
    <mergeCell ref="K106:L106"/>
    <mergeCell ref="M106:N106"/>
    <mergeCell ref="B103:C103"/>
    <mergeCell ref="D103:F103"/>
    <mergeCell ref="G103:H103"/>
    <mergeCell ref="I103:J103"/>
    <mergeCell ref="K103:L103"/>
    <mergeCell ref="M103:N103"/>
    <mergeCell ref="B104:C104"/>
    <mergeCell ref="M104:N104"/>
    <mergeCell ref="D104:F104"/>
    <mergeCell ref="G104:H104"/>
    <mergeCell ref="B105:C105"/>
    <mergeCell ref="D105:F105"/>
    <mergeCell ref="G105:H105"/>
    <mergeCell ref="D106:F106"/>
    <mergeCell ref="G106:H106"/>
    <mergeCell ref="B106:C106"/>
    <mergeCell ref="B107:C107"/>
    <mergeCell ref="D107:F107"/>
    <mergeCell ref="G107:H107"/>
    <mergeCell ref="I107:J107"/>
    <mergeCell ref="K107:L107"/>
    <mergeCell ref="M107:N107"/>
    <mergeCell ref="B121:C121"/>
    <mergeCell ref="D121:F121"/>
    <mergeCell ref="D122:F122"/>
    <mergeCell ref="G122:H122"/>
    <mergeCell ref="I122:J122"/>
    <mergeCell ref="K122:L122"/>
    <mergeCell ref="M122:N122"/>
    <mergeCell ref="B122:C122"/>
    <mergeCell ref="B123:C123"/>
    <mergeCell ref="D123:F123"/>
    <mergeCell ref="G123:H123"/>
    <mergeCell ref="I123:J123"/>
    <mergeCell ref="K123:L123"/>
    <mergeCell ref="M123:N123"/>
    <mergeCell ref="D125:F125"/>
    <mergeCell ref="G125:H125"/>
    <mergeCell ref="B124:C124"/>
    <mergeCell ref="D124:F124"/>
    <mergeCell ref="G124:H124"/>
    <mergeCell ref="I124:J124"/>
    <mergeCell ref="K124:L124"/>
    <mergeCell ref="M124:N124"/>
    <mergeCell ref="B125:C125"/>
    <mergeCell ref="M125:N125"/>
    <mergeCell ref="I125:J125"/>
    <mergeCell ref="K125:L125"/>
    <mergeCell ref="D126:F126"/>
    <mergeCell ref="G126:H126"/>
    <mergeCell ref="I126:J126"/>
    <mergeCell ref="K126:L126"/>
    <mergeCell ref="M126:N126"/>
    <mergeCell ref="B126:C126"/>
    <mergeCell ref="B127:C127"/>
    <mergeCell ref="D127:F127"/>
    <mergeCell ref="G127:H127"/>
    <mergeCell ref="I127:J127"/>
    <mergeCell ref="K127:L127"/>
    <mergeCell ref="M127:N127"/>
    <mergeCell ref="D160:F160"/>
    <mergeCell ref="G160:H160"/>
    <mergeCell ref="I160:J160"/>
    <mergeCell ref="K160:L160"/>
    <mergeCell ref="B159:C159"/>
    <mergeCell ref="D159:F159"/>
    <mergeCell ref="G159:H159"/>
    <mergeCell ref="I159:J159"/>
    <mergeCell ref="K159:L159"/>
    <mergeCell ref="M159:N159"/>
    <mergeCell ref="B160:C160"/>
    <mergeCell ref="M160:N160"/>
  </mergeCells>
  <drawing r:id="rId1"/>
</worksheet>
</file>